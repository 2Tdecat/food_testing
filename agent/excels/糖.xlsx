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showHorizontalScroll="0" showVerticalScroll="0" windowWidth="28800" windowHeight="12255" tabRatio="1000" firstSheet="1" activeTab="3"/>
  </bookViews>
  <sheets>
    <sheet name="水果可溶性糖" sheetId="25" r:id="rId1"/>
    <sheet name="还原糖正滴" sheetId="1" r:id="rId2"/>
    <sheet name="还原糖反滴 " sheetId="3" r:id="rId3"/>
    <sheet name="总糖反滴" sheetId="7" r:id="rId4"/>
    <sheet name="总糖正滴" sheetId="5" r:id="rId5"/>
    <sheet name="总糖正滴（蔗糖计）" sheetId="6" r:id="rId6"/>
    <sheet name="总糖反滴（蔗糖计）" sheetId="8" r:id="rId7"/>
    <sheet name="蔗糖" sheetId="12" r:id="rId8"/>
    <sheet name="蔗糖反" sheetId="19" r:id="rId9"/>
    <sheet name="蔗糖正反" sheetId="20" r:id="rId10"/>
    <sheet name="13662酒正滴" sheetId="9" r:id="rId11"/>
    <sheet name="13662酒反滴" sheetId="10" r:id="rId12"/>
    <sheet name="淀粉二法" sheetId="15" r:id="rId13"/>
    <sheet name="淀粉一法" sheetId="21" r:id="rId14"/>
    <sheet name="Sheet4" sheetId="29" state="hidden" r:id="rId15"/>
    <sheet name="23968反滴" sheetId="23" r:id="rId16"/>
    <sheet name="23968正滴" sheetId="24" r:id="rId17"/>
    <sheet name="淀粉2反滴" sheetId="17" r:id="rId18"/>
    <sheet name="淀粉1法反滴" sheetId="22" r:id="rId19"/>
    <sheet name="Sheet3" sheetId="32" r:id="rId20"/>
  </sheets>
  <definedNames>
    <definedName name="_xlnm._FilterDatabase" localSheetId="1" hidden="1">还原糖正滴!$B$2:$O$4</definedName>
    <definedName name="_xlnm._FilterDatabase" localSheetId="4" hidden="1">总糖正滴!$B$1:$N$23</definedName>
    <definedName name="_xlnm._FilterDatabase" localSheetId="19" hidden="1">Sheet3!$A$1:$K$102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政府理化</author>
  </authors>
  <commentList>
    <comment ref="H157" authorId="0">
      <text>
        <r>
          <rPr>
            <b/>
            <sz val="9"/>
            <rFont val="宋体"/>
            <charset val="134"/>
          </rPr>
          <t>政府理化: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<sst xmlns="http://schemas.openxmlformats.org/spreadsheetml/2006/main" count="4667" uniqueCount="2381">
  <si>
    <t>日期</t>
  </si>
  <si>
    <t>编号</t>
  </si>
  <si>
    <t>样品名称</t>
  </si>
  <si>
    <t>质量m</t>
  </si>
  <si>
    <t>定容体积V1</t>
  </si>
  <si>
    <t>取滤液体积V2</t>
  </si>
  <si>
    <t>定容体积V3</t>
  </si>
  <si>
    <t>测试用液V4</t>
  </si>
  <si>
    <t>比色体积V5</t>
  </si>
  <si>
    <t>还原糖浓度mg/mL</t>
  </si>
  <si>
    <t>空白浓度mg/mL</t>
  </si>
  <si>
    <t>稀释倍数：多汁为1水少为2</t>
  </si>
  <si>
    <t>可溶性糖含量</t>
  </si>
  <si>
    <t>均值</t>
  </si>
  <si>
    <t>质控</t>
  </si>
  <si>
    <t>水果罐头</t>
  </si>
  <si>
    <t>还</t>
  </si>
  <si>
    <t>可</t>
  </si>
  <si>
    <t>葡萄</t>
  </si>
  <si>
    <t>18694-2</t>
  </si>
  <si>
    <t>18694-3</t>
  </si>
  <si>
    <t>18694-4</t>
  </si>
  <si>
    <t>18694-5</t>
  </si>
  <si>
    <t>18694-6</t>
  </si>
  <si>
    <t>18694-7</t>
  </si>
  <si>
    <t>18694-8</t>
  </si>
  <si>
    <t>18694-9</t>
  </si>
  <si>
    <t>18694-10</t>
  </si>
  <si>
    <t>18460-1</t>
  </si>
  <si>
    <t>18365-1</t>
  </si>
  <si>
    <t>18365-2</t>
  </si>
  <si>
    <t>18365-3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</si>
  <si>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9413-1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</si>
  <si>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9413-2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</si>
  <si>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9413-3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</si>
  <si>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9413-4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</si>
  <si>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9413-5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</si>
  <si>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9413-6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</si>
  <si>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</si>
  <si>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</si>
  <si>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</si>
  <si>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0704-4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</si>
  <si>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0704-5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</si>
  <si>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0704-6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</si>
  <si>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0704-7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</si>
  <si>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0705-1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</si>
  <si>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0705-2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</si>
  <si>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0705-3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</si>
  <si>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0705-4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</si>
  <si>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0705-5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</si>
  <si>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0705-6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</si>
  <si>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8072-1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</si>
  <si>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0694-1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</si>
  <si>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0694-2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</si>
  <si>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0971-1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</si>
  <si>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0971-2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</si>
  <si>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0971-3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</si>
  <si>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</si>
  <si>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</si>
  <si>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</si>
  <si>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0981-4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</si>
  <si>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0981-5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</si>
  <si>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0981-6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</si>
  <si>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0981-7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</si>
  <si>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1045-1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</si>
  <si>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1045-2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</si>
  <si>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1045-3</t>
    </r>
  </si>
  <si>
    <t>21269-1</t>
  </si>
  <si>
    <t>21269-2</t>
  </si>
  <si>
    <t>21069-1</t>
  </si>
  <si>
    <t>21069-2</t>
  </si>
  <si>
    <t>21069-3</t>
  </si>
  <si>
    <t>21069-4</t>
  </si>
  <si>
    <t>21070-1</t>
  </si>
  <si>
    <t>21070-2</t>
  </si>
  <si>
    <t>21070-3</t>
  </si>
  <si>
    <t>21070-4</t>
  </si>
  <si>
    <t>21070-5</t>
  </si>
  <si>
    <t>21070-6</t>
  </si>
  <si>
    <t>21070-7</t>
  </si>
  <si>
    <t>21070-8</t>
  </si>
  <si>
    <t>21701-2</t>
  </si>
  <si>
    <t>21701-3</t>
  </si>
  <si>
    <t>21701-4</t>
  </si>
  <si>
    <t>21701-5</t>
  </si>
  <si>
    <t>21701-6</t>
  </si>
  <si>
    <t>21701-7</t>
  </si>
  <si>
    <t>22795-1</t>
  </si>
  <si>
    <t>22795-2</t>
  </si>
  <si>
    <t>22751-3</t>
  </si>
  <si>
    <t>22751-4</t>
  </si>
  <si>
    <t>22933-1</t>
  </si>
  <si>
    <t>22933-2</t>
  </si>
  <si>
    <t>22933-3</t>
  </si>
  <si>
    <t>22797-1</t>
  </si>
  <si>
    <t>23274-1</t>
  </si>
  <si>
    <t>23274-2</t>
  </si>
  <si>
    <t>23274-3</t>
  </si>
  <si>
    <t>23274-4</t>
  </si>
  <si>
    <t>25247-1</t>
  </si>
  <si>
    <t>25247-2</t>
  </si>
  <si>
    <t>25247-3</t>
  </si>
  <si>
    <t>25247-4</t>
  </si>
  <si>
    <t>25247-5</t>
  </si>
  <si>
    <t>25247-6</t>
  </si>
  <si>
    <t>25247-7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</si>
  <si>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</si>
  <si>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</si>
  <si>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</si>
  <si>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5545-4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</si>
  <si>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5545-5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</si>
  <si>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5545-6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</si>
  <si>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5545-7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</si>
  <si>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5545-8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</si>
  <si>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5545-9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</si>
  <si>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5545-10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</si>
  <si>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5545-11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</si>
  <si>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5545-12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</si>
  <si>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5545-13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</si>
  <si>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5545-14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</si>
  <si>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5545-15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</si>
  <si>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5545-16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</si>
  <si>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5545-17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</si>
  <si>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5545-18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</si>
  <si>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5545-19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</si>
  <si>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5545-20</t>
    </r>
  </si>
  <si>
    <t>25967-1</t>
  </si>
  <si>
    <t>25967-2</t>
  </si>
  <si>
    <t>25967-3</t>
  </si>
  <si>
    <t>25967-4</t>
  </si>
  <si>
    <t>25967-5</t>
  </si>
  <si>
    <t>00076-1</t>
  </si>
  <si>
    <t>00076-2</t>
  </si>
  <si>
    <t>00076-3</t>
  </si>
  <si>
    <t>787-1</t>
  </si>
  <si>
    <t>474-1</t>
  </si>
  <si>
    <t>21757-1</t>
  </si>
  <si>
    <t>21757-2</t>
  </si>
  <si>
    <t>21757-3</t>
  </si>
  <si>
    <t>21757-4</t>
  </si>
  <si>
    <t>标定G量</t>
  </si>
  <si>
    <t>称样量</t>
  </si>
  <si>
    <t>稀释倍数</t>
  </si>
  <si>
    <t>滴定量</t>
  </si>
  <si>
    <t>糖含量g/100g</t>
  </si>
  <si>
    <t>平均值</t>
  </si>
  <si>
    <t>误差</t>
  </si>
  <si>
    <t>质量差</t>
  </si>
  <si>
    <t>35700-1</t>
  </si>
  <si>
    <t>糖</t>
  </si>
  <si>
    <t>定250</t>
  </si>
  <si>
    <t>03064-1</t>
  </si>
  <si>
    <t>鹿胎膏</t>
  </si>
  <si>
    <r>
      <rPr>
        <sz val="12"/>
        <color indexed="8"/>
        <rFont val="微软雅黑"/>
        <charset val="134"/>
      </rPr>
      <t>3</t>
    </r>
    <r>
      <rPr>
        <sz val="12"/>
        <color indexed="8"/>
        <rFont val="微软雅黑"/>
        <charset val="134"/>
      </rPr>
      <t>9738-1</t>
    </r>
  </si>
  <si>
    <t>草莓果酱</t>
  </si>
  <si>
    <r>
      <rPr>
        <sz val="12"/>
        <color indexed="8"/>
        <rFont val="微软雅黑"/>
        <charset val="134"/>
      </rPr>
      <t>2</t>
    </r>
    <r>
      <rPr>
        <sz val="12"/>
        <color indexed="8"/>
        <rFont val="微软雅黑"/>
        <charset val="134"/>
      </rPr>
      <t>2455--1</t>
    </r>
  </si>
  <si>
    <t>1.3g小球硬糖（树莓味）</t>
  </si>
  <si>
    <r>
      <rPr>
        <sz val="12"/>
        <color indexed="8"/>
        <rFont val="微软雅黑"/>
        <charset val="134"/>
      </rPr>
      <t>2</t>
    </r>
    <r>
      <rPr>
        <sz val="12"/>
        <color indexed="8"/>
        <rFont val="微软雅黑"/>
        <charset val="134"/>
      </rPr>
      <t>2455--2</t>
    </r>
  </si>
  <si>
    <t>6.0g大莓子软糖</t>
  </si>
  <si>
    <t>22774-1</t>
  </si>
  <si>
    <t>草本清润软糖</t>
  </si>
  <si>
    <t>22880-1</t>
  </si>
  <si>
    <t>1.5g酸小不点软糖</t>
  </si>
  <si>
    <t>43962-15</t>
  </si>
  <si>
    <t>4</t>
  </si>
  <si>
    <t>43962-16</t>
  </si>
  <si>
    <t>酒</t>
  </si>
  <si>
    <t>定100</t>
  </si>
  <si>
    <t>43962-17</t>
  </si>
  <si>
    <t>04254-3</t>
  </si>
  <si>
    <t>04254-4</t>
  </si>
  <si>
    <t>04254-5</t>
  </si>
  <si>
    <t>04254-6</t>
  </si>
  <si>
    <t>04254-7</t>
  </si>
  <si>
    <t>44415-1</t>
  </si>
  <si>
    <t>45572-1</t>
  </si>
  <si>
    <t>黑蒜</t>
  </si>
  <si>
    <t>47075-1</t>
  </si>
  <si>
    <t>43316-2</t>
  </si>
  <si>
    <t>苹果干</t>
  </si>
  <si>
    <t>43316-3</t>
  </si>
  <si>
    <t>47651-1</t>
  </si>
  <si>
    <t>彩虹糖</t>
  </si>
  <si>
    <t>48105-1</t>
  </si>
  <si>
    <t>甜面酱</t>
  </si>
  <si>
    <t>48455-1</t>
  </si>
  <si>
    <t>淀粉糖</t>
  </si>
  <si>
    <t>49970-9</t>
  </si>
  <si>
    <t>49973-11</t>
  </si>
  <si>
    <t>50947-5</t>
  </si>
  <si>
    <t>51183-4</t>
  </si>
  <si>
    <t>苹果脯</t>
  </si>
  <si>
    <t>51183-5</t>
  </si>
  <si>
    <t>51183-6</t>
  </si>
  <si>
    <t>51183-7</t>
  </si>
  <si>
    <t>51698-1</t>
  </si>
  <si>
    <t>优果糖(复合淀粉糖)</t>
  </si>
  <si>
    <t>51698-2</t>
  </si>
  <si>
    <t>复合淀粉糖</t>
  </si>
  <si>
    <t>51604-3</t>
  </si>
  <si>
    <t>88-1</t>
  </si>
  <si>
    <t>大白兔奶糖</t>
  </si>
  <si>
    <t>28002-1</t>
  </si>
  <si>
    <t>28002-4</t>
  </si>
  <si>
    <t>28002-6</t>
  </si>
  <si>
    <t>28002-7</t>
  </si>
  <si>
    <t>28002-13</t>
  </si>
  <si>
    <t>28002-14</t>
  </si>
  <si>
    <t>28002-19</t>
  </si>
  <si>
    <t>156-2</t>
  </si>
  <si>
    <t>156-3</t>
  </si>
  <si>
    <t>326-1</t>
  </si>
  <si>
    <t>1281-1</t>
  </si>
  <si>
    <t>1281-2</t>
  </si>
  <si>
    <t>1554-1</t>
  </si>
  <si>
    <t>1554-3</t>
  </si>
  <si>
    <t xml:space="preserve"> </t>
  </si>
  <si>
    <t>初测样品</t>
  </si>
  <si>
    <t>934-1</t>
  </si>
  <si>
    <t>2522-1</t>
  </si>
  <si>
    <t>2522-2</t>
  </si>
  <si>
    <t>2709-1</t>
  </si>
  <si>
    <t>复测</t>
  </si>
  <si>
    <t>30108-1</t>
  </si>
  <si>
    <t>47493-1</t>
  </si>
  <si>
    <t>47803-2</t>
  </si>
  <si>
    <t>47803-3</t>
  </si>
  <si>
    <t>47803-1</t>
  </si>
  <si>
    <t>07881-2</t>
  </si>
  <si>
    <t>07881-3</t>
  </si>
  <si>
    <t>07881-4</t>
  </si>
  <si>
    <t>31811-1</t>
  </si>
  <si>
    <t>49844-1</t>
  </si>
  <si>
    <t>51611-1</t>
  </si>
  <si>
    <t>08546-1</t>
  </si>
  <si>
    <t>08546-2</t>
  </si>
  <si>
    <t>08546-3</t>
  </si>
  <si>
    <t>08546-4</t>
  </si>
  <si>
    <t>55774-3</t>
  </si>
  <si>
    <t>57266-1</t>
  </si>
  <si>
    <t>57726-1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</si>
  <si>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90-1</t>
    </r>
  </si>
  <si>
    <t>02830-1</t>
  </si>
  <si>
    <t>02830-2</t>
  </si>
  <si>
    <t>00152-2</t>
  </si>
  <si>
    <t>3830-1</t>
  </si>
  <si>
    <t>3830-2</t>
  </si>
  <si>
    <t>3830-3</t>
  </si>
  <si>
    <t>3830-4</t>
  </si>
  <si>
    <t>3830-5</t>
  </si>
  <si>
    <t>2552-1</t>
  </si>
  <si>
    <t>2552-2</t>
  </si>
  <si>
    <t>06061-1定容100</t>
  </si>
  <si>
    <t>07009-4</t>
  </si>
  <si>
    <t>07009-5</t>
  </si>
  <si>
    <t>06885-1</t>
  </si>
  <si>
    <t>08897-2</t>
  </si>
  <si>
    <t>08897-4</t>
  </si>
  <si>
    <t>14236-1</t>
  </si>
  <si>
    <t>13919-1</t>
  </si>
  <si>
    <t>13919-2</t>
  </si>
  <si>
    <t>13919-3</t>
  </si>
  <si>
    <t>13919-4</t>
  </si>
  <si>
    <t>08897-1</t>
  </si>
  <si>
    <t>08897-5</t>
  </si>
  <si>
    <t>10319-11</t>
  </si>
  <si>
    <t>11915-1</t>
  </si>
  <si>
    <t>2.5772</t>
  </si>
  <si>
    <t>14366-1</t>
  </si>
  <si>
    <t>14740-16</t>
  </si>
  <si>
    <t>21875-3</t>
  </si>
  <si>
    <t>21875-4</t>
  </si>
  <si>
    <t>23629-7</t>
  </si>
  <si>
    <t>23629-8</t>
  </si>
  <si>
    <t>23542-2</t>
  </si>
  <si>
    <t>24923-1</t>
  </si>
  <si>
    <t>18928002</t>
  </si>
  <si>
    <t>18928003</t>
  </si>
  <si>
    <t>17062-14</t>
  </si>
  <si>
    <r>
      <rPr>
        <b/>
        <sz val="14"/>
        <color indexed="8"/>
        <rFont val="微软雅黑"/>
        <charset val="134"/>
      </rPr>
      <t>0</t>
    </r>
    <r>
      <rPr>
        <b/>
        <sz val="14"/>
        <color indexed="8"/>
        <rFont val="微软雅黑"/>
        <charset val="134"/>
      </rPr>
      <t>6315-1</t>
    </r>
  </si>
  <si>
    <t>28417-1</t>
  </si>
  <si>
    <r>
      <rPr>
        <b/>
        <sz val="14"/>
        <color indexed="8"/>
        <rFont val="微软雅黑"/>
        <charset val="134"/>
      </rPr>
      <t>1</t>
    </r>
    <r>
      <rPr>
        <b/>
        <sz val="14"/>
        <color indexed="8"/>
        <rFont val="微软雅黑"/>
        <charset val="134"/>
      </rPr>
      <t>7332-1</t>
    </r>
  </si>
  <si>
    <t>29533-1</t>
  </si>
  <si>
    <t>29533-2</t>
  </si>
  <si>
    <t>20319-1</t>
  </si>
  <si>
    <t>20319-2</t>
  </si>
  <si>
    <t>20727-4</t>
  </si>
  <si>
    <t>29004-15</t>
  </si>
  <si>
    <t>20901-1</t>
  </si>
  <si>
    <t>20901-2</t>
  </si>
  <si>
    <t>20901-3</t>
  </si>
  <si>
    <t>20901-4</t>
  </si>
  <si>
    <t>20901-5</t>
  </si>
  <si>
    <t>20901-6</t>
  </si>
  <si>
    <t>20901-7</t>
  </si>
  <si>
    <t>20901-8</t>
  </si>
  <si>
    <t>20901-9</t>
  </si>
  <si>
    <t>20901-10</t>
  </si>
  <si>
    <t>20901-11</t>
  </si>
  <si>
    <t>20901-12</t>
  </si>
  <si>
    <t>20929-1</t>
  </si>
  <si>
    <t>20929-3</t>
  </si>
  <si>
    <t>20929-7</t>
  </si>
  <si>
    <t>20929-8</t>
  </si>
  <si>
    <t>20929-9</t>
  </si>
  <si>
    <t>20929-11</t>
  </si>
  <si>
    <t>21148-1</t>
  </si>
  <si>
    <t>21148-2</t>
  </si>
  <si>
    <t>30289-1</t>
  </si>
  <si>
    <t>30388-4</t>
  </si>
  <si>
    <t>30388-5</t>
  </si>
  <si>
    <t>27118-1</t>
  </si>
  <si>
    <t>21474-1</t>
  </si>
  <si>
    <t>22178-15</t>
  </si>
  <si>
    <t>22803-9</t>
  </si>
  <si>
    <t>8040</t>
  </si>
  <si>
    <t>35855-1</t>
  </si>
  <si>
    <t>35855-2</t>
  </si>
  <si>
    <t>35855-3</t>
  </si>
  <si>
    <t>35855-4</t>
  </si>
  <si>
    <t>35855-5</t>
  </si>
  <si>
    <t>35855-6</t>
  </si>
  <si>
    <t>35855-7</t>
  </si>
  <si>
    <t>23803-2</t>
  </si>
  <si>
    <t>22421-1</t>
  </si>
  <si>
    <t>24204-9</t>
  </si>
  <si>
    <t>定100 5212</t>
  </si>
  <si>
    <t>水</t>
  </si>
  <si>
    <t>34946-6</t>
  </si>
  <si>
    <t>35301-6</t>
  </si>
  <si>
    <t>35965-1</t>
  </si>
  <si>
    <t>35965-2</t>
  </si>
  <si>
    <t>24729-1</t>
  </si>
  <si>
    <t>24729-2</t>
  </si>
  <si>
    <t>24729-3</t>
  </si>
  <si>
    <t>24729-4</t>
  </si>
  <si>
    <t>24729-5</t>
  </si>
  <si>
    <t>24729-6</t>
  </si>
  <si>
    <t>24729-7</t>
  </si>
  <si>
    <t>24729-8</t>
  </si>
  <si>
    <t>24729-9</t>
  </si>
  <si>
    <t>24729-10</t>
  </si>
  <si>
    <t>24729-11</t>
  </si>
  <si>
    <t>24729-12</t>
  </si>
  <si>
    <t>24729-13</t>
  </si>
  <si>
    <t>24729-14</t>
  </si>
  <si>
    <t>24729-17</t>
  </si>
  <si>
    <t>24729-18</t>
  </si>
  <si>
    <t>24228-1</t>
  </si>
  <si>
    <t>36339-1</t>
  </si>
  <si>
    <t>25074-1</t>
  </si>
  <si>
    <t>25074-2</t>
  </si>
  <si>
    <t>25074-3</t>
  </si>
  <si>
    <t>24729-19</t>
  </si>
  <si>
    <t>24729-20</t>
  </si>
  <si>
    <t>24729-21</t>
  </si>
  <si>
    <t>24729-22</t>
  </si>
  <si>
    <t>36234-2</t>
  </si>
  <si>
    <t>37593-5</t>
  </si>
  <si>
    <t>5012</t>
  </si>
  <si>
    <t>25625-1</t>
  </si>
  <si>
    <t>25625-2</t>
  </si>
  <si>
    <t>25625-3</t>
  </si>
  <si>
    <t>26144-1</t>
  </si>
  <si>
    <t>26529-1</t>
  </si>
  <si>
    <t>26529-2</t>
  </si>
  <si>
    <t>26529-4</t>
  </si>
  <si>
    <t>26529-7</t>
  </si>
  <si>
    <t>样品编号</t>
  </si>
  <si>
    <t>34692-1</t>
  </si>
  <si>
    <t>法式鸭肝酱</t>
  </si>
  <si>
    <t>35326-1</t>
  </si>
  <si>
    <t>凝胶糖果</t>
  </si>
  <si>
    <t>35686-1</t>
  </si>
  <si>
    <t>38005-1</t>
  </si>
  <si>
    <t>20306-1</t>
  </si>
  <si>
    <t>蛋白糖浆</t>
  </si>
  <si>
    <t>XF PRC®凝胶糖果</t>
  </si>
  <si>
    <t>24349-1</t>
  </si>
  <si>
    <t>饲料</t>
  </si>
  <si>
    <t>42033-3</t>
  </si>
  <si>
    <t>发酵液</t>
  </si>
  <si>
    <t>42033-4</t>
  </si>
  <si>
    <t>42033-5</t>
  </si>
  <si>
    <t>42033-6</t>
  </si>
  <si>
    <t>42033-7</t>
  </si>
  <si>
    <t>42033-8</t>
  </si>
  <si>
    <t>42542-2</t>
  </si>
  <si>
    <t>鸡蛋豆腐浆</t>
  </si>
  <si>
    <t>44212-1</t>
  </si>
  <si>
    <t>南极磷虾油凝胶糖果</t>
  </si>
  <si>
    <t>44125-1</t>
  </si>
  <si>
    <t>软糖</t>
  </si>
  <si>
    <t>45107001</t>
  </si>
  <si>
    <t>45344-1</t>
  </si>
  <si>
    <t>45879-1</t>
  </si>
  <si>
    <t>04254-2</t>
  </si>
  <si>
    <t>04254-8</t>
  </si>
  <si>
    <t>44879-9</t>
  </si>
  <si>
    <t>24828-1</t>
  </si>
  <si>
    <t>24828-2</t>
  </si>
  <si>
    <t>24828-3</t>
  </si>
  <si>
    <t>25124-1</t>
  </si>
  <si>
    <t>04563-1</t>
  </si>
  <si>
    <t>24370-1</t>
  </si>
  <si>
    <t>24370-2</t>
  </si>
  <si>
    <t>26287-1</t>
  </si>
  <si>
    <t>26287-2</t>
  </si>
  <si>
    <t>49615-2</t>
  </si>
  <si>
    <t>28259-1</t>
  </si>
  <si>
    <t>282-1</t>
  </si>
  <si>
    <t>645-1</t>
  </si>
  <si>
    <t>1948-1</t>
  </si>
  <si>
    <t>马铃薯雪花全粉</t>
  </si>
  <si>
    <t>23830-8</t>
  </si>
  <si>
    <t>1617-1</t>
  </si>
  <si>
    <t>34921</t>
  </si>
  <si>
    <t>06227-1</t>
  </si>
  <si>
    <t>30003-1</t>
  </si>
  <si>
    <t>43334-7</t>
  </si>
  <si>
    <t>43634-2</t>
  </si>
  <si>
    <t>46792001</t>
  </si>
  <si>
    <t>07721-1</t>
  </si>
  <si>
    <t>46792-1</t>
  </si>
  <si>
    <t>30875-1</t>
  </si>
  <si>
    <t>33282-1</t>
  </si>
  <si>
    <t>33282-2</t>
  </si>
  <si>
    <t>33282-3</t>
  </si>
  <si>
    <t>33282-4</t>
  </si>
  <si>
    <t>33246-1</t>
  </si>
  <si>
    <t>33246-2</t>
  </si>
  <si>
    <t>33246-3</t>
  </si>
  <si>
    <t>33246-4</t>
  </si>
  <si>
    <t>38136-1</t>
  </si>
  <si>
    <t>38136-2</t>
  </si>
  <si>
    <r>
      <rPr>
        <b/>
        <sz val="14"/>
        <color indexed="8"/>
        <rFont val="微软雅黑"/>
        <charset val="134"/>
      </rPr>
      <t>0</t>
    </r>
    <r>
      <rPr>
        <b/>
        <sz val="14"/>
        <color indexed="8"/>
        <rFont val="微软雅黑"/>
        <charset val="134"/>
      </rPr>
      <t>00195-14</t>
    </r>
  </si>
  <si>
    <t>03594</t>
  </si>
  <si>
    <t>09287-8</t>
  </si>
  <si>
    <t>06231-1</t>
  </si>
  <si>
    <t>FFS06471-1</t>
  </si>
  <si>
    <t>10028-1</t>
  </si>
  <si>
    <t>10026-1</t>
  </si>
  <si>
    <t>11479-52</t>
  </si>
  <si>
    <t>8897-3</t>
  </si>
  <si>
    <t>21020-1</t>
  </si>
  <si>
    <t>187731</t>
  </si>
  <si>
    <t>08651-1</t>
  </si>
  <si>
    <t>21875-1</t>
  </si>
  <si>
    <t>醋膏</t>
  </si>
  <si>
    <t>21875-2</t>
  </si>
  <si>
    <t>15327-1</t>
  </si>
  <si>
    <t>16372-1</t>
  </si>
  <si>
    <t>19060-1</t>
  </si>
  <si>
    <t>11228-1</t>
  </si>
  <si>
    <t>27138-1</t>
  </si>
  <si>
    <r>
      <rPr>
        <b/>
        <sz val="14"/>
        <color indexed="8"/>
        <rFont val="微软雅黑"/>
        <charset val="134"/>
      </rPr>
      <t>2</t>
    </r>
    <r>
      <rPr>
        <b/>
        <sz val="14"/>
        <color indexed="8"/>
        <rFont val="微软雅黑"/>
        <charset val="134"/>
      </rPr>
      <t>0676-1</t>
    </r>
  </si>
  <si>
    <t>20166-1</t>
  </si>
  <si>
    <t>29057-3</t>
  </si>
  <si>
    <t>29057-4</t>
  </si>
  <si>
    <t>20727-1</t>
  </si>
  <si>
    <t>20727-2</t>
  </si>
  <si>
    <t>20727-3</t>
  </si>
  <si>
    <t>28835-1</t>
  </si>
  <si>
    <t>28835-2</t>
  </si>
  <si>
    <t>20901-13</t>
  </si>
  <si>
    <t>20935-5</t>
  </si>
  <si>
    <t>06901-1</t>
  </si>
  <si>
    <t>22178-14</t>
  </si>
  <si>
    <t>23035-1</t>
  </si>
  <si>
    <t>23494-1</t>
  </si>
  <si>
    <t>37286-1</t>
  </si>
  <si>
    <t>37286-2</t>
  </si>
  <si>
    <t>37286-3</t>
  </si>
  <si>
    <t>37286-4</t>
  </si>
  <si>
    <t>37286-5</t>
  </si>
  <si>
    <t>37286-6</t>
  </si>
  <si>
    <t>11229-1</t>
  </si>
  <si>
    <t>35218-1</t>
  </si>
  <si>
    <t>面包</t>
  </si>
  <si>
    <t>19048-1</t>
  </si>
  <si>
    <t>碱水球面包</t>
  </si>
  <si>
    <t>19048-2</t>
  </si>
  <si>
    <t>19048-3</t>
  </si>
  <si>
    <t>19048-4</t>
  </si>
  <si>
    <t>19048-5</t>
  </si>
  <si>
    <t>19048-6</t>
  </si>
  <si>
    <t>19048-7</t>
  </si>
  <si>
    <t>19048-8</t>
  </si>
  <si>
    <t>37645-1</t>
  </si>
  <si>
    <t>奶黄烧蛋糕</t>
  </si>
  <si>
    <t>20608-1</t>
  </si>
  <si>
    <t>三明治</t>
  </si>
  <si>
    <t>20308-2</t>
  </si>
  <si>
    <t>糯米烧麦</t>
  </si>
  <si>
    <t>20874-1</t>
  </si>
  <si>
    <t>铜锣烧</t>
  </si>
  <si>
    <r>
      <rPr>
        <b/>
        <sz val="14"/>
        <color indexed="8"/>
        <rFont val="微软雅黑"/>
        <charset val="134"/>
      </rPr>
      <t>3</t>
    </r>
    <r>
      <rPr>
        <b/>
        <sz val="14"/>
        <color indexed="8"/>
        <rFont val="微软雅黑"/>
        <charset val="134"/>
      </rPr>
      <t>8792-6</t>
    </r>
  </si>
  <si>
    <t>鸡腿火腿三明治</t>
  </si>
  <si>
    <t>39969-1</t>
  </si>
  <si>
    <t>清脆梅</t>
  </si>
  <si>
    <t>41752-1</t>
  </si>
  <si>
    <t>味增汤</t>
  </si>
  <si>
    <t>41752-2</t>
  </si>
  <si>
    <t>美味美香烤馍片</t>
  </si>
  <si>
    <r>
      <rPr>
        <b/>
        <sz val="14"/>
        <color indexed="8"/>
        <rFont val="微软雅黑"/>
        <charset val="134"/>
      </rPr>
      <t>2</t>
    </r>
    <r>
      <rPr>
        <b/>
        <sz val="14"/>
        <color indexed="8"/>
        <rFont val="微软雅黑"/>
        <charset val="134"/>
      </rPr>
      <t>2310-2</t>
    </r>
  </si>
  <si>
    <t>美味美烤花卷</t>
  </si>
  <si>
    <r>
      <rPr>
        <b/>
        <sz val="14"/>
        <color indexed="8"/>
        <rFont val="微软雅黑"/>
        <charset val="134"/>
      </rPr>
      <t>2</t>
    </r>
    <r>
      <rPr>
        <b/>
        <sz val="14"/>
        <color indexed="8"/>
        <rFont val="微软雅黑"/>
        <charset val="134"/>
      </rPr>
      <t>2310-3</t>
    </r>
  </si>
  <si>
    <t>美味美脆皮蛋仔烧</t>
  </si>
  <si>
    <r>
      <rPr>
        <b/>
        <sz val="14"/>
        <color indexed="8"/>
        <rFont val="微软雅黑"/>
        <charset val="134"/>
      </rPr>
      <t>2</t>
    </r>
    <r>
      <rPr>
        <b/>
        <sz val="14"/>
        <color indexed="8"/>
        <rFont val="微软雅黑"/>
        <charset val="134"/>
      </rPr>
      <t>2310-4</t>
    </r>
  </si>
  <si>
    <t>黄土地奇炒</t>
  </si>
  <si>
    <t>41940-1</t>
  </si>
  <si>
    <t>麦芽糖醇液</t>
  </si>
  <si>
    <t>42151-1</t>
  </si>
  <si>
    <t>沙拉酱</t>
  </si>
  <si>
    <r>
      <rPr>
        <b/>
        <sz val="14"/>
        <color indexed="8"/>
        <rFont val="微软雅黑"/>
        <charset val="134"/>
      </rPr>
      <t>K</t>
    </r>
    <r>
      <rPr>
        <b/>
        <sz val="14"/>
        <color indexed="8"/>
        <rFont val="微软雅黑"/>
        <charset val="134"/>
      </rPr>
      <t>34</t>
    </r>
  </si>
  <si>
    <r>
      <rPr>
        <b/>
        <sz val="14"/>
        <color indexed="8"/>
        <rFont val="微软雅黑"/>
        <charset val="134"/>
      </rPr>
      <t>K</t>
    </r>
    <r>
      <rPr>
        <b/>
        <sz val="14"/>
        <color indexed="8"/>
        <rFont val="微软雅黑"/>
        <charset val="134"/>
      </rPr>
      <t>35</t>
    </r>
  </si>
  <si>
    <r>
      <rPr>
        <b/>
        <sz val="14"/>
        <color indexed="8"/>
        <rFont val="微软雅黑"/>
        <charset val="134"/>
      </rPr>
      <t>K</t>
    </r>
    <r>
      <rPr>
        <b/>
        <sz val="14"/>
        <color indexed="8"/>
        <rFont val="微软雅黑"/>
        <charset val="134"/>
      </rPr>
      <t>36</t>
    </r>
  </si>
  <si>
    <r>
      <rPr>
        <b/>
        <sz val="14"/>
        <color indexed="8"/>
        <rFont val="微软雅黑"/>
        <charset val="134"/>
      </rPr>
      <t>K</t>
    </r>
    <r>
      <rPr>
        <b/>
        <sz val="14"/>
        <color indexed="8"/>
        <rFont val="微软雅黑"/>
        <charset val="134"/>
      </rPr>
      <t>37</t>
    </r>
  </si>
  <si>
    <r>
      <rPr>
        <b/>
        <sz val="14"/>
        <color indexed="8"/>
        <rFont val="微软雅黑"/>
        <charset val="134"/>
      </rPr>
      <t>K</t>
    </r>
    <r>
      <rPr>
        <b/>
        <sz val="14"/>
        <color indexed="8"/>
        <rFont val="微软雅黑"/>
        <charset val="134"/>
      </rPr>
      <t>38</t>
    </r>
  </si>
  <si>
    <t>K43</t>
  </si>
  <si>
    <t>K44</t>
  </si>
  <si>
    <t>K45</t>
  </si>
  <si>
    <t>43003-3</t>
  </si>
  <si>
    <t>食品馅料【低糖台式绿豆沙馅】</t>
  </si>
  <si>
    <t>43003-4</t>
  </si>
  <si>
    <t>42996-1</t>
  </si>
  <si>
    <t>绿豆沙馅</t>
  </si>
  <si>
    <t>43103-1</t>
  </si>
  <si>
    <t>火腿片</t>
  </si>
  <si>
    <t>24344-1</t>
  </si>
  <si>
    <t>蛋糕</t>
  </si>
  <si>
    <t>24933-1</t>
  </si>
  <si>
    <t>24933-6</t>
  </si>
  <si>
    <t>25369-2</t>
  </si>
  <si>
    <t>25338-1</t>
  </si>
  <si>
    <t>25757-1</t>
  </si>
  <si>
    <t>46773-10</t>
  </si>
  <si>
    <t>49608-1</t>
  </si>
  <si>
    <t>49068-1</t>
  </si>
  <si>
    <t>49068-2</t>
  </si>
  <si>
    <t>26648-1</t>
  </si>
  <si>
    <t>黑芝麻元宵</t>
  </si>
  <si>
    <t>26661-1</t>
  </si>
  <si>
    <t>25929-2</t>
  </si>
  <si>
    <t>26967-1</t>
  </si>
  <si>
    <t>27107-1</t>
  </si>
  <si>
    <t>27718-2</t>
  </si>
  <si>
    <t>东方甄选蛋黄酥</t>
  </si>
  <si>
    <t>25-1</t>
  </si>
  <si>
    <t>74-1</t>
  </si>
  <si>
    <t>614-1</t>
  </si>
  <si>
    <t>616-2</t>
  </si>
  <si>
    <t>696-1</t>
  </si>
  <si>
    <t>1459-1</t>
  </si>
  <si>
    <t>3260-1</t>
  </si>
  <si>
    <t>3260-2</t>
  </si>
  <si>
    <t>3260-3</t>
  </si>
  <si>
    <t>3260-4</t>
  </si>
  <si>
    <t>3260-5</t>
  </si>
  <si>
    <t>质疑</t>
  </si>
  <si>
    <t>23355-3</t>
  </si>
  <si>
    <t>46210-1</t>
  </si>
  <si>
    <t>20108-2</t>
  </si>
  <si>
    <t>20108-3</t>
  </si>
  <si>
    <t>20108-4</t>
  </si>
  <si>
    <t>20108-5</t>
  </si>
  <si>
    <t>20108-6</t>
  </si>
  <si>
    <t>46936-1</t>
  </si>
  <si>
    <t>31574-3</t>
  </si>
  <si>
    <t>47465-1</t>
  </si>
  <si>
    <t>47465-3</t>
  </si>
  <si>
    <t>47465-5</t>
  </si>
  <si>
    <t>47465-7</t>
  </si>
  <si>
    <t>47465-9</t>
  </si>
  <si>
    <t>31876-1</t>
  </si>
  <si>
    <t>32314-1</t>
  </si>
  <si>
    <t>定容200</t>
  </si>
  <si>
    <t>33173-4</t>
  </si>
  <si>
    <t>49302-1</t>
  </si>
  <si>
    <t>50191-4</t>
  </si>
  <si>
    <t>57110-1</t>
  </si>
  <si>
    <t>688-1</t>
  </si>
  <si>
    <t>1286-1</t>
  </si>
  <si>
    <t>475-1</t>
  </si>
  <si>
    <t>00076-4</t>
  </si>
  <si>
    <t>00076-5</t>
  </si>
  <si>
    <t>00965-1</t>
  </si>
  <si>
    <t>00965-2</t>
  </si>
  <si>
    <t>02061-1</t>
  </si>
  <si>
    <t>4710-1</t>
  </si>
  <si>
    <t>03594-1</t>
  </si>
  <si>
    <t>03594-2</t>
  </si>
  <si>
    <t>03594-3</t>
  </si>
  <si>
    <t>03594-4</t>
  </si>
  <si>
    <t>03594-5</t>
  </si>
  <si>
    <t>06738-4</t>
  </si>
  <si>
    <t>07197-1</t>
  </si>
  <si>
    <t>07722-3</t>
  </si>
  <si>
    <t>10573-1</t>
  </si>
  <si>
    <t>12882-1</t>
  </si>
  <si>
    <t>19662-1</t>
  </si>
  <si>
    <t>19662-2</t>
  </si>
  <si>
    <t>19662-3</t>
  </si>
  <si>
    <t>19662-4</t>
  </si>
  <si>
    <t>19662-5</t>
  </si>
  <si>
    <t>21089-1</t>
  </si>
  <si>
    <t>12885-2</t>
  </si>
  <si>
    <t>12887-2</t>
  </si>
  <si>
    <t>12889-2</t>
  </si>
  <si>
    <t>17450-1</t>
  </si>
  <si>
    <t>18687-1</t>
  </si>
  <si>
    <t>19219-1</t>
  </si>
  <si>
    <t>19219-2</t>
  </si>
  <si>
    <t>27111-1</t>
  </si>
  <si>
    <t>28820-1</t>
  </si>
  <si>
    <t>22038-1</t>
  </si>
  <si>
    <t>22038-6</t>
  </si>
  <si>
    <t>24264-1</t>
  </si>
  <si>
    <t>24264-2</t>
  </si>
  <si>
    <t>36182-8</t>
  </si>
  <si>
    <t>36182-11</t>
  </si>
  <si>
    <t>36182-12</t>
  </si>
  <si>
    <t>25576-1</t>
  </si>
  <si>
    <t>35393-1</t>
  </si>
  <si>
    <t>芒果干</t>
  </si>
  <si>
    <t>3</t>
  </si>
  <si>
    <t>红杏干</t>
  </si>
  <si>
    <t>5</t>
  </si>
  <si>
    <t>蜜桔干</t>
  </si>
  <si>
    <t>9</t>
  </si>
  <si>
    <t>草莓干</t>
  </si>
  <si>
    <t>12</t>
  </si>
  <si>
    <t>奶芙黄桃</t>
  </si>
  <si>
    <t>7</t>
  </si>
  <si>
    <t>哈密瓜干</t>
  </si>
  <si>
    <t>11</t>
  </si>
  <si>
    <t>奶芙草莓</t>
  </si>
  <si>
    <t>13</t>
  </si>
  <si>
    <t>35412-1</t>
  </si>
  <si>
    <t>布丁蛋糕</t>
  </si>
  <si>
    <t>36124-1</t>
  </si>
  <si>
    <t>蓝莓干</t>
  </si>
  <si>
    <t>19367-2</t>
  </si>
  <si>
    <t>鲜花饼</t>
  </si>
  <si>
    <t>36401-1</t>
  </si>
  <si>
    <t>樱桃干</t>
  </si>
  <si>
    <t>36396</t>
  </si>
  <si>
    <t>肉松饼</t>
  </si>
  <si>
    <t>19722-1</t>
  </si>
  <si>
    <t>蒸蛋糕</t>
  </si>
  <si>
    <t>19722-2</t>
  </si>
  <si>
    <t>36779-1</t>
  </si>
  <si>
    <t>牛可可肉松饼</t>
  </si>
  <si>
    <t xml:space="preserve"> 碱水面包                          </t>
  </si>
  <si>
    <t>37249-1</t>
  </si>
  <si>
    <r>
      <rPr>
        <b/>
        <sz val="12"/>
        <color indexed="8"/>
        <rFont val="微软雅黑"/>
        <charset val="134"/>
      </rPr>
      <t>油香芋沙</t>
    </r>
    <r>
      <rPr>
        <sz val="12"/>
        <color indexed="8"/>
        <rFont val="微软雅黑"/>
        <charset val="134"/>
      </rPr>
      <t xml:space="preserve">               </t>
    </r>
  </si>
  <si>
    <t>.</t>
  </si>
  <si>
    <t>37767-1</t>
  </si>
  <si>
    <t>小鹿蓝蓝鸡内金山楂葫芦</t>
  </si>
  <si>
    <t>20532-1</t>
  </si>
  <si>
    <t>血糯米玉糕</t>
  </si>
  <si>
    <t>38264-1</t>
  </si>
  <si>
    <t>蛋仔派对蛋糕肉松味</t>
  </si>
  <si>
    <t>37643-1</t>
  </si>
  <si>
    <t>提拉米苏味抱抱卷蛋糕</t>
  </si>
  <si>
    <t>20858-1</t>
  </si>
  <si>
    <t>东方甄选华夫饼</t>
  </si>
  <si>
    <t>20420-1</t>
  </si>
  <si>
    <t>山楂条</t>
  </si>
  <si>
    <t>39175-1</t>
  </si>
  <si>
    <t>速冻樱桃</t>
  </si>
  <si>
    <t>24464-1</t>
  </si>
  <si>
    <t>七月鲜</t>
  </si>
  <si>
    <t>21161-2</t>
  </si>
  <si>
    <t>丑枣</t>
  </si>
  <si>
    <t>39433-1</t>
  </si>
  <si>
    <t>冰柿</t>
  </si>
  <si>
    <t>39745-2</t>
  </si>
  <si>
    <t>枣泥核桃酥糕点</t>
  </si>
  <si>
    <t>40086-1</t>
  </si>
  <si>
    <t>流心麻薯</t>
  </si>
  <si>
    <t>40086-2</t>
  </si>
  <si>
    <t>40086-3</t>
  </si>
  <si>
    <t>21640-1</t>
  </si>
  <si>
    <t>东方甄选蒸蛋糕（可可味）</t>
  </si>
  <si>
    <t>21473-1</t>
  </si>
  <si>
    <t>东方甄选蒸蛋糕</t>
  </si>
  <si>
    <t>21796-1</t>
  </si>
  <si>
    <t>丰滋交城骏枣</t>
  </si>
  <si>
    <t>21796-2</t>
  </si>
  <si>
    <t>丰滋壶瓶枣</t>
  </si>
  <si>
    <t>21796-3</t>
  </si>
  <si>
    <t>无核八宝枣（红枣蜜饯）</t>
  </si>
  <si>
    <t>35393-7</t>
  </si>
  <si>
    <t>41110-1</t>
  </si>
  <si>
    <t>蜜三刀</t>
  </si>
  <si>
    <t>41110-2</t>
  </si>
  <si>
    <t>羊角蜜</t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</si>
  <si>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1077-3</t>
    </r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</si>
  <si>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1077-4</t>
    </r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</si>
  <si>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1077-5</t>
    </r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</si>
  <si>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1077-6</t>
    </r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</si>
  <si>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1077-7</t>
    </r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</si>
  <si>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1184-3</t>
    </r>
  </si>
  <si>
    <t>果仁枣沙蛋糕</t>
  </si>
  <si>
    <t>41578-1</t>
  </si>
  <si>
    <t>奥巧蛋糕</t>
  </si>
  <si>
    <t>41940--2</t>
  </si>
  <si>
    <t>麦芽糖浆</t>
  </si>
  <si>
    <t>41873-1</t>
  </si>
  <si>
    <t>食品馅料</t>
  </si>
  <si>
    <t>41873-2</t>
  </si>
  <si>
    <t>41873-3</t>
  </si>
  <si>
    <t>41873-4</t>
  </si>
  <si>
    <t>41873-5</t>
  </si>
  <si>
    <t>41873-6</t>
  </si>
  <si>
    <r>
      <rPr>
        <sz val="12"/>
        <color indexed="8"/>
        <rFont val="微软雅黑"/>
        <charset val="134"/>
      </rPr>
      <t>4</t>
    </r>
    <r>
      <rPr>
        <sz val="12"/>
        <color indexed="8"/>
        <rFont val="微软雅黑"/>
        <charset val="134"/>
      </rPr>
      <t>1125-2</t>
    </r>
  </si>
  <si>
    <t>糖葫芦</t>
  </si>
  <si>
    <t>23116-1</t>
  </si>
  <si>
    <t>枸杞</t>
  </si>
  <si>
    <t>42724-1</t>
  </si>
  <si>
    <t>43104-1</t>
  </si>
  <si>
    <t>小馒头</t>
  </si>
  <si>
    <t>43104-2</t>
  </si>
  <si>
    <t>41125-2</t>
  </si>
  <si>
    <t>草莓冻干</t>
  </si>
  <si>
    <t>42989-1</t>
  </si>
  <si>
    <t>YZ57H鹰嘴豆沙馅料</t>
  </si>
  <si>
    <t>4.7854</t>
  </si>
  <si>
    <t>红豆沙馅料</t>
  </si>
  <si>
    <t>43273-1</t>
  </si>
  <si>
    <t>43578</t>
  </si>
  <si>
    <t>蔓越莓干</t>
  </si>
  <si>
    <t>42930-5</t>
  </si>
  <si>
    <t>葡萄干</t>
  </si>
  <si>
    <t>23493-1</t>
  </si>
  <si>
    <t>芝麻海苔鸡肉酥</t>
  </si>
  <si>
    <t>41851-1</t>
  </si>
  <si>
    <t>44642-1</t>
  </si>
  <si>
    <t>43910-1</t>
  </si>
  <si>
    <t>枫糖味馅料</t>
  </si>
  <si>
    <t>43988-3</t>
  </si>
  <si>
    <t>蓝蓝零食_童趣造型多味山楂棒/300g【原味】</t>
  </si>
  <si>
    <t>43988-4</t>
  </si>
  <si>
    <t>蓝蓝零食_童趣造型多味山楂棒/301g【原味】</t>
  </si>
  <si>
    <t>43988-5</t>
  </si>
  <si>
    <t>蓝蓝零食_童趣造型多味山楂棒/302g【原味】</t>
  </si>
  <si>
    <t>23797-1</t>
  </si>
  <si>
    <t>东方甄选爆浆蔓越莓丸</t>
  </si>
  <si>
    <t>44484-3</t>
  </si>
  <si>
    <t>44484-4</t>
  </si>
  <si>
    <t>蔓越莓</t>
  </si>
  <si>
    <t>44484-5</t>
  </si>
  <si>
    <t>杏</t>
  </si>
  <si>
    <t>44484-6</t>
  </si>
  <si>
    <t>橙皮丁</t>
  </si>
  <si>
    <t>44484-7</t>
  </si>
  <si>
    <t>柠檬皮丁</t>
  </si>
  <si>
    <t>44484-8</t>
  </si>
  <si>
    <t>胡柚皮丁</t>
  </si>
  <si>
    <t>41641-1</t>
  </si>
  <si>
    <t>灰枣</t>
  </si>
  <si>
    <t>4508701</t>
  </si>
  <si>
    <t>芝麻桃酥</t>
  </si>
  <si>
    <t>24482-1</t>
  </si>
  <si>
    <t>云南鲜花饼</t>
  </si>
  <si>
    <t>24520-2</t>
  </si>
  <si>
    <t>24402-1</t>
  </si>
  <si>
    <t>榴莲千层</t>
  </si>
  <si>
    <t>23341-1</t>
  </si>
  <si>
    <t>华夫饼</t>
  </si>
  <si>
    <t>23341-2</t>
  </si>
  <si>
    <t>44818-1</t>
  </si>
  <si>
    <t>24344-2</t>
  </si>
  <si>
    <t>48810-11</t>
  </si>
  <si>
    <t>48810-12</t>
  </si>
  <si>
    <t>48810-13</t>
  </si>
  <si>
    <t>48810-14</t>
  </si>
  <si>
    <t>48810-15</t>
  </si>
  <si>
    <t>48810-16</t>
  </si>
  <si>
    <t>48810-17</t>
  </si>
  <si>
    <t>48810-18</t>
  </si>
  <si>
    <t>45647-1</t>
  </si>
  <si>
    <t>24933-2</t>
  </si>
  <si>
    <t>24933-3</t>
  </si>
  <si>
    <t>45472-1</t>
  </si>
  <si>
    <t>46255-1</t>
  </si>
  <si>
    <t>46327-1</t>
  </si>
  <si>
    <t>25292-1</t>
  </si>
  <si>
    <t>24898001</t>
  </si>
  <si>
    <t>蜜饯</t>
  </si>
  <si>
    <t>45914-1</t>
  </si>
  <si>
    <t>25369-1</t>
  </si>
  <si>
    <t>46685-1</t>
  </si>
  <si>
    <t>47025-1</t>
  </si>
  <si>
    <t>25444-2</t>
  </si>
  <si>
    <t>47234-1</t>
  </si>
  <si>
    <t>杏干</t>
  </si>
  <si>
    <t>46591-1</t>
  </si>
  <si>
    <t>47316-2</t>
  </si>
  <si>
    <t>47316-3</t>
  </si>
  <si>
    <t>25719-1</t>
  </si>
  <si>
    <t>太阳饼</t>
  </si>
  <si>
    <t>47476-1</t>
  </si>
  <si>
    <t>夹心山楂</t>
  </si>
  <si>
    <t>25662-1</t>
  </si>
  <si>
    <t>25853-1</t>
  </si>
  <si>
    <t>46773-8</t>
  </si>
  <si>
    <t>26102-1</t>
  </si>
  <si>
    <t>48431-1</t>
  </si>
  <si>
    <t>48680-1</t>
  </si>
  <si>
    <t>48680-2</t>
  </si>
  <si>
    <t>48680-3</t>
  </si>
  <si>
    <t>48680-4</t>
  </si>
  <si>
    <t>48680-5</t>
  </si>
  <si>
    <t>48680-6</t>
  </si>
  <si>
    <t>48680-7</t>
  </si>
  <si>
    <t>48680-8</t>
  </si>
  <si>
    <t>26449-1</t>
  </si>
  <si>
    <t>48594-1</t>
  </si>
  <si>
    <t>48596-1</t>
  </si>
  <si>
    <t>47552-2</t>
  </si>
  <si>
    <t>49403-1</t>
  </si>
  <si>
    <t>49319-1</t>
  </si>
  <si>
    <t>26526-1</t>
  </si>
  <si>
    <t>26526-2</t>
  </si>
  <si>
    <t>26526-3</t>
  </si>
  <si>
    <t>49068-3</t>
  </si>
  <si>
    <t>49747-1</t>
  </si>
  <si>
    <t>26969-1</t>
  </si>
  <si>
    <t>26968-1</t>
  </si>
  <si>
    <t>27151-1</t>
  </si>
  <si>
    <t>27151-2</t>
  </si>
  <si>
    <t>27151-3</t>
  </si>
  <si>
    <t>50320-3</t>
  </si>
  <si>
    <t>49903-1</t>
  </si>
  <si>
    <t>27432-1</t>
  </si>
  <si>
    <t>27718-1</t>
  </si>
  <si>
    <t>51443-1</t>
  </si>
  <si>
    <t>51262-1</t>
  </si>
  <si>
    <t>旺仔小馒头（特浓牛奶味）</t>
  </si>
  <si>
    <t>51577-1</t>
  </si>
  <si>
    <t>51577-2</t>
  </si>
  <si>
    <t>51577-3</t>
  </si>
  <si>
    <t>28076-1</t>
  </si>
  <si>
    <t>28076-2</t>
  </si>
  <si>
    <t>51933-1</t>
  </si>
  <si>
    <t>51933-2</t>
  </si>
  <si>
    <t>28076-3</t>
  </si>
  <si>
    <t>28076-4</t>
  </si>
  <si>
    <t>6-1</t>
  </si>
  <si>
    <t>28115-1</t>
  </si>
  <si>
    <t>28115-2</t>
  </si>
  <si>
    <t>432-1</t>
  </si>
  <si>
    <t>359-1</t>
  </si>
  <si>
    <t>333-2</t>
  </si>
  <si>
    <t>616-1</t>
  </si>
  <si>
    <t>923-2</t>
  </si>
  <si>
    <t>398-2</t>
  </si>
  <si>
    <t>879-1</t>
  </si>
  <si>
    <t>1708-1</t>
  </si>
  <si>
    <t>1881-1</t>
  </si>
  <si>
    <t>1900-1</t>
  </si>
  <si>
    <t>609-8</t>
  </si>
  <si>
    <t>794-1</t>
  </si>
  <si>
    <t>2009-1</t>
  </si>
  <si>
    <t>1163-1</t>
  </si>
  <si>
    <t>1163-2</t>
  </si>
  <si>
    <t>1163-3</t>
  </si>
  <si>
    <t>2365-1</t>
  </si>
  <si>
    <t>1312-1</t>
  </si>
  <si>
    <t>1529-1</t>
  </si>
  <si>
    <t>1529-2</t>
  </si>
  <si>
    <t>1541-1</t>
  </si>
  <si>
    <t>1541-2</t>
  </si>
  <si>
    <t>2777-1</t>
  </si>
  <si>
    <t>3128-1</t>
  </si>
  <si>
    <t>定200</t>
  </si>
  <si>
    <t>3128-2</t>
  </si>
  <si>
    <t>1822-3</t>
  </si>
  <si>
    <t>23355-1</t>
  </si>
  <si>
    <t>23355-4</t>
  </si>
  <si>
    <t>23355-5</t>
  </si>
  <si>
    <t>定251</t>
  </si>
  <si>
    <t>23355-6</t>
  </si>
  <si>
    <t>定252</t>
  </si>
  <si>
    <t>23355-7</t>
  </si>
  <si>
    <t>定253</t>
  </si>
  <si>
    <t>23354-6</t>
  </si>
  <si>
    <t>23354-7</t>
  </si>
  <si>
    <t>23581-1</t>
  </si>
  <si>
    <t>定254</t>
  </si>
  <si>
    <t>23581-2</t>
  </si>
  <si>
    <t>定255</t>
  </si>
  <si>
    <t>23581-3</t>
  </si>
  <si>
    <t>定256</t>
  </si>
  <si>
    <t>23581-4</t>
  </si>
  <si>
    <t>31423-1</t>
  </si>
  <si>
    <t>18792-1</t>
  </si>
  <si>
    <t>38148-1</t>
  </si>
  <si>
    <t>38148-2</t>
  </si>
  <si>
    <t>29996-1</t>
  </si>
  <si>
    <t>30343-1</t>
  </si>
  <si>
    <t>45366-1</t>
  </si>
  <si>
    <t>45366-2</t>
  </si>
  <si>
    <t>30708-1</t>
  </si>
  <si>
    <t>45484-3</t>
  </si>
  <si>
    <t>质疑复测</t>
  </si>
  <si>
    <t>46001-1</t>
  </si>
  <si>
    <t>30652-1</t>
  </si>
  <si>
    <t>45919-1</t>
  </si>
  <si>
    <t>46533-1</t>
  </si>
  <si>
    <t>30471-1</t>
  </si>
  <si>
    <t>30845-1</t>
  </si>
  <si>
    <t>46447-1</t>
  </si>
  <si>
    <t>46846-1</t>
  </si>
  <si>
    <t>46285-1</t>
  </si>
  <si>
    <t>46678-1</t>
  </si>
  <si>
    <t>46635-1</t>
  </si>
  <si>
    <t>47042-1</t>
  </si>
  <si>
    <t>47125-1</t>
  </si>
  <si>
    <t>47125-2</t>
  </si>
  <si>
    <t>47125-3</t>
  </si>
  <si>
    <t>47311-1</t>
  </si>
  <si>
    <t>47311-2</t>
  </si>
  <si>
    <t>31574-1</t>
  </si>
  <si>
    <t>31574-2</t>
  </si>
  <si>
    <t>47516-2</t>
  </si>
  <si>
    <t>45651-2</t>
  </si>
  <si>
    <t>46928-1</t>
  </si>
  <si>
    <t>46928-2</t>
  </si>
  <si>
    <t>47373-1</t>
  </si>
  <si>
    <t>47373-3</t>
  </si>
  <si>
    <t>47373-4</t>
  </si>
  <si>
    <t>47373-10</t>
  </si>
  <si>
    <t>47373-12</t>
  </si>
  <si>
    <t>47373-13</t>
  </si>
  <si>
    <t>47373-15</t>
  </si>
  <si>
    <t>47373-16</t>
  </si>
  <si>
    <t>47373-17</t>
  </si>
  <si>
    <t>47373-19</t>
  </si>
  <si>
    <t>11..10</t>
  </si>
  <si>
    <t>31816-2</t>
  </si>
  <si>
    <t>47660-1</t>
  </si>
  <si>
    <t>47660-3</t>
  </si>
  <si>
    <t>47661-1</t>
  </si>
  <si>
    <t>47661-3</t>
  </si>
  <si>
    <t>47937-12</t>
  </si>
  <si>
    <t>47940-1</t>
  </si>
  <si>
    <t>47940-3</t>
  </si>
  <si>
    <t>47940-5</t>
  </si>
  <si>
    <t>47940-6</t>
  </si>
  <si>
    <t>32295-1</t>
  </si>
  <si>
    <t>32295-3</t>
  </si>
  <si>
    <t>08079-1</t>
  </si>
  <si>
    <t>32498-7</t>
  </si>
  <si>
    <t>32498-8</t>
  </si>
  <si>
    <t>32498-9</t>
  </si>
  <si>
    <r>
      <rPr>
        <b/>
        <sz val="14"/>
        <color indexed="8"/>
        <rFont val="微软雅黑"/>
        <charset val="134"/>
      </rPr>
      <t>4</t>
    </r>
    <r>
      <rPr>
        <b/>
        <sz val="14"/>
        <color indexed="8"/>
        <rFont val="微软雅黑"/>
        <charset val="134"/>
      </rPr>
      <t>9426-1</t>
    </r>
  </si>
  <si>
    <r>
      <rPr>
        <b/>
        <sz val="14"/>
        <color indexed="8"/>
        <rFont val="微软雅黑"/>
        <charset val="134"/>
      </rPr>
      <t>4</t>
    </r>
    <r>
      <rPr>
        <b/>
        <sz val="14"/>
        <color indexed="8"/>
        <rFont val="微软雅黑"/>
        <charset val="134"/>
      </rPr>
      <t>8735-1</t>
    </r>
  </si>
  <si>
    <r>
      <rPr>
        <b/>
        <sz val="14"/>
        <color indexed="8"/>
        <rFont val="微软雅黑"/>
        <charset val="134"/>
      </rPr>
      <t>4</t>
    </r>
    <r>
      <rPr>
        <b/>
        <sz val="14"/>
        <color indexed="8"/>
        <rFont val="微软雅黑"/>
        <charset val="134"/>
      </rPr>
      <t>8820-1</t>
    </r>
  </si>
  <si>
    <r>
      <rPr>
        <b/>
        <sz val="14"/>
        <color indexed="8"/>
        <rFont val="微软雅黑"/>
        <charset val="134"/>
      </rPr>
      <t>4</t>
    </r>
    <r>
      <rPr>
        <b/>
        <sz val="14"/>
        <color indexed="8"/>
        <rFont val="微软雅黑"/>
        <charset val="134"/>
      </rPr>
      <t>9678-1</t>
    </r>
  </si>
  <si>
    <r>
      <rPr>
        <b/>
        <sz val="14"/>
        <color indexed="8"/>
        <rFont val="微软雅黑"/>
        <charset val="134"/>
      </rPr>
      <t>3</t>
    </r>
    <r>
      <rPr>
        <b/>
        <sz val="14"/>
        <color indexed="8"/>
        <rFont val="微软雅黑"/>
        <charset val="134"/>
      </rPr>
      <t>2838-1</t>
    </r>
  </si>
  <si>
    <r>
      <rPr>
        <b/>
        <sz val="14"/>
        <color indexed="8"/>
        <rFont val="微软雅黑"/>
        <charset val="134"/>
      </rPr>
      <t>3</t>
    </r>
    <r>
      <rPr>
        <b/>
        <sz val="14"/>
        <color indexed="8"/>
        <rFont val="微软雅黑"/>
        <charset val="134"/>
      </rPr>
      <t>3133-1</t>
    </r>
  </si>
  <si>
    <t>49622-2</t>
  </si>
  <si>
    <t>33173-2</t>
  </si>
  <si>
    <t>33173-3</t>
  </si>
  <si>
    <t>49750-1</t>
  </si>
  <si>
    <t>49989-1</t>
  </si>
  <si>
    <t>49952-1</t>
  </si>
  <si>
    <t>49798-2</t>
  </si>
  <si>
    <t>50053-2</t>
  </si>
  <si>
    <t>50457-1</t>
  </si>
  <si>
    <t>50191-1</t>
  </si>
  <si>
    <t>50191-2</t>
  </si>
  <si>
    <t>50191-3</t>
  </si>
  <si>
    <t>08583-1</t>
  </si>
  <si>
    <t>36883-23</t>
  </si>
  <si>
    <t>56250-2</t>
  </si>
  <si>
    <t>56250-1</t>
  </si>
  <si>
    <t>37545-1</t>
  </si>
  <si>
    <t>57137-1</t>
  </si>
  <si>
    <t>57137-2</t>
  </si>
  <si>
    <t>57770-1</t>
  </si>
  <si>
    <t>525-3</t>
  </si>
  <si>
    <t>581-4</t>
  </si>
  <si>
    <t>00076-6</t>
  </si>
  <si>
    <t>00076-7</t>
  </si>
  <si>
    <t>00076-9</t>
  </si>
  <si>
    <t>1524-1</t>
  </si>
  <si>
    <t>00965-3</t>
  </si>
  <si>
    <t>00965-4</t>
  </si>
  <si>
    <t>00965-5</t>
  </si>
  <si>
    <t>1651-1</t>
  </si>
  <si>
    <t>1651-3</t>
  </si>
  <si>
    <t>1652-1</t>
  </si>
  <si>
    <t>1652-3</t>
  </si>
  <si>
    <t>02061-2</t>
  </si>
  <si>
    <t>02127-2</t>
  </si>
  <si>
    <t>03663-4</t>
  </si>
  <si>
    <t>03663-5</t>
  </si>
  <si>
    <t>02216-1</t>
  </si>
  <si>
    <t>04417-2</t>
  </si>
  <si>
    <t>04417-5</t>
  </si>
  <si>
    <t>04296-3</t>
  </si>
  <si>
    <t>05496-1</t>
  </si>
  <si>
    <t>05496-2</t>
  </si>
  <si>
    <t>05496-3</t>
  </si>
  <si>
    <t>05496-4</t>
  </si>
  <si>
    <t>05496-5</t>
  </si>
  <si>
    <t>05496-6</t>
  </si>
  <si>
    <t>05496-7</t>
  </si>
  <si>
    <t>05496-8</t>
  </si>
  <si>
    <t>定257</t>
  </si>
  <si>
    <t>05496-9</t>
  </si>
  <si>
    <t>05496-10</t>
  </si>
  <si>
    <t>05496-14</t>
  </si>
  <si>
    <t>定261</t>
  </si>
  <si>
    <t>05496-15</t>
  </si>
  <si>
    <t>定262</t>
  </si>
  <si>
    <t>05496-16</t>
  </si>
  <si>
    <t>定263</t>
  </si>
  <si>
    <t>05496-17</t>
  </si>
  <si>
    <t>定264</t>
  </si>
  <si>
    <t>01260-2</t>
  </si>
  <si>
    <t>01260-3</t>
  </si>
  <si>
    <t>01260-4</t>
  </si>
  <si>
    <t>04040-1</t>
  </si>
  <si>
    <t>定267</t>
  </si>
  <si>
    <t>04040-2</t>
  </si>
  <si>
    <t>07197-2</t>
  </si>
  <si>
    <t>07218-1</t>
  </si>
  <si>
    <t>07218-2</t>
  </si>
  <si>
    <t>07218-3</t>
  </si>
  <si>
    <t>07218-4</t>
  </si>
  <si>
    <t>10292-1</t>
  </si>
  <si>
    <t>10292-3</t>
  </si>
  <si>
    <t>10292-5</t>
  </si>
  <si>
    <t>11220-8</t>
  </si>
  <si>
    <t>11220-9</t>
  </si>
  <si>
    <t>11220-10</t>
  </si>
  <si>
    <t>11220-11</t>
  </si>
  <si>
    <t>07722-1</t>
  </si>
  <si>
    <t>07722-2</t>
  </si>
  <si>
    <t>07735-1</t>
  </si>
  <si>
    <t>07735-2</t>
  </si>
  <si>
    <t>10683-1</t>
  </si>
  <si>
    <t>11693-20</t>
  </si>
  <si>
    <t>08897-3</t>
  </si>
  <si>
    <t>13788-1</t>
  </si>
  <si>
    <t>02933-1</t>
  </si>
  <si>
    <t>13159-2</t>
  </si>
  <si>
    <t>11518-2</t>
  </si>
  <si>
    <t>11518-3</t>
  </si>
  <si>
    <t>15867-1</t>
  </si>
  <si>
    <t>15873-1</t>
  </si>
  <si>
    <t>15873-2</t>
  </si>
  <si>
    <t>16264-4</t>
  </si>
  <si>
    <t>16264-6</t>
  </si>
  <si>
    <t>12155-1</t>
  </si>
  <si>
    <t>17329-1</t>
  </si>
  <si>
    <t>18771-15</t>
  </si>
  <si>
    <t>18771-25</t>
  </si>
  <si>
    <t>18771-26</t>
  </si>
  <si>
    <t>18771-1</t>
  </si>
  <si>
    <t>18769-1</t>
  </si>
  <si>
    <t>18771-3</t>
  </si>
  <si>
    <t>18769-3</t>
  </si>
  <si>
    <t>18771-5</t>
  </si>
  <si>
    <t>18771-9</t>
  </si>
  <si>
    <t>18769-7</t>
  </si>
  <si>
    <t>18771-10</t>
  </si>
  <si>
    <t>18769-9</t>
  </si>
  <si>
    <t>18771-12</t>
  </si>
  <si>
    <t>18769-11</t>
  </si>
  <si>
    <t>18771-14/15</t>
  </si>
  <si>
    <t>18771-16</t>
  </si>
  <si>
    <t>18769-15</t>
  </si>
  <si>
    <t>18771-18</t>
  </si>
  <si>
    <t>18769-17</t>
  </si>
  <si>
    <t>18771-20</t>
  </si>
  <si>
    <t>18769-19</t>
  </si>
  <si>
    <t>18771-22</t>
  </si>
  <si>
    <t>18771-23</t>
  </si>
  <si>
    <t>18769-21</t>
  </si>
  <si>
    <t>18771-24</t>
  </si>
  <si>
    <t>定258</t>
  </si>
  <si>
    <t>18769-13</t>
  </si>
  <si>
    <t>18769-14</t>
  </si>
  <si>
    <t>18769-23</t>
  </si>
  <si>
    <t>18769-24</t>
  </si>
  <si>
    <t>20170-1</t>
  </si>
  <si>
    <t>20797-1</t>
  </si>
  <si>
    <t>21033-2</t>
  </si>
  <si>
    <t>20924-2</t>
  </si>
  <si>
    <t>21325-1</t>
  </si>
  <si>
    <t>14806-1</t>
  </si>
  <si>
    <t>14571-1</t>
  </si>
  <si>
    <t>22128-2</t>
  </si>
  <si>
    <t>15111-1</t>
  </si>
  <si>
    <t>16654-1</t>
  </si>
  <si>
    <t>16582-6</t>
  </si>
  <si>
    <t>23542-3</t>
  </si>
  <si>
    <t>23542-5</t>
  </si>
  <si>
    <t>17899-2</t>
  </si>
  <si>
    <t>26143-2</t>
  </si>
  <si>
    <t>18293-1</t>
  </si>
  <si>
    <t>18293-2</t>
  </si>
  <si>
    <t>18293-3</t>
  </si>
  <si>
    <t>23214-1</t>
  </si>
  <si>
    <t>18660-1</t>
  </si>
  <si>
    <t>27011-1</t>
  </si>
  <si>
    <t>27618-1</t>
  </si>
  <si>
    <t>19025-1</t>
  </si>
  <si>
    <t>28590-1</t>
  </si>
  <si>
    <t>19846-3</t>
  </si>
  <si>
    <t>19846-4</t>
  </si>
  <si>
    <t>28932-3</t>
  </si>
  <si>
    <t>20742-1</t>
  </si>
  <si>
    <t>20742-2</t>
  </si>
  <si>
    <t>定100-10</t>
  </si>
  <si>
    <t>21351-1</t>
  </si>
  <si>
    <t>21351-2</t>
  </si>
  <si>
    <t>31936-1</t>
  </si>
  <si>
    <t>31936-2</t>
  </si>
  <si>
    <t>32243-6</t>
  </si>
  <si>
    <t>33730-1</t>
  </si>
  <si>
    <t>33730-3</t>
  </si>
  <si>
    <t>33730-5</t>
  </si>
  <si>
    <t>22894-1</t>
  </si>
  <si>
    <t>22923-1</t>
  </si>
  <si>
    <t>33793-3</t>
  </si>
  <si>
    <t>22793-9</t>
  </si>
  <si>
    <t>34071-1</t>
  </si>
  <si>
    <t>23536-1</t>
  </si>
  <si>
    <t>23536-3</t>
  </si>
  <si>
    <t>35460-13</t>
  </si>
  <si>
    <t>24235-1</t>
  </si>
  <si>
    <t>24235-2</t>
  </si>
  <si>
    <t>24235-3</t>
  </si>
  <si>
    <t>35460-15</t>
  </si>
  <si>
    <t>36182-9</t>
  </si>
  <si>
    <t>36135-1</t>
  </si>
  <si>
    <t>36135-2</t>
  </si>
  <si>
    <t>36135-3</t>
  </si>
  <si>
    <t>36690-2</t>
  </si>
  <si>
    <t>24790-1</t>
  </si>
  <si>
    <t>36164-1</t>
  </si>
  <si>
    <t>24204-2</t>
  </si>
  <si>
    <t>24204-4</t>
  </si>
  <si>
    <t>24204-5</t>
  </si>
  <si>
    <t>24204-6</t>
  </si>
  <si>
    <t>34625-1</t>
  </si>
  <si>
    <t>液体蔗糖</t>
  </si>
  <si>
    <t>35611-1</t>
  </si>
  <si>
    <t>速溶豆粉</t>
  </si>
  <si>
    <t>19384-1</t>
  </si>
  <si>
    <t>酥脆松</t>
  </si>
  <si>
    <t>装饰松松</t>
  </si>
  <si>
    <t>38297-1</t>
  </si>
  <si>
    <t>复合麦片</t>
  </si>
  <si>
    <t>23740-1</t>
  </si>
  <si>
    <t>肉松</t>
  </si>
  <si>
    <t>24936-1</t>
  </si>
  <si>
    <t>46542-5</t>
  </si>
  <si>
    <t>25362-1</t>
  </si>
  <si>
    <t>25362-2</t>
  </si>
  <si>
    <t>25362-3</t>
  </si>
  <si>
    <t>47203-1</t>
  </si>
  <si>
    <t>豆粉</t>
  </si>
  <si>
    <t>25556-2</t>
  </si>
  <si>
    <t>雪糕</t>
  </si>
  <si>
    <t>25696-2</t>
  </si>
  <si>
    <t>黑牛牛奶高钙营养麦片（华中普通礼盒）</t>
  </si>
  <si>
    <t>25762-1</t>
  </si>
  <si>
    <t>25696-1</t>
  </si>
  <si>
    <t>26158-1</t>
  </si>
  <si>
    <t>26158-2</t>
  </si>
  <si>
    <t>26268-1</t>
  </si>
  <si>
    <t>28231-1</t>
  </si>
  <si>
    <t>49897-1</t>
  </si>
  <si>
    <t>27026-1</t>
  </si>
  <si>
    <t>49339-1</t>
  </si>
  <si>
    <t>53-1</t>
  </si>
  <si>
    <t>99-1</t>
  </si>
  <si>
    <t>365-1</t>
  </si>
  <si>
    <t>1710-1</t>
  </si>
  <si>
    <t>821-1</t>
  </si>
  <si>
    <t>821-2</t>
  </si>
  <si>
    <t>821-3</t>
  </si>
  <si>
    <t xml:space="preserve">                                                                                                             n</t>
  </si>
  <si>
    <t>821-5</t>
  </si>
  <si>
    <t>821-6</t>
  </si>
  <si>
    <t>821-7</t>
  </si>
  <si>
    <t>3025-1</t>
  </si>
  <si>
    <t>30359-2</t>
  </si>
  <si>
    <t>45651002</t>
  </si>
  <si>
    <t>45586-1</t>
  </si>
  <si>
    <t>51515-1</t>
  </si>
  <si>
    <t>37837-1</t>
  </si>
  <si>
    <t>37837-2</t>
  </si>
  <si>
    <t>37837-3</t>
  </si>
  <si>
    <t>13267-2</t>
  </si>
  <si>
    <t>14629-1</t>
  </si>
  <si>
    <t>16088-1</t>
  </si>
  <si>
    <t>27952-1</t>
  </si>
  <si>
    <t>21313-6</t>
  </si>
  <si>
    <t>21313-7</t>
  </si>
  <si>
    <t>21313-8</t>
  </si>
  <si>
    <t>21313-9</t>
  </si>
  <si>
    <t>21313-10</t>
  </si>
  <si>
    <t>21313-11</t>
  </si>
  <si>
    <t>21313-12</t>
  </si>
  <si>
    <t>21313-13</t>
  </si>
  <si>
    <t>09042-1</t>
  </si>
  <si>
    <t>现场试验</t>
  </si>
  <si>
    <t>26208-1</t>
  </si>
  <si>
    <t>11478-2</t>
  </si>
  <si>
    <t>鱼籽馅</t>
  </si>
  <si>
    <t>12680-1</t>
  </si>
  <si>
    <t>无糖猪肉苏</t>
  </si>
  <si>
    <t>02490-1</t>
  </si>
  <si>
    <t>赤灵芝饮</t>
  </si>
  <si>
    <t>31748-1</t>
  </si>
  <si>
    <t>35950-1</t>
  </si>
  <si>
    <t>21134-1</t>
  </si>
  <si>
    <t>22194-1</t>
  </si>
  <si>
    <t>东方甄选榴莲千层蛋糕</t>
  </si>
  <si>
    <t>26027-1</t>
  </si>
  <si>
    <t>15-1</t>
  </si>
  <si>
    <t>1168-1</t>
  </si>
  <si>
    <t>47342-1</t>
  </si>
  <si>
    <t>3017-1</t>
  </si>
  <si>
    <t>标定浓度</t>
  </si>
  <si>
    <t>称样量(g)</t>
  </si>
  <si>
    <t>还原糖稀释倍数</t>
  </si>
  <si>
    <t>还原糖滴定量（ml)</t>
  </si>
  <si>
    <t>总糖稀释倍数</t>
  </si>
  <si>
    <t>总糖滴定量(ml)</t>
  </si>
  <si>
    <t>还原糖量</t>
  </si>
  <si>
    <t>总糖</t>
  </si>
  <si>
    <t>蔗糖量</t>
  </si>
  <si>
    <t>23181-1</t>
  </si>
  <si>
    <t>特浓流心牛乳果味酱</t>
  </si>
  <si>
    <t>23838-2</t>
  </si>
  <si>
    <t>白桦树汁浓缩液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</si>
  <si>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0867-1</t>
    </r>
  </si>
  <si>
    <t>无蔗糖紫香芋泥味馅（GF）</t>
  </si>
  <si>
    <t>20130-1</t>
  </si>
  <si>
    <t>虾饼</t>
  </si>
  <si>
    <t>38912-1</t>
  </si>
  <si>
    <t>真零</t>
  </si>
  <si>
    <t>40603-1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</si>
  <si>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1851-1</t>
    </r>
  </si>
  <si>
    <t>43419-1</t>
  </si>
  <si>
    <t>奶粉</t>
  </si>
  <si>
    <t>27665-1</t>
  </si>
  <si>
    <t>椴树雪蜜</t>
  </si>
  <si>
    <t>1423-1</t>
  </si>
  <si>
    <t>真零脱脂风味发酵乳</t>
  </si>
  <si>
    <t>49191-1</t>
  </si>
  <si>
    <t>3017+1</t>
  </si>
  <si>
    <t>35812-2</t>
  </si>
  <si>
    <t>24415-2</t>
  </si>
  <si>
    <t>03411-2</t>
  </si>
  <si>
    <t>沙琪玛</t>
  </si>
  <si>
    <t>23382-1</t>
  </si>
  <si>
    <t>浓缩白桦树汁</t>
  </si>
  <si>
    <t>23838-3</t>
  </si>
  <si>
    <t>白桦树汁</t>
  </si>
  <si>
    <t>24849-2</t>
  </si>
  <si>
    <t>调味料</t>
  </si>
  <si>
    <t>24809-1</t>
  </si>
  <si>
    <t>25381-1</t>
  </si>
  <si>
    <t>生鲜乳</t>
  </si>
  <si>
    <t>26018-2</t>
  </si>
  <si>
    <t>牛肉酱</t>
  </si>
  <si>
    <t>22762-1</t>
  </si>
  <si>
    <t>高唐压片玉米</t>
  </si>
  <si>
    <t>22762-2</t>
  </si>
  <si>
    <t>压片玉米</t>
  </si>
  <si>
    <t>12763-1</t>
  </si>
  <si>
    <t>鱿鱼条</t>
  </si>
  <si>
    <t>27929-2</t>
  </si>
  <si>
    <t>全麦薄脆饼干</t>
  </si>
  <si>
    <t>20867-1</t>
  </si>
  <si>
    <t>35912-1</t>
  </si>
  <si>
    <t>酸奶</t>
  </si>
  <si>
    <t>42930-1</t>
  </si>
  <si>
    <t>咖啡豆</t>
  </si>
  <si>
    <t>42930-2</t>
  </si>
  <si>
    <t>42930-3</t>
  </si>
  <si>
    <t>42930-4</t>
  </si>
  <si>
    <t>44815-1</t>
  </si>
  <si>
    <t>花生仁</t>
  </si>
  <si>
    <t>46658-1</t>
  </si>
  <si>
    <t>48220-1</t>
  </si>
  <si>
    <t>新标定</t>
  </si>
  <si>
    <t>199-1</t>
  </si>
  <si>
    <t>199-2</t>
  </si>
  <si>
    <t>03017-1</t>
  </si>
  <si>
    <t>23382-2</t>
  </si>
  <si>
    <t>23838-1</t>
  </si>
  <si>
    <t>23922-1</t>
  </si>
  <si>
    <t>青瓜嘧啶</t>
  </si>
  <si>
    <t>28159-1</t>
  </si>
  <si>
    <t>银耳罐头</t>
  </si>
  <si>
    <t>31509-1</t>
  </si>
  <si>
    <t>无蔗糖杂粮月饼</t>
  </si>
  <si>
    <t>33487-1</t>
  </si>
  <si>
    <t>水牛奶嫩蛋糕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</si>
  <si>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0130-1</t>
    </r>
  </si>
  <si>
    <t>24766-1</t>
  </si>
  <si>
    <t>水牛乳面包</t>
  </si>
  <si>
    <t>称样量ml</t>
  </si>
  <si>
    <t>稀释</t>
  </si>
  <si>
    <t>糖含量g/L</t>
  </si>
  <si>
    <t>葡萄酒</t>
  </si>
  <si>
    <t>8685-5</t>
  </si>
  <si>
    <t>干红</t>
  </si>
  <si>
    <t>8970-4</t>
  </si>
  <si>
    <t>红葡萄酒</t>
  </si>
  <si>
    <t>9033-18</t>
  </si>
  <si>
    <t>9121-15</t>
  </si>
  <si>
    <t>9121-19</t>
  </si>
  <si>
    <t>米酒</t>
  </si>
  <si>
    <t>9118-20</t>
  </si>
  <si>
    <t>9444-13</t>
  </si>
  <si>
    <t>白葡萄酒</t>
  </si>
  <si>
    <t>9444-15</t>
  </si>
  <si>
    <t>黄酒</t>
  </si>
  <si>
    <t>10926-1</t>
  </si>
  <si>
    <t>养生酒</t>
  </si>
  <si>
    <t>10925-1</t>
  </si>
  <si>
    <t>10886-1</t>
  </si>
  <si>
    <t>10929-3</t>
  </si>
  <si>
    <t>10929-10</t>
  </si>
  <si>
    <t>10929-11</t>
  </si>
  <si>
    <t>绍兴雕花</t>
  </si>
  <si>
    <t>12188-11</t>
  </si>
  <si>
    <t>12840-17</t>
  </si>
  <si>
    <t>露酒</t>
  </si>
  <si>
    <t>13283-1</t>
  </si>
  <si>
    <t>15764-4</t>
  </si>
  <si>
    <t>海参雪莲酒</t>
  </si>
  <si>
    <t>572-1</t>
  </si>
  <si>
    <t>还原糖</t>
  </si>
  <si>
    <t>1792-20</t>
  </si>
  <si>
    <t>3522-10</t>
  </si>
  <si>
    <t>配制酒</t>
  </si>
  <si>
    <t>4080-1</t>
  </si>
  <si>
    <t>啤酒</t>
  </si>
  <si>
    <t>11709-1</t>
  </si>
  <si>
    <t>440ml黄酒王</t>
  </si>
  <si>
    <t>12253-5</t>
  </si>
  <si>
    <t>谷物酿造料酒</t>
  </si>
  <si>
    <r>
      <rPr>
        <sz val="11"/>
        <color theme="1"/>
        <rFont val="宋体"/>
        <charset val="134"/>
      </rPr>
      <t>12642-</t>
    </r>
    <r>
      <rPr>
        <sz val="11"/>
        <color theme="1"/>
        <rFont val="宋体"/>
        <charset val="134"/>
      </rPr>
      <t>4</t>
    </r>
  </si>
  <si>
    <t>葱姜谷物酿造料酒</t>
  </si>
  <si>
    <t>12642-5</t>
  </si>
  <si>
    <t>五香谷物酿造料酒</t>
  </si>
  <si>
    <t>12642-6</t>
  </si>
  <si>
    <t>南酸枣果酒</t>
  </si>
  <si>
    <t>12688-1</t>
  </si>
  <si>
    <t>即墨老酒</t>
  </si>
  <si>
    <t>20021-1</t>
  </si>
  <si>
    <t>2902-4</t>
  </si>
  <si>
    <t>传统型本色半干黄酒</t>
  </si>
  <si>
    <t>8367-1</t>
  </si>
  <si>
    <t>清酒</t>
  </si>
  <si>
    <t>9637-1</t>
  </si>
  <si>
    <t>5L坛老酒</t>
  </si>
  <si>
    <t>14577-1</t>
  </si>
  <si>
    <t>17386-2</t>
  </si>
  <si>
    <t>一坛黄酒</t>
  </si>
  <si>
    <t>1070-1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</si>
  <si>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80ml黄酒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</si>
  <si>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601-1</t>
    </r>
  </si>
  <si>
    <t>440ml黄酒</t>
  </si>
  <si>
    <t>2853-2</t>
  </si>
  <si>
    <t>2853-2复测</t>
  </si>
  <si>
    <t>2853-2出</t>
  </si>
  <si>
    <t>13597-1</t>
  </si>
  <si>
    <t>1672-3</t>
  </si>
  <si>
    <t>原味鲜葱姜料酒</t>
  </si>
  <si>
    <t>2407-1</t>
  </si>
  <si>
    <t>原味鲜料酒</t>
  </si>
  <si>
    <t>2407-2</t>
  </si>
  <si>
    <t>裕长1904灯塔料酒</t>
  </si>
  <si>
    <t>18468-1</t>
  </si>
  <si>
    <t>18478-2</t>
  </si>
  <si>
    <t>24564-1</t>
  </si>
  <si>
    <t>女儿红含娇醉</t>
  </si>
  <si>
    <t>24947-1</t>
  </si>
  <si>
    <t>25970-1</t>
  </si>
  <si>
    <t>1469-2</t>
  </si>
  <si>
    <t>480ml黄酒</t>
  </si>
  <si>
    <t>1469-3</t>
  </si>
  <si>
    <t>料酒</t>
  </si>
  <si>
    <t>11106-1</t>
  </si>
  <si>
    <t>27877-1</t>
  </si>
  <si>
    <t>杨梅酒</t>
  </si>
  <si>
    <t>14381-1</t>
  </si>
  <si>
    <t>桃子酒</t>
  </si>
  <si>
    <t>14381-2</t>
  </si>
  <si>
    <t>30924</t>
  </si>
  <si>
    <t>伏特加</t>
  </si>
  <si>
    <t>33559-1</t>
  </si>
  <si>
    <t xml:space="preserve">苹果起泡剂酒     </t>
  </si>
  <si>
    <t>36856-1</t>
  </si>
  <si>
    <t xml:space="preserve">蓝莓酒    </t>
  </si>
  <si>
    <t>21084-1</t>
  </si>
  <si>
    <t>21084-2</t>
  </si>
  <si>
    <t xml:space="preserve">黄酒    </t>
  </si>
  <si>
    <t>43133-1</t>
  </si>
  <si>
    <t>45381-1</t>
  </si>
  <si>
    <t>24694-1</t>
  </si>
  <si>
    <t xml:space="preserve">料酒    </t>
  </si>
  <si>
    <t>48185-2</t>
  </si>
  <si>
    <t>糯米酒</t>
  </si>
  <si>
    <t>891-11</t>
  </si>
  <si>
    <t>50113-1</t>
  </si>
  <si>
    <t>55-1</t>
  </si>
  <si>
    <t>55-2</t>
  </si>
  <si>
    <t>55-3</t>
  </si>
  <si>
    <t>09739-1</t>
  </si>
  <si>
    <t>19294-1</t>
  </si>
  <si>
    <t>19294-2</t>
  </si>
  <si>
    <t>19294-3</t>
  </si>
  <si>
    <t>19294-4</t>
  </si>
  <si>
    <t>26697-1总糖</t>
  </si>
  <si>
    <t>绿酿谷物酿造料酒</t>
  </si>
  <si>
    <t>6876-1总糖</t>
  </si>
  <si>
    <t>6876-2总糖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</si>
  <si>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9611-1总糖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</si>
  <si>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4347-21总糖</t>
    </r>
  </si>
  <si>
    <t>29160-1总糖</t>
  </si>
  <si>
    <t>15312-1总糖</t>
  </si>
  <si>
    <t>15312-2总糖</t>
  </si>
  <si>
    <t>37709-5总糖</t>
  </si>
  <si>
    <t>20321-1总糖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</si>
  <si>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8185-2</t>
    </r>
  </si>
  <si>
    <t>25929-1</t>
  </si>
  <si>
    <t>48686-1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</si>
  <si>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99-1</t>
    </r>
  </si>
  <si>
    <t>01807-1</t>
  </si>
  <si>
    <t>1206-1</t>
  </si>
  <si>
    <t>1206-2</t>
  </si>
  <si>
    <t>1206-3</t>
  </si>
  <si>
    <t>1206-4</t>
  </si>
  <si>
    <t>10147-1</t>
  </si>
  <si>
    <t>淀粉含量g/100g</t>
  </si>
  <si>
    <t>23873-2</t>
  </si>
  <si>
    <t>19121-1</t>
  </si>
  <si>
    <t>四子王旗1</t>
  </si>
  <si>
    <t>19121-2</t>
  </si>
  <si>
    <t>四子王旗2</t>
  </si>
  <si>
    <t>35902-1</t>
  </si>
  <si>
    <t>龙口粉丝</t>
  </si>
  <si>
    <t>36138-1</t>
  </si>
  <si>
    <t>粉丝</t>
  </si>
  <si>
    <t>36628-1</t>
  </si>
  <si>
    <t>36564-3</t>
  </si>
  <si>
    <t>红薯粉条</t>
  </si>
  <si>
    <t>36564-4</t>
  </si>
  <si>
    <t>36629</t>
  </si>
  <si>
    <t>37183-1</t>
  </si>
  <si>
    <t>37874-1</t>
  </si>
  <si>
    <t>37868-1</t>
  </si>
  <si>
    <t>木薯淀粉</t>
  </si>
  <si>
    <t>37816-1</t>
  </si>
  <si>
    <t>37816-2</t>
  </si>
  <si>
    <t>37816-3</t>
  </si>
  <si>
    <t>红薯粉圆</t>
  </si>
  <si>
    <t>38566-1</t>
  </si>
  <si>
    <t>38293-1</t>
  </si>
  <si>
    <t>39015-1</t>
  </si>
  <si>
    <t>20780-1</t>
  </si>
  <si>
    <t>川粉</t>
  </si>
  <si>
    <t>39013-1</t>
  </si>
  <si>
    <t>39017-1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</si>
  <si>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0991-1</t>
    </r>
  </si>
  <si>
    <t>山药粉条</t>
  </si>
  <si>
    <t>39023-1</t>
  </si>
  <si>
    <t>抹茶苕粉</t>
  </si>
  <si>
    <t>40966-1</t>
  </si>
  <si>
    <t>40816-1</t>
  </si>
  <si>
    <t>40816-3</t>
  </si>
  <si>
    <t>豌豆粉丝</t>
  </si>
  <si>
    <t>40816-4</t>
  </si>
  <si>
    <t>绿豆粉丝</t>
  </si>
  <si>
    <t>40816-5</t>
  </si>
  <si>
    <t>红薯圈粉（圆粉条）</t>
  </si>
  <si>
    <t>40816-6</t>
  </si>
  <si>
    <t>红薯宽粉</t>
  </si>
  <si>
    <t>40816-7</t>
  </si>
  <si>
    <t>22271-1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</si>
  <si>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1629-1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</si>
  <si>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1629-2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</si>
  <si>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1629-3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</si>
  <si>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1629-4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</si>
  <si>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1855-1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</si>
  <si>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1543-1</t>
    </r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</si>
  <si>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1543-2</t>
    </r>
  </si>
  <si>
    <t>红薯粉皮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</si>
  <si>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2780-1</t>
    </r>
  </si>
  <si>
    <t>42780-3</t>
  </si>
  <si>
    <t>粉条</t>
  </si>
  <si>
    <t>42780-4</t>
  </si>
  <si>
    <t>42780-5</t>
  </si>
  <si>
    <t>43192-1</t>
  </si>
  <si>
    <t>43334-1</t>
  </si>
  <si>
    <t>43334-2</t>
  </si>
  <si>
    <t>43953-2</t>
  </si>
  <si>
    <t>24227-2</t>
  </si>
  <si>
    <t>甜菜颗粒粕</t>
  </si>
  <si>
    <t>45651-1</t>
  </si>
  <si>
    <t>圈粉</t>
  </si>
  <si>
    <t>45090-1</t>
  </si>
  <si>
    <t>44462-1</t>
  </si>
  <si>
    <t>豌豆粉</t>
  </si>
  <si>
    <t>45779-1</t>
  </si>
  <si>
    <t>45706-1</t>
  </si>
  <si>
    <t>45706-2</t>
  </si>
  <si>
    <t>24722-11</t>
  </si>
  <si>
    <t>24722-12</t>
  </si>
  <si>
    <t>24722-13</t>
  </si>
  <si>
    <t>24722-14</t>
  </si>
  <si>
    <t>24722-15</t>
  </si>
  <si>
    <t>24722-16</t>
  </si>
  <si>
    <t>24722-17</t>
  </si>
  <si>
    <t>24722-18</t>
  </si>
  <si>
    <t>24722-19</t>
  </si>
  <si>
    <t>46372-1</t>
  </si>
  <si>
    <t>25288-2</t>
  </si>
  <si>
    <t>45133-1</t>
  </si>
  <si>
    <t>45133-2</t>
  </si>
  <si>
    <t>45133-3</t>
  </si>
  <si>
    <t>45133-4</t>
  </si>
  <si>
    <t>45133-5</t>
  </si>
  <si>
    <t>45133-6</t>
  </si>
  <si>
    <t>46727-1</t>
  </si>
  <si>
    <t>46727-2</t>
  </si>
  <si>
    <t>45848-1</t>
  </si>
  <si>
    <t>25344-1</t>
  </si>
  <si>
    <t>25513-6</t>
  </si>
  <si>
    <t>25513-7</t>
  </si>
  <si>
    <t>25513-8</t>
  </si>
  <si>
    <t>25720-1</t>
  </si>
  <si>
    <t>48151-1</t>
  </si>
  <si>
    <t>48728-1</t>
  </si>
  <si>
    <t>48728-2</t>
  </si>
  <si>
    <t>48728-3</t>
  </si>
  <si>
    <t>48728-4</t>
  </si>
  <si>
    <t>48728-5</t>
  </si>
  <si>
    <t>48728-6</t>
  </si>
  <si>
    <t>48728-7</t>
  </si>
  <si>
    <t>48728-8</t>
  </si>
  <si>
    <t>48728-9</t>
  </si>
  <si>
    <t>48728-10</t>
  </si>
  <si>
    <t>48728-11</t>
  </si>
  <si>
    <t>48728-12</t>
  </si>
  <si>
    <t>48728-13</t>
  </si>
  <si>
    <t>48728-14</t>
  </si>
  <si>
    <t>48728-15</t>
  </si>
  <si>
    <t>48728-16</t>
  </si>
  <si>
    <t>48728-17</t>
  </si>
  <si>
    <t>48728-18</t>
  </si>
  <si>
    <t>48728-19</t>
  </si>
  <si>
    <t>48728-20</t>
  </si>
  <si>
    <t>48728-21</t>
  </si>
  <si>
    <t>48728-22</t>
  </si>
  <si>
    <t>26630-1</t>
  </si>
  <si>
    <t>红薯粉渣</t>
  </si>
  <si>
    <t>48728-23</t>
  </si>
  <si>
    <t>48728-24</t>
  </si>
  <si>
    <t>48728-25</t>
  </si>
  <si>
    <t>48728-26</t>
  </si>
  <si>
    <t>48728-27</t>
  </si>
  <si>
    <t>48728-28</t>
  </si>
  <si>
    <t>48728-29</t>
  </si>
  <si>
    <t>48728-30</t>
  </si>
  <si>
    <t>48728-31</t>
  </si>
  <si>
    <t>26549-6</t>
  </si>
  <si>
    <t>26549-7</t>
  </si>
  <si>
    <t>26549-8</t>
  </si>
  <si>
    <t>26549-9</t>
  </si>
  <si>
    <t>26549-18</t>
  </si>
  <si>
    <t>26549-19</t>
  </si>
  <si>
    <t>26721-2</t>
  </si>
  <si>
    <t>26721-3</t>
  </si>
  <si>
    <t>50146-1</t>
  </si>
  <si>
    <t>50056-1</t>
  </si>
  <si>
    <t>26915-1</t>
  </si>
  <si>
    <t>49026-1</t>
  </si>
  <si>
    <t>27173-1</t>
  </si>
  <si>
    <t>27173-2</t>
  </si>
  <si>
    <t>27173-3</t>
  </si>
  <si>
    <t>27173-4</t>
  </si>
  <si>
    <t>50462-1</t>
  </si>
  <si>
    <t>50462-2</t>
  </si>
  <si>
    <t>27345-1</t>
  </si>
  <si>
    <t>27345-2</t>
  </si>
  <si>
    <t>51120-1</t>
  </si>
  <si>
    <t>375-1</t>
  </si>
  <si>
    <t>375-3</t>
  </si>
  <si>
    <t>375-5</t>
  </si>
  <si>
    <t>375-7</t>
  </si>
  <si>
    <t>396-1</t>
  </si>
  <si>
    <t>396-3</t>
  </si>
  <si>
    <t>600-2</t>
  </si>
  <si>
    <t>374-1</t>
  </si>
  <si>
    <t>374-2</t>
  </si>
  <si>
    <t>374-3</t>
  </si>
  <si>
    <t>374-4</t>
  </si>
  <si>
    <t>374-5</t>
  </si>
  <si>
    <t>374-6</t>
  </si>
  <si>
    <t>374-7</t>
  </si>
  <si>
    <t>374-8</t>
  </si>
  <si>
    <t>374-9</t>
  </si>
  <si>
    <t>374-10</t>
  </si>
  <si>
    <t>374-11</t>
  </si>
  <si>
    <t>374-12</t>
  </si>
  <si>
    <t>374-13</t>
  </si>
  <si>
    <t>1701-1</t>
  </si>
  <si>
    <t>1895-3</t>
  </si>
  <si>
    <t>1895-6</t>
  </si>
  <si>
    <t>2134-3</t>
  </si>
  <si>
    <t>2134-4</t>
  </si>
  <si>
    <t>1895-1</t>
  </si>
  <si>
    <t>1895-2</t>
  </si>
  <si>
    <t>2134-5</t>
  </si>
  <si>
    <t>2134-6</t>
  </si>
  <si>
    <t>2134-7</t>
  </si>
  <si>
    <t>2730-2</t>
  </si>
  <si>
    <t>1559-1</t>
  </si>
  <si>
    <t>1559-2</t>
  </si>
  <si>
    <t>1562-1</t>
  </si>
  <si>
    <r>
      <rPr>
        <sz val="11"/>
        <color theme="1"/>
        <rFont val="宋体"/>
        <charset val="134"/>
        <scheme val="minor"/>
      </rPr>
      <t>定2</t>
    </r>
    <r>
      <rPr>
        <sz val="11"/>
        <color theme="1"/>
        <rFont val="宋体"/>
        <charset val="134"/>
        <scheme val="minor"/>
      </rPr>
      <t>00</t>
    </r>
  </si>
  <si>
    <t>851-1</t>
  </si>
  <si>
    <t>3217-1</t>
  </si>
  <si>
    <t>3217-2</t>
  </si>
  <si>
    <t>3217-3</t>
  </si>
  <si>
    <t>3223-1</t>
  </si>
  <si>
    <t>26285-1</t>
  </si>
  <si>
    <t>45533-1</t>
  </si>
  <si>
    <t>45533-2</t>
  </si>
  <si>
    <t>46163-1</t>
  </si>
  <si>
    <t>46163-2</t>
  </si>
  <si>
    <t>46163-3</t>
  </si>
  <si>
    <t>46163-4</t>
  </si>
  <si>
    <t>水分15.2</t>
  </si>
  <si>
    <t>30367-1</t>
  </si>
  <si>
    <t>水分12.6</t>
  </si>
  <si>
    <t>46089-1</t>
  </si>
  <si>
    <t>30945-1</t>
  </si>
  <si>
    <t>水分</t>
  </si>
  <si>
    <t>30945-2</t>
  </si>
  <si>
    <t>30853-1</t>
  </si>
  <si>
    <t>30853-2</t>
  </si>
  <si>
    <t>31461-1</t>
  </si>
  <si>
    <t>47694-1</t>
  </si>
  <si>
    <t>47746-1</t>
  </si>
  <si>
    <t>48827-1</t>
  </si>
  <si>
    <t>48827-2</t>
  </si>
  <si>
    <t>49097-1</t>
  </si>
  <si>
    <r>
      <rPr>
        <sz val="11"/>
        <color theme="1"/>
        <rFont val="宋体"/>
        <charset val="134"/>
      </rPr>
      <t>49</t>
    </r>
    <r>
      <rPr>
        <sz val="11"/>
        <color theme="1"/>
        <rFont val="宋体"/>
        <charset val="134"/>
      </rPr>
      <t>040-1</t>
    </r>
  </si>
  <si>
    <t>32929-1</t>
  </si>
  <si>
    <t>50277-1</t>
  </si>
  <si>
    <t>49947-1</t>
  </si>
  <si>
    <t>49947-2</t>
  </si>
  <si>
    <t>33043-1</t>
  </si>
  <si>
    <t>31794-1</t>
  </si>
  <si>
    <t>33745-1</t>
  </si>
  <si>
    <t>33745-2</t>
  </si>
  <si>
    <t>33746-1</t>
  </si>
  <si>
    <t>33746-2</t>
  </si>
  <si>
    <t>33746-3</t>
  </si>
  <si>
    <t>33746-4</t>
  </si>
  <si>
    <t>33740-2</t>
  </si>
  <si>
    <t>33754-1</t>
  </si>
  <si>
    <t>33754-2</t>
  </si>
  <si>
    <t>33795-1</t>
  </si>
  <si>
    <t>37482-1</t>
  </si>
  <si>
    <t>37482-2</t>
  </si>
  <si>
    <t>37482-3</t>
  </si>
  <si>
    <t>37482-4</t>
  </si>
  <si>
    <t>37482-5</t>
  </si>
  <si>
    <t>37482-6</t>
  </si>
  <si>
    <t>37482-7</t>
  </si>
  <si>
    <t>37482-8</t>
  </si>
  <si>
    <t>37482-9</t>
  </si>
  <si>
    <t>37482-10</t>
  </si>
  <si>
    <t>37482-11</t>
  </si>
  <si>
    <t>37482-12</t>
  </si>
  <si>
    <t>37482-13</t>
  </si>
  <si>
    <t>37482-14</t>
  </si>
  <si>
    <t>37482-15</t>
  </si>
  <si>
    <t>37482-16</t>
  </si>
  <si>
    <t>37482-17</t>
  </si>
  <si>
    <t>37482-18</t>
  </si>
  <si>
    <t>37258-2</t>
  </si>
  <si>
    <t>57202-1</t>
  </si>
  <si>
    <t>57202-2</t>
  </si>
  <si>
    <t>57202-3</t>
  </si>
  <si>
    <t>57202-4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</si>
  <si>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7836-1</t>
    </r>
  </si>
  <si>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 xml:space="preserve">                                               </t>
    </r>
  </si>
  <si>
    <t>445-2</t>
  </si>
  <si>
    <t>445-3</t>
  </si>
  <si>
    <t>445-4</t>
  </si>
  <si>
    <t>566-1</t>
  </si>
  <si>
    <t>566-4</t>
  </si>
  <si>
    <t>566-5</t>
  </si>
  <si>
    <t>566-6</t>
  </si>
  <si>
    <t>566-7</t>
  </si>
  <si>
    <t>00800-1</t>
  </si>
  <si>
    <t>00800-2</t>
  </si>
  <si>
    <t>00800-4</t>
  </si>
  <si>
    <t>00800-6</t>
  </si>
  <si>
    <t>00800-8</t>
  </si>
  <si>
    <t>00800-9</t>
  </si>
  <si>
    <t>00800-10</t>
  </si>
  <si>
    <t>00800-11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</si>
  <si>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16-1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</si>
  <si>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16-2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</si>
  <si>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16-3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</si>
  <si>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16-4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</si>
  <si>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16-5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</si>
  <si>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16-6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</si>
  <si>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16-7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</si>
  <si>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16-8</t>
    </r>
  </si>
  <si>
    <t>216-10</t>
  </si>
  <si>
    <t>216-11</t>
  </si>
  <si>
    <t>216-12</t>
  </si>
  <si>
    <t>216-13</t>
  </si>
  <si>
    <t>36194-1</t>
  </si>
  <si>
    <t>247-1</t>
  </si>
  <si>
    <t>247-2</t>
  </si>
  <si>
    <t>891-1</t>
  </si>
  <si>
    <t>1422-1</t>
  </si>
  <si>
    <t>216-20</t>
  </si>
  <si>
    <t>216-23</t>
  </si>
  <si>
    <t>216-31</t>
  </si>
  <si>
    <t>11250-1</t>
  </si>
  <si>
    <t>11250-2</t>
  </si>
  <si>
    <t>11250-3</t>
  </si>
  <si>
    <t>11250-4</t>
  </si>
  <si>
    <t>11250-5</t>
  </si>
  <si>
    <t>11250-6</t>
  </si>
  <si>
    <t>928-3</t>
  </si>
  <si>
    <t>928-4</t>
  </si>
  <si>
    <t>928-5</t>
  </si>
  <si>
    <t>2198-1</t>
  </si>
  <si>
    <t>928-11</t>
  </si>
  <si>
    <t>928-12</t>
  </si>
  <si>
    <t>928-13</t>
  </si>
  <si>
    <t>928-14</t>
  </si>
  <si>
    <t>928-15</t>
  </si>
  <si>
    <t>928-16</t>
  </si>
  <si>
    <t>928-17</t>
  </si>
  <si>
    <t>928-18</t>
  </si>
  <si>
    <t>928-19</t>
  </si>
  <si>
    <t>928-20</t>
  </si>
  <si>
    <t>928-21</t>
  </si>
  <si>
    <t>928-22</t>
  </si>
  <si>
    <t>928-23</t>
  </si>
  <si>
    <t>928-24</t>
  </si>
  <si>
    <t>928-25</t>
  </si>
  <si>
    <t>928-26</t>
  </si>
  <si>
    <t>928-27</t>
  </si>
  <si>
    <t>928-28</t>
  </si>
  <si>
    <t>928-29</t>
  </si>
  <si>
    <t>928-30</t>
  </si>
  <si>
    <t>928-31</t>
  </si>
  <si>
    <t>928-32</t>
  </si>
  <si>
    <t>2921-1</t>
  </si>
  <si>
    <t>2921-2</t>
  </si>
  <si>
    <t>2519-2</t>
  </si>
  <si>
    <t>03336-1</t>
  </si>
  <si>
    <t>2041-1</t>
  </si>
  <si>
    <t>2041-2</t>
  </si>
  <si>
    <t>3394-1</t>
  </si>
  <si>
    <t>3394-2</t>
  </si>
  <si>
    <t>3394-3</t>
  </si>
  <si>
    <t>296-1</t>
  </si>
  <si>
    <t>296-2</t>
  </si>
  <si>
    <t>2646-1</t>
  </si>
  <si>
    <t>4877-1</t>
  </si>
  <si>
    <t>07987-1</t>
  </si>
  <si>
    <t>07987-2</t>
  </si>
  <si>
    <t>10173-1</t>
  </si>
  <si>
    <t>10174-1</t>
  </si>
  <si>
    <t>10409-1</t>
  </si>
  <si>
    <t>10702-4</t>
  </si>
  <si>
    <t>6791-1</t>
  </si>
  <si>
    <t>07137-1</t>
  </si>
  <si>
    <t>11629-1</t>
  </si>
  <si>
    <t>18182-2</t>
  </si>
  <si>
    <t>18182-3</t>
  </si>
  <si>
    <t>18182-4</t>
  </si>
  <si>
    <t>18182-5</t>
  </si>
  <si>
    <t>18182-6</t>
  </si>
  <si>
    <t>18182-7</t>
  </si>
  <si>
    <t>18182-8</t>
  </si>
  <si>
    <t>18182-9</t>
  </si>
  <si>
    <t>18182-10</t>
  </si>
  <si>
    <t>18182-11</t>
  </si>
  <si>
    <t>18182-12</t>
  </si>
  <si>
    <t>18182-13</t>
  </si>
  <si>
    <t>18182-14</t>
  </si>
  <si>
    <t>18182-15</t>
  </si>
  <si>
    <t>18789-1</t>
  </si>
  <si>
    <t>20288-1</t>
  </si>
  <si>
    <t>21081-1</t>
  </si>
  <si>
    <t>21081-2</t>
  </si>
  <si>
    <t>21081-3</t>
  </si>
  <si>
    <t>22053-1</t>
  </si>
  <si>
    <t>14750-1</t>
  </si>
  <si>
    <t>21081-4</t>
  </si>
  <si>
    <t>21081-5</t>
  </si>
  <si>
    <t>21081-6</t>
  </si>
  <si>
    <t>21081-7</t>
  </si>
  <si>
    <t>22171-2</t>
  </si>
  <si>
    <t>22171-4</t>
  </si>
  <si>
    <t>22171-6</t>
  </si>
  <si>
    <t>22171-8</t>
  </si>
  <si>
    <t>22171-10</t>
  </si>
  <si>
    <t>22171-12</t>
  </si>
  <si>
    <t>22171-14</t>
  </si>
  <si>
    <t>22171-16</t>
  </si>
  <si>
    <t>15572-6</t>
  </si>
  <si>
    <t>21081-6初测</t>
  </si>
  <si>
    <t>23094-1</t>
  </si>
  <si>
    <t>23751-1</t>
  </si>
  <si>
    <t>23751-2</t>
  </si>
  <si>
    <t>23751-3</t>
  </si>
  <si>
    <t>23751-4</t>
  </si>
  <si>
    <t>23751-5</t>
  </si>
  <si>
    <t>23751-6</t>
  </si>
  <si>
    <t>23695-1</t>
  </si>
  <si>
    <t>17684001</t>
  </si>
  <si>
    <t>17684002</t>
  </si>
  <si>
    <t>17684003</t>
  </si>
  <si>
    <t>17684004</t>
  </si>
  <si>
    <t>17684005</t>
  </si>
  <si>
    <t>18259-1</t>
  </si>
  <si>
    <t>18259-2</t>
  </si>
  <si>
    <t>24873-1</t>
  </si>
  <si>
    <t>24873-2</t>
  </si>
  <si>
    <t>24873-3</t>
  </si>
  <si>
    <t>24873-4</t>
  </si>
  <si>
    <t>19371001</t>
  </si>
  <si>
    <t>28287-9</t>
  </si>
  <si>
    <t>20550-8</t>
  </si>
  <si>
    <t>20550-9</t>
  </si>
  <si>
    <t>20550-10</t>
  </si>
  <si>
    <t>20550-11</t>
  </si>
  <si>
    <t>20550-12</t>
  </si>
  <si>
    <t>20550-13</t>
  </si>
  <si>
    <t>20550-14</t>
  </si>
  <si>
    <t>20550-15</t>
  </si>
  <si>
    <t>28287-5</t>
  </si>
  <si>
    <t>28287-6</t>
  </si>
  <si>
    <t>28287-7</t>
  </si>
  <si>
    <t>28287-8</t>
  </si>
  <si>
    <t>28287-10</t>
  </si>
  <si>
    <t>28287-11</t>
  </si>
  <si>
    <t>28287-12</t>
  </si>
  <si>
    <t>21644-1</t>
  </si>
  <si>
    <t>28287-2</t>
  </si>
  <si>
    <t>28287-1</t>
  </si>
  <si>
    <t>30292-1</t>
  </si>
  <si>
    <t>30292-2</t>
  </si>
  <si>
    <t>28287-3</t>
  </si>
  <si>
    <t>28287-4</t>
  </si>
  <si>
    <t>30292-12</t>
  </si>
  <si>
    <t>37858-1</t>
  </si>
  <si>
    <t>37858-2</t>
  </si>
  <si>
    <t>25692-1</t>
  </si>
  <si>
    <t>1+1</t>
  </si>
  <si>
    <t>1.0065乳</t>
  </si>
  <si>
    <t>1.0221淀</t>
  </si>
  <si>
    <t>1.8+0.2</t>
  </si>
  <si>
    <t>1.8032乳</t>
  </si>
  <si>
    <t>0.2227淀</t>
  </si>
  <si>
    <t>1+1水洗醇洗</t>
  </si>
  <si>
    <t>37893-1</t>
  </si>
  <si>
    <t>26902-1</t>
  </si>
  <si>
    <t>39584-1</t>
  </si>
  <si>
    <t>39584-2</t>
  </si>
  <si>
    <t>39584-3</t>
  </si>
  <si>
    <t>39588-1</t>
  </si>
  <si>
    <t>26092-1</t>
  </si>
  <si>
    <t>26487-11</t>
  </si>
  <si>
    <t>26487-12</t>
  </si>
  <si>
    <t>26487-13</t>
  </si>
  <si>
    <t>26487-14</t>
  </si>
  <si>
    <t>26487-15</t>
  </si>
  <si>
    <t>26487-16</t>
  </si>
  <si>
    <t>26487-17</t>
  </si>
  <si>
    <t>26487-18</t>
  </si>
  <si>
    <t>26487-19</t>
  </si>
  <si>
    <t>26487-20</t>
  </si>
  <si>
    <t>26487-21</t>
  </si>
  <si>
    <t>40104-1</t>
  </si>
  <si>
    <t>26487-1</t>
  </si>
  <si>
    <t>26487-2</t>
  </si>
  <si>
    <t>26487-3</t>
  </si>
  <si>
    <t>26487-4</t>
  </si>
  <si>
    <t>26487-5</t>
  </si>
  <si>
    <t>26487-6</t>
  </si>
  <si>
    <t>26487-7</t>
  </si>
  <si>
    <t>26487-8</t>
  </si>
  <si>
    <t>26487-9</t>
  </si>
  <si>
    <t>26487-10</t>
  </si>
  <si>
    <t>26749-1</t>
  </si>
  <si>
    <t>友娜</t>
  </si>
  <si>
    <t>34400-1</t>
  </si>
  <si>
    <t>藕粉</t>
  </si>
  <si>
    <t>18548-1</t>
  </si>
  <si>
    <t>小米</t>
  </si>
  <si>
    <t>35248-1</t>
  </si>
  <si>
    <t>麸皮</t>
  </si>
  <si>
    <t>16342-1复测</t>
  </si>
  <si>
    <t>高粱</t>
  </si>
  <si>
    <r>
      <rPr>
        <sz val="12"/>
        <color indexed="8"/>
        <rFont val="微软雅黑"/>
        <charset val="134"/>
      </rPr>
      <t>2</t>
    </r>
    <r>
      <rPr>
        <sz val="12"/>
        <color indexed="8"/>
        <rFont val="微软雅黑"/>
        <charset val="134"/>
      </rPr>
      <t>1020-1</t>
    </r>
  </si>
  <si>
    <t>玉米</t>
  </si>
  <si>
    <r>
      <rPr>
        <sz val="12"/>
        <color indexed="8"/>
        <rFont val="微软雅黑"/>
        <charset val="134"/>
      </rPr>
      <t>2</t>
    </r>
    <r>
      <rPr>
        <sz val="12"/>
        <color indexed="8"/>
        <rFont val="微软雅黑"/>
        <charset val="134"/>
      </rPr>
      <t>1020-2</t>
    </r>
  </si>
  <si>
    <r>
      <rPr>
        <sz val="12"/>
        <color indexed="8"/>
        <rFont val="微软雅黑"/>
        <charset val="134"/>
      </rPr>
      <t>2</t>
    </r>
    <r>
      <rPr>
        <sz val="12"/>
        <color indexed="8"/>
        <rFont val="微软雅黑"/>
        <charset val="134"/>
      </rPr>
      <t>1020-3</t>
    </r>
  </si>
  <si>
    <r>
      <rPr>
        <sz val="12"/>
        <color indexed="8"/>
        <rFont val="微软雅黑"/>
        <charset val="134"/>
      </rPr>
      <t>2</t>
    </r>
    <r>
      <rPr>
        <sz val="12"/>
        <color indexed="8"/>
        <rFont val="微软雅黑"/>
        <charset val="134"/>
      </rPr>
      <t>1020-4</t>
    </r>
  </si>
  <si>
    <t>21020-5</t>
  </si>
  <si>
    <t>21020-6</t>
  </si>
  <si>
    <t>21020-7</t>
  </si>
  <si>
    <t>21020-8</t>
  </si>
  <si>
    <t>40492-1</t>
  </si>
  <si>
    <t>42498-1</t>
  </si>
  <si>
    <t>马铃薯纤维</t>
  </si>
  <si>
    <t>23162-1</t>
  </si>
  <si>
    <t>43091-1</t>
  </si>
  <si>
    <t>24808-1</t>
  </si>
  <si>
    <t>23785-1</t>
  </si>
  <si>
    <t>44200-1</t>
  </si>
  <si>
    <t>糯米</t>
  </si>
  <si>
    <t>45276-1</t>
  </si>
  <si>
    <t>调味品发酵专用小麦麸</t>
  </si>
  <si>
    <t>45529-1</t>
  </si>
  <si>
    <t>鲁甜豌4号</t>
  </si>
  <si>
    <t>45529-2</t>
  </si>
  <si>
    <t>鲁甜豌6号</t>
  </si>
  <si>
    <t>45529-3</t>
  </si>
  <si>
    <t>鲁甜豌8号</t>
  </si>
  <si>
    <t>45529-4</t>
  </si>
  <si>
    <t>鲁甜豌10号</t>
  </si>
  <si>
    <t>芋头</t>
  </si>
  <si>
    <t>46797-5</t>
  </si>
  <si>
    <t>24125-1</t>
  </si>
  <si>
    <t>25311-1</t>
  </si>
  <si>
    <t>25311-2</t>
  </si>
  <si>
    <t>25311-3</t>
  </si>
  <si>
    <t>25311-4</t>
  </si>
  <si>
    <t>25311-5</t>
  </si>
  <si>
    <t>25663-1</t>
  </si>
  <si>
    <t>25663-2</t>
  </si>
  <si>
    <t>25663-3</t>
  </si>
  <si>
    <t>25663-4</t>
  </si>
  <si>
    <t>25663-5</t>
  </si>
  <si>
    <t>25663-6</t>
  </si>
  <si>
    <t>25663-7</t>
  </si>
  <si>
    <t>25663-8</t>
  </si>
  <si>
    <t>25663-9</t>
  </si>
  <si>
    <t>25663-11</t>
  </si>
  <si>
    <t>25663-12</t>
  </si>
  <si>
    <t>26622-1</t>
  </si>
  <si>
    <t>26716-1</t>
  </si>
  <si>
    <t>26847-1</t>
  </si>
  <si>
    <t>BQ26847001</t>
  </si>
  <si>
    <t>79-2</t>
  </si>
  <si>
    <t>357-1</t>
  </si>
  <si>
    <t>1087-3</t>
  </si>
  <si>
    <t>1234-4</t>
  </si>
  <si>
    <t>1789-14</t>
  </si>
  <si>
    <t>804-1</t>
  </si>
  <si>
    <t>804-2</t>
  </si>
  <si>
    <t>804-3</t>
  </si>
  <si>
    <t>804-4</t>
  </si>
  <si>
    <t>804-5</t>
  </si>
  <si>
    <t>804-6</t>
  </si>
  <si>
    <t>804-7</t>
  </si>
  <si>
    <t>804-8</t>
  </si>
  <si>
    <t>804-9</t>
  </si>
  <si>
    <t>3225-1</t>
  </si>
  <si>
    <t>3225-2</t>
  </si>
  <si>
    <t>3225-3</t>
  </si>
  <si>
    <t>3225-4</t>
  </si>
  <si>
    <t>3225-5</t>
  </si>
  <si>
    <t>29973-1</t>
  </si>
  <si>
    <t>29973-2</t>
  </si>
  <si>
    <t>15966-13</t>
  </si>
  <si>
    <t>18171-1</t>
  </si>
  <si>
    <t>19177-2</t>
  </si>
  <si>
    <t>18171-2</t>
  </si>
  <si>
    <t>18171-3</t>
  </si>
  <si>
    <t>18171-4</t>
  </si>
  <si>
    <t>18171-5</t>
  </si>
  <si>
    <t>21091-1</t>
  </si>
  <si>
    <t>21091-2</t>
  </si>
  <si>
    <t>21091-3</t>
  </si>
  <si>
    <t>21091-4</t>
  </si>
  <si>
    <t>21091-5</t>
  </si>
  <si>
    <t>21091-6</t>
  </si>
  <si>
    <t>19366-1</t>
  </si>
  <si>
    <t>18762-2</t>
  </si>
  <si>
    <t>22175-1</t>
  </si>
  <si>
    <t>23356-3</t>
  </si>
  <si>
    <t>41853-1</t>
  </si>
  <si>
    <t>鸡肉松</t>
  </si>
  <si>
    <t>鸡肉酥</t>
  </si>
  <si>
    <t>43490-1</t>
  </si>
  <si>
    <t>鸡肉丝</t>
  </si>
  <si>
    <t>44422-1</t>
  </si>
  <si>
    <t>26525-1</t>
  </si>
  <si>
    <r>
      <rPr>
        <sz val="11"/>
        <color theme="1"/>
        <rFont val="宋体"/>
        <charset val="134"/>
        <scheme val="minor"/>
      </rPr>
      <t>定2</t>
    </r>
    <r>
      <rPr>
        <sz val="11"/>
        <color theme="1"/>
        <rFont val="宋体"/>
        <charset val="134"/>
        <scheme val="minor"/>
      </rPr>
      <t>50</t>
    </r>
  </si>
  <si>
    <t>26525-2</t>
  </si>
  <si>
    <r>
      <rPr>
        <sz val="11"/>
        <color theme="1"/>
        <rFont val="宋体"/>
        <charset val="134"/>
        <scheme val="minor"/>
      </rPr>
      <t>定5</t>
    </r>
    <r>
      <rPr>
        <sz val="11"/>
        <color theme="1"/>
        <rFont val="宋体"/>
        <charset val="134"/>
        <scheme val="minor"/>
      </rPr>
      <t>00</t>
    </r>
  </si>
  <si>
    <t>49649-1</t>
  </si>
  <si>
    <t>49649-2</t>
  </si>
  <si>
    <t>49649-3</t>
  </si>
  <si>
    <t>49649-4</t>
  </si>
  <si>
    <t>49649-5</t>
  </si>
  <si>
    <t>49649-6</t>
  </si>
  <si>
    <t>26252-1</t>
  </si>
  <si>
    <t>26252-2</t>
  </si>
  <si>
    <t>174-1</t>
  </si>
  <si>
    <t>定500</t>
  </si>
  <si>
    <t>1880-1</t>
  </si>
  <si>
    <t>1880-2</t>
  </si>
  <si>
    <t>1880-3</t>
  </si>
  <si>
    <t>1880-4</t>
  </si>
  <si>
    <t>1880-5</t>
  </si>
  <si>
    <t>1880-6</t>
  </si>
  <si>
    <t>1981-1</t>
  </si>
  <si>
    <t>16604-3</t>
  </si>
  <si>
    <t>16604-5</t>
  </si>
  <si>
    <t>23158-1</t>
  </si>
  <si>
    <t>肉酥</t>
  </si>
  <si>
    <t>肉松粉</t>
  </si>
  <si>
    <t>43490-2</t>
  </si>
  <si>
    <t>43968-1</t>
  </si>
  <si>
    <t>24628-1</t>
  </si>
  <si>
    <t>27089-1</t>
  </si>
  <si>
    <t>27089-2</t>
  </si>
  <si>
    <t>50177-1</t>
  </si>
  <si>
    <t>16604-1</t>
  </si>
  <si>
    <t>16604</t>
  </si>
  <si>
    <t>36790-1</t>
  </si>
  <si>
    <t>桑葚果汁</t>
  </si>
  <si>
    <t>36790-2</t>
  </si>
  <si>
    <t>猕猴桃</t>
  </si>
  <si>
    <t>玉米汁</t>
  </si>
  <si>
    <t>35689-1</t>
  </si>
  <si>
    <t>葡萄糖</t>
  </si>
  <si>
    <t>20547-1</t>
  </si>
  <si>
    <t>鸭血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</si>
  <si>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9772-1</t>
    </r>
  </si>
  <si>
    <t>谷粒多玉米汁</t>
  </si>
  <si>
    <t>39772-2</t>
  </si>
  <si>
    <t>39772-1</t>
  </si>
  <si>
    <t>42755-1</t>
  </si>
  <si>
    <t>42798-1</t>
  </si>
  <si>
    <t>贵州红酸汤底料</t>
  </si>
  <si>
    <t>46727-3</t>
  </si>
  <si>
    <t>48934-4</t>
  </si>
  <si>
    <t>48934-3</t>
  </si>
  <si>
    <t>复合调味料（酱香风味）</t>
  </si>
  <si>
    <t>牛奶滑鸭血</t>
  </si>
  <si>
    <t>27902-5</t>
  </si>
  <si>
    <t>4-1</t>
  </si>
  <si>
    <t>4-2</t>
  </si>
  <si>
    <t>4-3</t>
  </si>
  <si>
    <t>2617-1</t>
  </si>
  <si>
    <t>49239-1</t>
  </si>
  <si>
    <t>38112-1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</si>
  <si>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50-1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</si>
  <si>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121-1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</si>
  <si>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121-2</t>
    </r>
  </si>
  <si>
    <t>3280-11</t>
  </si>
  <si>
    <t>519-2</t>
  </si>
  <si>
    <t>+</t>
  </si>
  <si>
    <t>1</t>
  </si>
  <si>
    <t>2</t>
  </si>
  <si>
    <t>04895-1</t>
  </si>
  <si>
    <t>04895-2</t>
  </si>
  <si>
    <t>06254-1</t>
  </si>
  <si>
    <t>09764-4</t>
  </si>
  <si>
    <t>07130-1</t>
  </si>
  <si>
    <t>07883-2</t>
  </si>
  <si>
    <t>07883-3</t>
  </si>
  <si>
    <t>3.0611</t>
  </si>
  <si>
    <t>23298-1</t>
  </si>
  <si>
    <t>22903-1</t>
  </si>
  <si>
    <t>19371-1</t>
  </si>
  <si>
    <t>23529-1</t>
  </si>
  <si>
    <t>25138-2</t>
  </si>
  <si>
    <t>25138-5</t>
  </si>
  <si>
    <t>哈纳斯</t>
  </si>
  <si>
    <t>新疆奶茶粉</t>
  </si>
  <si>
    <t>25411-1</t>
  </si>
  <si>
    <t>26749-3</t>
  </si>
  <si>
    <t>1319-1</t>
  </si>
  <si>
    <t>脆皮原味热狗肠</t>
  </si>
  <si>
    <t>15009-1</t>
  </si>
  <si>
    <t>33731-1</t>
  </si>
  <si>
    <t>红豆沙</t>
  </si>
  <si>
    <t>33731-2</t>
  </si>
  <si>
    <t>赤小豆</t>
  </si>
  <si>
    <t>18123-1</t>
  </si>
  <si>
    <t>胡萝卜</t>
  </si>
  <si>
    <t>18123-2</t>
  </si>
  <si>
    <t>45529-1 2</t>
  </si>
  <si>
    <t>45213-1</t>
  </si>
  <si>
    <t>小埋伏</t>
  </si>
  <si>
    <t>46493-1</t>
  </si>
  <si>
    <t>26244-1</t>
  </si>
  <si>
    <t>26590-1</t>
  </si>
  <si>
    <t>26889-1</t>
  </si>
  <si>
    <t>50729-1</t>
  </si>
  <si>
    <t>50729-3</t>
  </si>
  <si>
    <t>50729-4</t>
  </si>
  <si>
    <t>50729-5</t>
  </si>
  <si>
    <t>50767-1</t>
  </si>
  <si>
    <t>冷冻紫薯</t>
  </si>
  <si>
    <t>50729-2</t>
  </si>
  <si>
    <t>29-1</t>
  </si>
  <si>
    <t>79-1</t>
  </si>
  <si>
    <t>1087-1</t>
  </si>
  <si>
    <t>1087-2</t>
  </si>
  <si>
    <t>1087-4</t>
  </si>
  <si>
    <t>49769-1</t>
  </si>
  <si>
    <t>15966-12</t>
  </si>
  <si>
    <t>17369-1</t>
  </si>
  <si>
    <t>2369501</t>
  </si>
  <si>
    <t>加水</t>
  </si>
  <si>
    <t>37750-1</t>
  </si>
  <si>
    <t>对象名称</t>
  </si>
  <si>
    <t>参数名称</t>
  </si>
  <si>
    <t>领域代码</t>
  </si>
  <si>
    <t>方法名称</t>
  </si>
  <si>
    <t>依据标准号</t>
  </si>
  <si>
    <t>条款号</t>
  </si>
  <si>
    <t>说明</t>
  </si>
  <si>
    <t>甜面酱检验方法</t>
  </si>
  <si>
    <t>SB/T 10308-1999</t>
  </si>
  <si>
    <t>3.2</t>
  </si>
  <si>
    <t>调味品</t>
  </si>
  <si>
    <t>还原糖（以葡萄糖计）</t>
  </si>
  <si>
    <t>蜂产品</t>
  </si>
  <si>
    <t>蜂王浆</t>
  </si>
  <si>
    <t>GB 9697-2008</t>
  </si>
  <si>
    <t>5.5</t>
  </si>
  <si>
    <t>干制红枣</t>
  </si>
  <si>
    <t>蜜饯质量通则</t>
  </si>
  <si>
    <t>GB/T 10782-2021</t>
  </si>
  <si>
    <t>7.4</t>
  </si>
  <si>
    <t>免洗红枣</t>
  </si>
  <si>
    <t>糖、糖果、蜜饯</t>
  </si>
  <si>
    <t>其他食品</t>
  </si>
  <si>
    <t>DE值</t>
  </si>
  <si>
    <t>淀粉糖质量要求 第2部分：葡萄糖浆（粉）</t>
  </si>
  <si>
    <t>GB/T 20882.2-2021</t>
  </si>
  <si>
    <t>N-422</t>
  </si>
  <si>
    <t>食品添加剂</t>
  </si>
  <si>
    <t>6.3</t>
  </si>
  <si>
    <t>淀粉糖质量要求 第6部分：麦芽糊精</t>
  </si>
  <si>
    <t>GB/T 20882.6-2021</t>
  </si>
  <si>
    <t>N-423</t>
  </si>
  <si>
    <t>食品</t>
  </si>
  <si>
    <t>可溶性糖</t>
  </si>
  <si>
    <t>水果及制品可溶性糖的测定 3,5-二硝基水杨酸比色法</t>
  </si>
  <si>
    <t>NY/T 2742-2015</t>
  </si>
  <si>
    <t>X-1003</t>
  </si>
  <si>
    <t>植物源性食品</t>
  </si>
  <si>
    <t>还原糖分</t>
  </si>
  <si>
    <t>冰糖试验方法</t>
  </si>
  <si>
    <t>QB/T 5010-2016</t>
  </si>
  <si>
    <t>X-1264</t>
  </si>
  <si>
    <t>蔗糖分</t>
  </si>
  <si>
    <t>方糖试验方法</t>
  </si>
  <si>
    <t>QB/T 5011-2016</t>
  </si>
  <si>
    <t>绵白糖试验方法</t>
  </si>
  <si>
    <t>QB/T 5012-2016</t>
  </si>
  <si>
    <t>总糖分</t>
  </si>
  <si>
    <t>赤砂糖试验方法</t>
  </si>
  <si>
    <t>QB/T 8040-2024</t>
  </si>
  <si>
    <t>6</t>
  </si>
  <si>
    <t>酒类及含酒精饮料</t>
  </si>
  <si>
    <t>总糖/总糖(以葡萄糖计)</t>
  </si>
  <si>
    <t>葡萄酒、果酒通用分析方法</t>
  </si>
  <si>
    <t>GB/T 15038-2006</t>
  </si>
  <si>
    <t>4.2</t>
  </si>
  <si>
    <t>X-128</t>
  </si>
  <si>
    <t>动物源性食品</t>
  </si>
  <si>
    <t>肉制品 总糖含量测定</t>
  </si>
  <si>
    <t>GB/T 9695.31-2008</t>
  </si>
  <si>
    <t>只用第二法</t>
  </si>
  <si>
    <t>X-1285</t>
  </si>
  <si>
    <t>淀粉</t>
  </si>
  <si>
    <t>肉松质量通则</t>
  </si>
  <si>
    <t>GB/T 23968-2022</t>
  </si>
  <si>
    <t>附录A</t>
  </si>
  <si>
    <t>X-1293</t>
  </si>
  <si>
    <t>磷脂</t>
  </si>
  <si>
    <t>粮油检验 磷脂含量的测定</t>
  </si>
  <si>
    <t>GB/T 5537-2008</t>
  </si>
  <si>
    <t>只测第一法、第二法</t>
  </si>
  <si>
    <t>X-1310</t>
  </si>
  <si>
    <t>干浸出物</t>
  </si>
  <si>
    <t>X-132</t>
  </si>
  <si>
    <t>库尔巴哈值</t>
  </si>
  <si>
    <t>啤酒麦芽</t>
  </si>
  <si>
    <t>QB/T 1686-2008</t>
  </si>
  <si>
    <t>6.1</t>
  </si>
  <si>
    <t>X-1534</t>
  </si>
  <si>
    <t>N-348</t>
  </si>
  <si>
    <t>煮沸色度</t>
  </si>
  <si>
    <t>6.6</t>
  </si>
  <si>
    <t>X-164</t>
  </si>
  <si>
    <t>色度</t>
  </si>
  <si>
    <t>6.5</t>
  </si>
  <si>
    <t>X-166</t>
  </si>
  <si>
    <t>可溶性总糖</t>
  </si>
  <si>
    <t>食品安全国家标准 食品中果糖、葡萄糖、蔗糖、麦芽糖、乳糖的测定</t>
  </si>
  <si>
    <t>GB 5009.8-2023</t>
  </si>
  <si>
    <t>X-1815总糖</t>
  </si>
  <si>
    <t>X-1816乳糖</t>
  </si>
  <si>
    <t>蔗糖、转化前转化糖、转化后转化糖</t>
  </si>
  <si>
    <t>只测第三法</t>
  </si>
  <si>
    <t>蔗糖、转化前转化糖、转化后转化糖、蔗糖分</t>
  </si>
  <si>
    <t>转化糖浆干物质中蔗糖</t>
  </si>
  <si>
    <t>总糖/总糖（以葡萄糖计）/总糖(以蔗糖计)/总糖(以转化糖计)</t>
  </si>
  <si>
    <t>冻鱼糜制品</t>
  </si>
  <si>
    <t>食品安全国家标准 食品中淀粉的测定</t>
  </si>
  <si>
    <t>GB 5009.9-2023</t>
  </si>
  <si>
    <t>X-1817
X-1818
X-1819    X-2435</t>
  </si>
  <si>
    <t>淀粉/淀粉(以干基计)/淀粉含量/粗淀粉（干基）</t>
  </si>
  <si>
    <t>葡聚糖</t>
  </si>
  <si>
    <t>原糖</t>
  </si>
  <si>
    <t>GB/T 15108-2017</t>
  </si>
  <si>
    <t>4.7</t>
  </si>
  <si>
    <t>X-1833</t>
  </si>
  <si>
    <t>总糖（以葡萄糖计）</t>
  </si>
  <si>
    <t>NY/T 705-2023</t>
  </si>
  <si>
    <t>X-1890</t>
  </si>
  <si>
    <t>葡萄糖酸锌含量</t>
  </si>
  <si>
    <t>食品安全国家标准 食品添加剂 葡萄糖酸锌</t>
  </si>
  <si>
    <t>GB 8820-2010</t>
  </si>
  <si>
    <t>附录A.4</t>
  </si>
  <si>
    <t>X-1990</t>
  </si>
  <si>
    <t>食品安全国家标准 食品添加剂 赤藓糖醇</t>
  </si>
  <si>
    <t>GB 26404-2011</t>
  </si>
  <si>
    <t>附录A A.5</t>
  </si>
  <si>
    <t>X-2014</t>
  </si>
  <si>
    <t>食品安全国家标准 食品添加剂 麦芽糖醇和麦芽糖醇液（含1号修改单）</t>
  </si>
  <si>
    <t>GB 28307-2012（XG1-2015）</t>
  </si>
  <si>
    <t>附录A.5</t>
  </si>
  <si>
    <t>X-2017</t>
  </si>
  <si>
    <t>白砂糖试验方法</t>
  </si>
  <si>
    <t>GB/T 35887-2018</t>
  </si>
  <si>
    <t>X-2118</t>
  </si>
  <si>
    <t>枸杞多糖</t>
  </si>
  <si>
    <t>GB/T 18672-2014</t>
  </si>
  <si>
    <t>X-225</t>
  </si>
  <si>
    <t>乳与乳制品和婴幼儿食品</t>
  </si>
  <si>
    <t>添加的蔗糖、果糖、葡萄糖、葡萄糖浆总量</t>
  </si>
  <si>
    <t>食品安全国家标准 婴幼儿谷类辅助食品</t>
  </si>
  <si>
    <t>GB 10769-2025</t>
  </si>
  <si>
    <t>X-2298</t>
  </si>
  <si>
    <t>聚葡萄糖</t>
  </si>
  <si>
    <t>食品安全国家标准 食品添加剂 聚葡萄糖</t>
  </si>
  <si>
    <t>GB 1886.385-2025</t>
  </si>
  <si>
    <t>附录 A.3</t>
  </si>
  <si>
    <t>X-2311</t>
  </si>
  <si>
    <t>豆浆粉质量通则</t>
  </si>
  <si>
    <t>GB/T 18738-2025</t>
  </si>
  <si>
    <t>X-2601</t>
  </si>
  <si>
    <t>饮料、饮品</t>
  </si>
  <si>
    <t>附录B</t>
  </si>
  <si>
    <t>X-266</t>
  </si>
  <si>
    <t>水产品及其制品</t>
  </si>
  <si>
    <t>含砂量</t>
  </si>
  <si>
    <t>食品安全国家标准 干海参</t>
  </si>
  <si>
    <t>GB 31602-2015</t>
  </si>
  <si>
    <t>X-357</t>
  </si>
  <si>
    <t>复水后干重率</t>
  </si>
  <si>
    <t>附录A A.4</t>
  </si>
  <si>
    <t>X-384</t>
  </si>
  <si>
    <t>二氧化钛</t>
  </si>
  <si>
    <t>食品安全国家标准 食品中二氧化钛的测定</t>
  </si>
  <si>
    <t>GB 5009.246-2016</t>
  </si>
  <si>
    <t>X-403</t>
  </si>
  <si>
    <t>糖果 充气糖果</t>
  </si>
  <si>
    <t>食品安全国家标准 食品中还原糖的测定</t>
  </si>
  <si>
    <t>GB 5009.7-2016</t>
  </si>
  <si>
    <t>只用第一法</t>
  </si>
  <si>
    <t>X-415</t>
  </si>
  <si>
    <t>糖果 焦香糖果</t>
  </si>
  <si>
    <t>糖果 奶糖糖果</t>
  </si>
  <si>
    <t>糖果 凝胶糖果</t>
  </si>
  <si>
    <t>糖果 酥质糖果</t>
  </si>
  <si>
    <t>糖果 硬质糖果</t>
  </si>
  <si>
    <t>还原糖/还原糖分</t>
  </si>
  <si>
    <t>过氧化氢</t>
  </si>
  <si>
    <t>食品安全国家标准 食品中过氧化氢残留量的测定</t>
  </si>
  <si>
    <t>GB 5009.226-2016</t>
  </si>
  <si>
    <t>X-422</t>
  </si>
  <si>
    <t>水溶性总糖</t>
  </si>
  <si>
    <t>X-455</t>
  </si>
  <si>
    <t>食品安全国家标准 食品添加剂 乳酸</t>
  </si>
  <si>
    <t>GB 1886.173-2016</t>
  </si>
  <si>
    <t>X-464</t>
  </si>
  <si>
    <t>残留磷酸盐</t>
  </si>
  <si>
    <t>食品安全国家标准 食品中磷的测定</t>
  </si>
  <si>
    <t>GB 5009.87-2016</t>
  </si>
  <si>
    <t>X-588</t>
  </si>
  <si>
    <t>总磷/磷</t>
  </si>
  <si>
    <t>α-氨基氮（以干基计）</t>
  </si>
  <si>
    <t>6.9</t>
  </si>
  <si>
    <t>X-642</t>
  </si>
  <si>
    <t>粗细粉差</t>
  </si>
  <si>
    <t>6.8</t>
  </si>
  <si>
    <t>X-643</t>
  </si>
  <si>
    <t>糖化时间</t>
  </si>
  <si>
    <t>6.4</t>
  </si>
  <si>
    <t>X-741</t>
  </si>
  <si>
    <t>夹杂物</t>
  </si>
  <si>
    <t>6.2</t>
  </si>
  <si>
    <t>X-765</t>
  </si>
  <si>
    <t>N-11</t>
  </si>
  <si>
    <t>X-167</t>
  </si>
  <si>
    <t>糖化力</t>
  </si>
  <si>
    <t>6.11</t>
  </si>
  <si>
    <t>X-874</t>
  </si>
  <si>
    <t>总糖(以葡萄糖计)</t>
  </si>
  <si>
    <t>奶酒</t>
  </si>
  <si>
    <t>GB/T 23546-2009</t>
  </si>
  <si>
    <t>X-875</t>
  </si>
  <si>
    <t>食品添加剂 赤藓糖醇</t>
  </si>
  <si>
    <t>QB/T 2985-2008</t>
  </si>
  <si>
    <t>X-916</t>
  </si>
  <si>
    <t>干海参</t>
  </si>
  <si>
    <t>食用菌中总糖含量的测定</t>
  </si>
  <si>
    <t>GB/T 15672-2009</t>
  </si>
  <si>
    <t>X-96</t>
  </si>
  <si>
    <t>总糖/总糖（以转化糖计）</t>
  </si>
  <si>
    <t>非还原糖</t>
  </si>
  <si>
    <t>粮油检验 粮食中还原糖和非还原糖测定</t>
  </si>
  <si>
    <t>GB/T 5513-2019</t>
  </si>
  <si>
    <t>X-966</t>
  </si>
  <si>
    <t>总还原糖的测定</t>
  </si>
  <si>
    <t>AOAC official method 945.66 First Action 1945</t>
  </si>
  <si>
    <t>食品安全国家标准 食品添加剂 山梨糖醇和山梨糖醇液</t>
  </si>
  <si>
    <t>GB 1886.187-2016</t>
  </si>
  <si>
    <t>食品安全国家标准 食品添加剂 木糖醇</t>
  </si>
  <si>
    <t>GB 1886.234-2016</t>
  </si>
  <si>
    <t>附录A中A.5</t>
  </si>
  <si>
    <t>GB/T 13662-2018</t>
  </si>
  <si>
    <t>糕点质量检验方法</t>
  </si>
  <si>
    <t>GB/T 23780-2025</t>
  </si>
  <si>
    <t>卤蛋质量通则</t>
  </si>
  <si>
    <t>GB/T 23970-2022</t>
  </si>
  <si>
    <t>冷冻饮品检验方法</t>
  </si>
  <si>
    <t>GB/T 31321-2014</t>
  </si>
  <si>
    <t>GB/T 5835-2026</t>
  </si>
  <si>
    <t>6.2.3</t>
  </si>
  <si>
    <t>啤酒原料质量要求 第2部分：啤酒麦芽</t>
  </si>
  <si>
    <t>GB/T 7416.2-2025</t>
  </si>
  <si>
    <t>6.7</t>
  </si>
  <si>
    <t>6.10</t>
  </si>
  <si>
    <t>浸出物（以干基计）</t>
  </si>
  <si>
    <t>附录B.10</t>
  </si>
  <si>
    <t>附录B.8</t>
  </si>
  <si>
    <t>附录B.7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</si>
</sst>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0_ "/>
    <numFmt numFmtId="178" formatCode="0.0000_ "/>
    <numFmt numFmtId="179" formatCode="0.000_);[Red]\(0.000\)"/>
    <numFmt numFmtId="180" formatCode="0.0_);[Red]\(0.0\)"/>
    <numFmt numFmtId="181" formatCode="0.00_);[Red]\(0.00\)"/>
    <numFmt numFmtId="182" formatCode="0.0_ "/>
    <numFmt numFmtId="183" formatCode="0.0000_);[Red]\(0.0000\)"/>
    <numFmt numFmtId="184" formatCode="0_ "/>
    <numFmt numFmtId="185" formatCode="0.000_ "/>
    <numFmt numFmtId="186" formatCode="0.00000_);[Red]\(0.00000\)"/>
    <numFmt numFmtId="187" formatCode="0_);[Red]\(0\)"/>
    <numFmt numFmtId="188" formatCode="_ * #,##0.000_ ;_ * \-#,##0.000_ ;_ * &quot;-&quot;??.0_ ;_ @_ "/>
    <numFmt numFmtId="189" formatCode="0.0"/>
    <numFmt numFmtId="190" formatCode="0.000"/>
    <numFmt numFmtId="191" formatCode="0.0000"/>
  </numFmts>
  <fonts count="5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trike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indexed="8"/>
      <name val="微软雅黑"/>
      <charset val="134"/>
    </font>
    <font>
      <sz val="14"/>
      <color indexed="8"/>
      <name val="微软雅黑"/>
      <charset val="134"/>
    </font>
    <font>
      <sz val="12"/>
      <color indexed="8"/>
      <name val="微软雅黑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6"/>
      <color theme="1"/>
      <name val="宋体"/>
      <charset val="134"/>
      <scheme val="minor"/>
    </font>
    <font>
      <sz val="16"/>
      <color indexed="8"/>
      <name val="宋体"/>
      <charset val="134"/>
    </font>
    <font>
      <sz val="16"/>
      <color theme="1"/>
      <name val="宋体"/>
      <charset val="134"/>
    </font>
    <font>
      <b/>
      <sz val="12"/>
      <color indexed="8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4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sz val="14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b/>
      <sz val="14"/>
      <name val="微软雅黑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theme="7" tint="0.39899899288918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8998992889187"/>
        <bgColor indexed="64"/>
      </patternFill>
    </fill>
    <fill>
      <patternFill patternType="solid">
        <fgColor theme="6" tint="0.39963988158818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13" applyNumberFormat="0" applyAlignment="0" applyProtection="0">
      <alignment vertical="center"/>
    </xf>
    <xf numFmtId="0" fontId="40" fillId="16" borderId="14" applyNumberFormat="0" applyAlignment="0" applyProtection="0">
      <alignment vertical="center"/>
    </xf>
    <xf numFmtId="0" fontId="41" fillId="16" borderId="13" applyNumberFormat="0" applyAlignment="0" applyProtection="0">
      <alignment vertical="center"/>
    </xf>
    <xf numFmtId="0" fontId="42" fillId="17" borderId="15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0" fillId="0" borderId="0"/>
    <xf numFmtId="0" fontId="30" fillId="0" borderId="0">
      <alignment vertical="center"/>
    </xf>
    <xf numFmtId="176" fontId="0" fillId="0" borderId="0"/>
  </cellStyleXfs>
  <cellXfs count="63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 wrapText="1"/>
    </xf>
    <xf numFmtId="179" fontId="7" fillId="4" borderId="1" xfId="0" applyNumberFormat="1" applyFont="1" applyFill="1" applyBorder="1" applyAlignment="1">
      <alignment horizontal="center" vertical="center" wrapText="1"/>
    </xf>
    <xf numFmtId="180" fontId="7" fillId="4" borderId="1" xfId="0" applyNumberFormat="1" applyFont="1" applyFill="1" applyBorder="1" applyAlignment="1">
      <alignment horizontal="center" vertical="center" wrapText="1"/>
    </xf>
    <xf numFmtId="181" fontId="7" fillId="4" borderId="1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181" fontId="9" fillId="0" borderId="2" xfId="0" applyNumberFormat="1" applyFont="1" applyFill="1" applyBorder="1" applyAlignment="1">
      <alignment horizontal="center" vertical="center"/>
    </xf>
    <xf numFmtId="182" fontId="9" fillId="0" borderId="2" xfId="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181" fontId="9" fillId="0" borderId="3" xfId="0" applyNumberFormat="1" applyFont="1" applyFill="1" applyBorder="1" applyAlignment="1">
      <alignment horizontal="center" vertical="center"/>
    </xf>
    <xf numFmtId="182" fontId="9" fillId="0" borderId="3" xfId="0" applyNumberFormat="1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/>
    </xf>
    <xf numFmtId="180" fontId="9" fillId="0" borderId="2" xfId="0" applyNumberFormat="1" applyFont="1" applyFill="1" applyBorder="1" applyAlignment="1">
      <alignment horizontal="center" vertical="center"/>
    </xf>
    <xf numFmtId="180" fontId="9" fillId="0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83" fontId="0" fillId="0" borderId="0" xfId="0" applyNumberFormat="1" applyFont="1" applyFill="1" applyAlignment="1">
      <alignment horizontal="center" vertical="center"/>
    </xf>
    <xf numFmtId="179" fontId="0" fillId="0" borderId="0" xfId="0" applyNumberFormat="1" applyFont="1" applyFill="1" applyAlignment="1">
      <alignment horizontal="center" vertical="center"/>
    </xf>
    <xf numFmtId="179" fontId="12" fillId="0" borderId="0" xfId="0" applyNumberFormat="1" applyFont="1" applyFill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81" fontId="12" fillId="0" borderId="0" xfId="0" applyNumberFormat="1" applyFont="1" applyFill="1" applyAlignment="1">
      <alignment horizontal="center" vertical="center"/>
    </xf>
    <xf numFmtId="17" fontId="0" fillId="0" borderId="0" xfId="0" applyNumberFormat="1" applyFont="1">
      <alignment vertical="center"/>
    </xf>
    <xf numFmtId="0" fontId="0" fillId="0" borderId="0" xfId="0" applyFont="1">
      <alignment vertical="center"/>
    </xf>
    <xf numFmtId="181" fontId="0" fillId="0" borderId="0" xfId="0" applyNumberFormat="1" applyFon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82" fontId="0" fillId="0" borderId="0" xfId="0" applyNumberFormat="1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49" fontId="11" fillId="6" borderId="0" xfId="0" applyNumberFormat="1" applyFont="1" applyFill="1" applyAlignment="1">
      <alignment horizontal="center" vertical="center"/>
    </xf>
    <xf numFmtId="0" fontId="11" fillId="6" borderId="0" xfId="0" applyNumberFormat="1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183" fontId="0" fillId="6" borderId="0" xfId="0" applyNumberFormat="1" applyFont="1" applyFill="1" applyAlignment="1">
      <alignment horizontal="center" vertical="center"/>
    </xf>
    <xf numFmtId="179" fontId="12" fillId="6" borderId="0" xfId="0" applyNumberFormat="1" applyFont="1" applyFill="1" applyAlignment="1">
      <alignment horizontal="center" vertical="center"/>
    </xf>
    <xf numFmtId="49" fontId="11" fillId="7" borderId="0" xfId="0" applyNumberFormat="1" applyFont="1" applyFill="1" applyAlignment="1">
      <alignment horizontal="center" vertical="center"/>
    </xf>
    <xf numFmtId="0" fontId="11" fillId="7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179" fontId="0" fillId="7" borderId="0" xfId="0" applyNumberFormat="1" applyFont="1" applyFill="1" applyAlignment="1">
      <alignment horizontal="center" vertical="center"/>
    </xf>
    <xf numFmtId="181" fontId="12" fillId="7" borderId="0" xfId="0" applyNumberFormat="1" applyFont="1" applyFill="1" applyAlignment="1">
      <alignment horizontal="center" vertical="center"/>
    </xf>
    <xf numFmtId="49" fontId="11" fillId="5" borderId="0" xfId="0" applyNumberFormat="1" applyFont="1" applyFill="1" applyAlignment="1">
      <alignment horizontal="center" vertical="center"/>
    </xf>
    <xf numFmtId="0" fontId="11" fillId="5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79" fontId="0" fillId="5" borderId="0" xfId="0" applyNumberFormat="1" applyFont="1" applyFill="1" applyAlignment="1">
      <alignment horizontal="center" vertical="center"/>
    </xf>
    <xf numFmtId="181" fontId="12" fillId="5" borderId="0" xfId="0" applyNumberFormat="1" applyFont="1" applyFill="1" applyAlignment="1">
      <alignment horizontal="center" vertical="center"/>
    </xf>
    <xf numFmtId="181" fontId="12" fillId="6" borderId="0" xfId="0" applyNumberFormat="1" applyFont="1" applyFill="1" applyAlignment="1">
      <alignment horizontal="center"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5" borderId="0" xfId="0" applyFont="1" applyFill="1">
      <alignment vertical="center"/>
    </xf>
    <xf numFmtId="49" fontId="10" fillId="8" borderId="1" xfId="0" applyNumberFormat="1" applyFont="1" applyFill="1" applyBorder="1" applyAlignment="1">
      <alignment horizontal="center" vertical="center" wrapText="1"/>
    </xf>
    <xf numFmtId="49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181" fontId="10" fillId="8" borderId="1" xfId="0" applyNumberFormat="1" applyFont="1" applyFill="1" applyBorder="1" applyAlignment="1">
      <alignment horizontal="center" vertical="center"/>
    </xf>
    <xf numFmtId="182" fontId="10" fillId="8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182" fontId="10" fillId="0" borderId="2" xfId="0" applyNumberFormat="1" applyFont="1" applyFill="1" applyBorder="1" applyAlignment="1">
      <alignment horizontal="center" vertical="center"/>
    </xf>
    <xf numFmtId="182" fontId="10" fillId="0" borderId="3" xfId="0" applyNumberFormat="1" applyFont="1" applyFill="1" applyBorder="1" applyAlignment="1">
      <alignment horizontal="center" vertical="center"/>
    </xf>
    <xf numFmtId="177" fontId="10" fillId="8" borderId="1" xfId="0" applyNumberFormat="1" applyFont="1" applyFill="1" applyBorder="1" applyAlignment="1">
      <alignment horizontal="center" vertical="center"/>
    </xf>
    <xf numFmtId="177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7" fontId="10" fillId="0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181" fontId="10" fillId="6" borderId="1" xfId="0" applyNumberFormat="1" applyFont="1" applyFill="1" applyBorder="1" applyAlignment="1">
      <alignment horizontal="center" vertical="center"/>
    </xf>
    <xf numFmtId="49" fontId="10" fillId="7" borderId="2" xfId="0" applyNumberFormat="1" applyFont="1" applyFill="1" applyBorder="1" applyAlignment="1">
      <alignment horizontal="center" vertical="center"/>
    </xf>
    <xf numFmtId="49" fontId="10" fillId="7" borderId="2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81" fontId="10" fillId="7" borderId="1" xfId="0" applyNumberFormat="1" applyFont="1" applyFill="1" applyBorder="1" applyAlignment="1">
      <alignment horizontal="center" vertical="center"/>
    </xf>
    <xf numFmtId="182" fontId="10" fillId="7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 wrapText="1"/>
    </xf>
    <xf numFmtId="182" fontId="10" fillId="7" borderId="3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82" fontId="10" fillId="6" borderId="2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 wrapText="1"/>
    </xf>
    <xf numFmtId="182" fontId="10" fillId="6" borderId="3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77" fontId="10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77" fontId="10" fillId="7" borderId="3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77" fontId="10" fillId="6" borderId="2" xfId="0" applyNumberFormat="1" applyFont="1" applyFill="1" applyBorder="1" applyAlignment="1">
      <alignment horizontal="center" vertical="center"/>
    </xf>
    <xf numFmtId="177" fontId="10" fillId="6" borderId="3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0" fillId="0" borderId="0" xfId="0" applyNumberFormat="1">
      <alignment vertical="center"/>
    </xf>
    <xf numFmtId="182" fontId="0" fillId="0" borderId="0" xfId="0" applyNumberFormat="1">
      <alignment vertical="center"/>
    </xf>
    <xf numFmtId="178" fontId="0" fillId="5" borderId="0" xfId="0" applyNumberFormat="1" applyFont="1" applyFill="1" applyAlignment="1">
      <alignment horizontal="center" vertical="center"/>
    </xf>
    <xf numFmtId="181" fontId="0" fillId="5" borderId="0" xfId="0" applyNumberFormat="1" applyFont="1" applyFill="1" applyAlignment="1">
      <alignment horizontal="center" vertical="center"/>
    </xf>
    <xf numFmtId="177" fontId="0" fillId="5" borderId="0" xfId="0" applyNumberFormat="1" applyFont="1" applyFill="1" applyAlignment="1">
      <alignment horizontal="center" vertical="center"/>
    </xf>
    <xf numFmtId="178" fontId="0" fillId="6" borderId="0" xfId="0" applyNumberFormat="1" applyFont="1" applyFill="1" applyAlignment="1">
      <alignment horizontal="center" vertical="center"/>
    </xf>
    <xf numFmtId="181" fontId="0" fillId="6" borderId="0" xfId="0" applyNumberFormat="1" applyFont="1" applyFill="1" applyAlignment="1">
      <alignment horizontal="center" vertical="center"/>
    </xf>
    <xf numFmtId="177" fontId="0" fillId="6" borderId="0" xfId="0" applyNumberFormat="1" applyFont="1" applyFill="1" applyAlignment="1">
      <alignment horizontal="center" vertical="center"/>
    </xf>
    <xf numFmtId="182" fontId="0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85" fontId="0" fillId="5" borderId="0" xfId="0" applyNumberFormat="1" applyFill="1">
      <alignment vertical="center"/>
    </xf>
    <xf numFmtId="182" fontId="0" fillId="5" borderId="0" xfId="0" applyNumberFormat="1" applyFill="1">
      <alignment vertical="center"/>
    </xf>
    <xf numFmtId="184" fontId="0" fillId="5" borderId="0" xfId="0" applyNumberFormat="1" applyFill="1">
      <alignment vertical="center"/>
    </xf>
    <xf numFmtId="177" fontId="0" fillId="5" borderId="0" xfId="0" applyNumberFormat="1" applyFill="1">
      <alignment vertical="center"/>
    </xf>
    <xf numFmtId="185" fontId="0" fillId="6" borderId="0" xfId="0" applyNumberFormat="1" applyFill="1">
      <alignment vertical="center"/>
    </xf>
    <xf numFmtId="182" fontId="0" fillId="6" borderId="0" xfId="0" applyNumberFormat="1" applyFill="1">
      <alignment vertical="center"/>
    </xf>
    <xf numFmtId="184" fontId="0" fillId="6" borderId="0" xfId="0" applyNumberFormat="1" applyFill="1">
      <alignment vertical="center"/>
    </xf>
    <xf numFmtId="177" fontId="0" fillId="6" borderId="0" xfId="0" applyNumberFormat="1" applyFill="1">
      <alignment vertical="center"/>
    </xf>
    <xf numFmtId="182" fontId="0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85" fontId="0" fillId="0" borderId="0" xfId="0" applyNumberFormat="1" applyFont="1" applyFill="1" applyAlignment="1">
      <alignment horizontal="center" vertical="center"/>
    </xf>
    <xf numFmtId="180" fontId="0" fillId="0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5" fontId="0" fillId="0" borderId="0" xfId="0" applyNumberFormat="1" applyFont="1">
      <alignment vertical="center"/>
    </xf>
    <xf numFmtId="49" fontId="14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77" fontId="13" fillId="0" borderId="0" xfId="0" applyNumberFormat="1" applyFont="1" applyFill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0" fontId="11" fillId="6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81" fontId="0" fillId="6" borderId="1" xfId="0" applyNumberFormat="1" applyFont="1" applyFill="1" applyBorder="1" applyAlignment="1">
      <alignment horizontal="center" vertical="center"/>
    </xf>
    <xf numFmtId="177" fontId="0" fillId="6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 wrapText="1"/>
    </xf>
    <xf numFmtId="178" fontId="0" fillId="5" borderId="1" xfId="0" applyNumberFormat="1" applyFill="1" applyBorder="1" applyAlignment="1">
      <alignment horizontal="center" vertical="center"/>
    </xf>
    <xf numFmtId="181" fontId="0" fillId="5" borderId="1" xfId="0" applyNumberFormat="1" applyFont="1" applyFill="1" applyBorder="1" applyAlignment="1">
      <alignment horizontal="center" vertical="center"/>
    </xf>
    <xf numFmtId="177" fontId="0" fillId="5" borderId="1" xfId="0" applyNumberFormat="1" applyFont="1" applyFill="1" applyBorder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85" fontId="13" fillId="0" borderId="0" xfId="0" applyNumberFormat="1" applyFont="1">
      <alignment vertical="center"/>
    </xf>
    <xf numFmtId="182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4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80" fontId="0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80" fontId="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85" fontId="0" fillId="5" borderId="1" xfId="0" applyNumberFormat="1" applyFont="1" applyFill="1" applyBorder="1" applyAlignment="1">
      <alignment horizontal="center" vertical="center"/>
    </xf>
    <xf numFmtId="185" fontId="0" fillId="0" borderId="5" xfId="0" applyNumberFormat="1" applyBorder="1" applyAlignment="1">
      <alignment horizontal="center" vertical="center"/>
    </xf>
    <xf numFmtId="181" fontId="0" fillId="5" borderId="2" xfId="0" applyNumberFormat="1" applyFill="1" applyBorder="1" applyAlignment="1">
      <alignment horizontal="center" vertical="center"/>
    </xf>
    <xf numFmtId="181" fontId="0" fillId="5" borderId="3" xfId="0" applyNumberFormat="1" applyFill="1" applyBorder="1" applyAlignment="1">
      <alignment horizontal="center" vertical="center"/>
    </xf>
    <xf numFmtId="180" fontId="0" fillId="5" borderId="2" xfId="0" applyNumberFormat="1" applyFill="1" applyBorder="1" applyAlignment="1">
      <alignment horizontal="center" vertical="center"/>
    </xf>
    <xf numFmtId="180" fontId="0" fillId="5" borderId="3" xfId="0" applyNumberFormat="1" applyFill="1" applyBorder="1" applyAlignment="1">
      <alignment horizontal="center" vertical="center"/>
    </xf>
    <xf numFmtId="178" fontId="0" fillId="5" borderId="1" xfId="0" applyNumberFormat="1" applyFont="1" applyFill="1" applyBorder="1" applyAlignment="1">
      <alignment horizontal="center" vertical="center"/>
    </xf>
    <xf numFmtId="179" fontId="0" fillId="5" borderId="1" xfId="0" applyNumberFormat="1" applyFont="1" applyFill="1" applyBorder="1" applyAlignment="1">
      <alignment horizontal="center" vertical="center"/>
    </xf>
    <xf numFmtId="49" fontId="11" fillId="5" borderId="2" xfId="0" applyNumberFormat="1" applyFont="1" applyFill="1" applyBorder="1" applyAlignment="1">
      <alignment horizontal="center" vertical="center"/>
    </xf>
    <xf numFmtId="49" fontId="11" fillId="5" borderId="3" xfId="0" applyNumberFormat="1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82" fontId="0" fillId="5" borderId="1" xfId="0" applyNumberFormat="1" applyFont="1" applyFill="1" applyBorder="1" applyAlignment="1">
      <alignment horizontal="center" vertical="center"/>
    </xf>
    <xf numFmtId="179" fontId="0" fillId="5" borderId="2" xfId="0" applyNumberFormat="1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181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49" fontId="0" fillId="6" borderId="0" xfId="0" applyNumberFormat="1" applyFont="1" applyFill="1" applyAlignment="1">
      <alignment horizontal="center" vertical="center"/>
    </xf>
    <xf numFmtId="177" fontId="0" fillId="6" borderId="0" xfId="0" applyNumberFormat="1" applyFont="1" applyFill="1">
      <alignment vertical="center"/>
    </xf>
    <xf numFmtId="181" fontId="0" fillId="6" borderId="0" xfId="0" applyNumberFormat="1" applyFont="1" applyFill="1">
      <alignment vertical="center"/>
    </xf>
    <xf numFmtId="180" fontId="0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82" fontId="0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177" fontId="0" fillId="9" borderId="0" xfId="0" applyNumberFormat="1" applyFill="1">
      <alignment vertical="center"/>
    </xf>
    <xf numFmtId="177" fontId="0" fillId="10" borderId="0" xfId="0" applyNumberFormat="1" applyFill="1">
      <alignment vertical="center"/>
    </xf>
    <xf numFmtId="177" fontId="0" fillId="9" borderId="0" xfId="0" applyNumberFormat="1" applyFont="1" applyFill="1">
      <alignment vertical="center"/>
    </xf>
    <xf numFmtId="177" fontId="0" fillId="10" borderId="0" xfId="0" applyNumberFormat="1" applyFont="1" applyFill="1">
      <alignment vertical="center"/>
    </xf>
    <xf numFmtId="177" fontId="12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0" fontId="15" fillId="0" borderId="1" xfId="0" applyFont="1" applyBorder="1" applyProtection="1">
      <alignment vertical="center"/>
    </xf>
    <xf numFmtId="49" fontId="15" fillId="0" borderId="1" xfId="0" applyNumberFormat="1" applyFont="1" applyBorder="1" applyProtection="1">
      <alignment vertical="center"/>
    </xf>
    <xf numFmtId="177" fontId="15" fillId="0" borderId="1" xfId="0" applyNumberFormat="1" applyFont="1" applyBorder="1" applyProtection="1">
      <alignment vertical="center"/>
    </xf>
    <xf numFmtId="177" fontId="15" fillId="9" borderId="1" xfId="0" applyNumberFormat="1" applyFont="1" applyFill="1" applyBorder="1" applyProtection="1">
      <alignment vertical="center"/>
    </xf>
    <xf numFmtId="177" fontId="15" fillId="11" borderId="1" xfId="0" applyNumberFormat="1" applyFont="1" applyFill="1" applyBorder="1" applyProtection="1">
      <alignment vertical="center"/>
    </xf>
    <xf numFmtId="177" fontId="16" fillId="0" borderId="1" xfId="0" applyNumberFormat="1" applyFont="1" applyBorder="1" applyProtection="1">
      <alignment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77" fontId="15" fillId="0" borderId="1" xfId="0" applyNumberFormat="1" applyFont="1" applyBorder="1">
      <alignment vertical="center"/>
    </xf>
    <xf numFmtId="0" fontId="15" fillId="0" borderId="1" xfId="0" applyFont="1" applyBorder="1">
      <alignment vertical="center"/>
    </xf>
    <xf numFmtId="177" fontId="15" fillId="9" borderId="1" xfId="0" applyNumberFormat="1" applyFont="1" applyFill="1" applyBorder="1">
      <alignment vertical="center"/>
    </xf>
    <xf numFmtId="177" fontId="15" fillId="11" borderId="1" xfId="0" applyNumberFormat="1" applyFont="1" applyFill="1" applyBorder="1">
      <alignment vertical="center"/>
    </xf>
    <xf numFmtId="17" fontId="17" fillId="0" borderId="1" xfId="0" applyNumberFormat="1" applyFont="1" applyBorder="1" applyAlignment="1">
      <alignment horizontal="center" vertical="center"/>
    </xf>
    <xf numFmtId="181" fontId="15" fillId="0" borderId="1" xfId="0" applyNumberFormat="1" applyFont="1" applyBorder="1" applyProtection="1">
      <alignment vertical="center"/>
    </xf>
    <xf numFmtId="182" fontId="15" fillId="0" borderId="1" xfId="0" applyNumberFormat="1" applyFont="1" applyBorder="1" applyProtection="1">
      <alignment vertical="center"/>
    </xf>
    <xf numFmtId="183" fontId="15" fillId="0" borderId="1" xfId="0" applyNumberFormat="1" applyFont="1" applyBorder="1">
      <alignment vertical="center"/>
    </xf>
    <xf numFmtId="177" fontId="15" fillId="0" borderId="1" xfId="0" applyNumberFormat="1" applyFont="1" applyBorder="1" applyAlignment="1">
      <alignment horizontal="center" vertical="center"/>
    </xf>
    <xf numFmtId="186" fontId="15" fillId="0" borderId="1" xfId="0" applyNumberFormat="1" applyFont="1" applyBorder="1">
      <alignment vertical="center"/>
    </xf>
    <xf numFmtId="181" fontId="15" fillId="0" borderId="1" xfId="0" applyNumberFormat="1" applyFont="1" applyBorder="1">
      <alignment vertical="center"/>
    </xf>
    <xf numFmtId="181" fontId="15" fillId="0" borderId="1" xfId="0" applyNumberFormat="1" applyFont="1" applyBorder="1" applyAlignment="1">
      <alignment horizontal="center" vertical="center"/>
    </xf>
    <xf numFmtId="18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15" fillId="6" borderId="1" xfId="0" applyNumberFormat="1" applyFont="1" applyFill="1" applyBorder="1">
      <alignment vertical="center"/>
    </xf>
    <xf numFmtId="179" fontId="15" fillId="0" borderId="1" xfId="0" applyNumberFormat="1" applyFont="1" applyBorder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18" fillId="4" borderId="1" xfId="0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181" fontId="18" fillId="4" borderId="1" xfId="0" applyNumberFormat="1" applyFont="1" applyFill="1" applyBorder="1" applyAlignment="1">
      <alignment horizontal="center" vertical="center" wrapText="1"/>
    </xf>
    <xf numFmtId="182" fontId="18" fillId="4" borderId="1" xfId="0" applyNumberFormat="1" applyFont="1" applyFill="1" applyBorder="1" applyAlignment="1">
      <alignment horizontal="center" vertical="center" wrapText="1"/>
    </xf>
    <xf numFmtId="49" fontId="20" fillId="0" borderId="6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177" fontId="19" fillId="0" borderId="1" xfId="0" applyNumberFormat="1" applyFont="1" applyFill="1" applyBorder="1" applyAlignment="1">
      <alignment horizontal="center" vertical="center"/>
    </xf>
    <xf numFmtId="181" fontId="19" fillId="0" borderId="1" xfId="0" applyNumberFormat="1" applyFont="1" applyFill="1" applyBorder="1" applyAlignment="1">
      <alignment horizontal="center" vertical="center"/>
    </xf>
    <xf numFmtId="180" fontId="19" fillId="0" borderId="2" xfId="0" applyNumberFormat="1" applyFont="1" applyFill="1" applyBorder="1" applyAlignment="1">
      <alignment horizontal="center" vertical="center"/>
    </xf>
    <xf numFmtId="181" fontId="19" fillId="0" borderId="2" xfId="0" applyNumberFormat="1" applyFont="1" applyFill="1" applyBorder="1" applyAlignment="1">
      <alignment horizontal="center" vertical="center"/>
    </xf>
    <xf numFmtId="178" fontId="19" fillId="0" borderId="1" xfId="0" applyNumberFormat="1" applyFont="1" applyFill="1" applyBorder="1" applyAlignment="1">
      <alignment horizontal="center" vertical="center"/>
    </xf>
    <xf numFmtId="180" fontId="19" fillId="0" borderId="3" xfId="0" applyNumberFormat="1" applyFont="1" applyFill="1" applyBorder="1" applyAlignment="1">
      <alignment horizontal="center" vertical="center"/>
    </xf>
    <xf numFmtId="181" fontId="19" fillId="0" borderId="3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77" fontId="18" fillId="4" borderId="7" xfId="0" applyNumberFormat="1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187" fontId="18" fillId="4" borderId="0" xfId="0" applyNumberFormat="1" applyFont="1" applyFill="1" applyBorder="1" applyAlignment="1">
      <alignment horizontal="center" vertical="center" wrapText="1"/>
    </xf>
    <xf numFmtId="184" fontId="18" fillId="4" borderId="0" xfId="0" applyNumberFormat="1" applyFont="1" applyFill="1" applyBorder="1" applyAlignment="1">
      <alignment horizontal="center" vertical="center" wrapText="1"/>
    </xf>
    <xf numFmtId="177" fontId="18" fillId="4" borderId="0" xfId="0" applyNumberFormat="1" applyFont="1" applyFill="1" applyBorder="1" applyAlignment="1">
      <alignment horizontal="center" vertical="center" wrapText="1"/>
    </xf>
    <xf numFmtId="177" fontId="19" fillId="0" borderId="0" xfId="0" applyNumberFormat="1" applyFont="1" applyFill="1" applyBorder="1" applyAlignment="1">
      <alignment horizontal="center" vertical="center"/>
    </xf>
    <xf numFmtId="184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177" fontId="18" fillId="4" borderId="1" xfId="0" applyNumberFormat="1" applyFont="1" applyFill="1" applyBorder="1" applyAlignment="1">
      <alignment horizontal="center" vertical="center" wrapText="1"/>
    </xf>
    <xf numFmtId="187" fontId="18" fillId="4" borderId="1" xfId="0" applyNumberFormat="1" applyFont="1" applyFill="1" applyBorder="1" applyAlignment="1">
      <alignment horizontal="center" vertical="center" wrapText="1"/>
    </xf>
    <xf numFmtId="184" fontId="18" fillId="4" borderId="1" xfId="0" applyNumberFormat="1" applyFont="1" applyFill="1" applyBorder="1" applyAlignment="1">
      <alignment horizontal="center" vertical="center" wrapText="1"/>
    </xf>
    <xf numFmtId="182" fontId="10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81" fontId="19" fillId="0" borderId="1" xfId="0" applyNumberFormat="1" applyFont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49" fontId="18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81" fontId="10" fillId="5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21" fillId="5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178" fontId="21" fillId="5" borderId="1" xfId="0" applyNumberFormat="1" applyFont="1" applyFill="1" applyBorder="1" applyAlignment="1">
      <alignment horizontal="center" vertical="center"/>
    </xf>
    <xf numFmtId="181" fontId="22" fillId="5" borderId="1" xfId="0" applyNumberFormat="1" applyFont="1" applyFill="1" applyBorder="1" applyAlignment="1">
      <alignment horizontal="center" vertical="center"/>
    </xf>
    <xf numFmtId="0" fontId="18" fillId="0" borderId="1" xfId="0" applyFont="1" applyBorder="1">
      <alignment vertical="center"/>
    </xf>
    <xf numFmtId="17" fontId="11" fillId="0" borderId="1" xfId="0" applyNumberFormat="1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0" fontId="18" fillId="4" borderId="1" xfId="0" applyFont="1" applyFill="1" applyBorder="1">
      <alignment vertical="center"/>
    </xf>
    <xf numFmtId="0" fontId="18" fillId="6" borderId="1" xfId="0" applyFont="1" applyFill="1" applyBorder="1">
      <alignment vertical="center"/>
    </xf>
    <xf numFmtId="0" fontId="18" fillId="5" borderId="1" xfId="0" applyFont="1" applyFill="1" applyBorder="1">
      <alignment vertical="center"/>
    </xf>
    <xf numFmtId="0" fontId="18" fillId="7" borderId="1" xfId="0" applyFont="1" applyFill="1" applyBorder="1">
      <alignment vertical="center"/>
    </xf>
    <xf numFmtId="0" fontId="23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87" fontId="18" fillId="0" borderId="1" xfId="0" applyNumberFormat="1" applyFont="1" applyBorder="1">
      <alignment vertical="center"/>
    </xf>
    <xf numFmtId="184" fontId="18" fillId="0" borderId="1" xfId="0" applyNumberFormat="1" applyFont="1" applyBorder="1">
      <alignment vertical="center"/>
    </xf>
    <xf numFmtId="177" fontId="18" fillId="0" borderId="1" xfId="0" applyNumberFormat="1" applyFont="1" applyBorder="1">
      <alignment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81" fontId="10" fillId="4" borderId="1" xfId="0" applyNumberFormat="1" applyFont="1" applyFill="1" applyBorder="1" applyAlignment="1">
      <alignment horizontal="center" vertical="center"/>
    </xf>
    <xf numFmtId="0" fontId="18" fillId="0" borderId="2" xfId="0" applyFont="1" applyBorder="1">
      <alignment vertical="center"/>
    </xf>
    <xf numFmtId="49" fontId="10" fillId="5" borderId="2" xfId="0" applyNumberFormat="1" applyFont="1" applyFill="1" applyBorder="1" applyAlignment="1">
      <alignment horizontal="center" vertical="center" wrapText="1"/>
    </xf>
    <xf numFmtId="0" fontId="18" fillId="0" borderId="3" xfId="0" applyFont="1" applyBorder="1">
      <alignment vertical="center"/>
    </xf>
    <xf numFmtId="49" fontId="10" fillId="5" borderId="3" xfId="0" applyNumberFormat="1" applyFont="1" applyFill="1" applyBorder="1" applyAlignment="1">
      <alignment horizontal="center" vertical="center" wrapText="1"/>
    </xf>
    <xf numFmtId="0" fontId="18" fillId="6" borderId="2" xfId="0" applyFont="1" applyFill="1" applyBorder="1">
      <alignment vertical="center"/>
    </xf>
    <xf numFmtId="0" fontId="18" fillId="6" borderId="3" xfId="0" applyFont="1" applyFill="1" applyBorder="1">
      <alignment vertical="center"/>
    </xf>
    <xf numFmtId="0" fontId="18" fillId="5" borderId="2" xfId="0" applyFont="1" applyFill="1" applyBorder="1">
      <alignment vertical="center"/>
    </xf>
    <xf numFmtId="49" fontId="10" fillId="5" borderId="2" xfId="0" applyNumberFormat="1" applyFont="1" applyFill="1" applyBorder="1" applyAlignment="1">
      <alignment horizontal="center" vertical="center"/>
    </xf>
    <xf numFmtId="0" fontId="18" fillId="5" borderId="3" xfId="0" applyFont="1" applyFill="1" applyBorder="1">
      <alignment vertical="center"/>
    </xf>
    <xf numFmtId="49" fontId="10" fillId="5" borderId="3" xfId="0" applyNumberFormat="1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 wrapText="1"/>
    </xf>
    <xf numFmtId="182" fontId="10" fillId="4" borderId="1" xfId="0" applyNumberFormat="1" applyFont="1" applyFill="1" applyBorder="1" applyAlignment="1">
      <alignment horizontal="center" vertical="center"/>
    </xf>
    <xf numFmtId="177" fontId="10" fillId="4" borderId="1" xfId="0" applyNumberFormat="1" applyFont="1" applyFill="1" applyBorder="1" applyAlignment="1">
      <alignment horizontal="center" vertical="center"/>
    </xf>
    <xf numFmtId="187" fontId="18" fillId="4" borderId="1" xfId="0" applyNumberFormat="1" applyFont="1" applyFill="1" applyBorder="1">
      <alignment vertical="center"/>
    </xf>
    <xf numFmtId="184" fontId="18" fillId="4" borderId="1" xfId="0" applyNumberFormat="1" applyFont="1" applyFill="1" applyBorder="1">
      <alignment vertical="center"/>
    </xf>
    <xf numFmtId="177" fontId="18" fillId="4" borderId="1" xfId="0" applyNumberFormat="1" applyFont="1" applyFill="1" applyBorder="1">
      <alignment vertical="center"/>
    </xf>
    <xf numFmtId="187" fontId="18" fillId="6" borderId="1" xfId="0" applyNumberFormat="1" applyFont="1" applyFill="1" applyBorder="1">
      <alignment vertical="center"/>
    </xf>
    <xf numFmtId="184" fontId="18" fillId="6" borderId="1" xfId="0" applyNumberFormat="1" applyFont="1" applyFill="1" applyBorder="1">
      <alignment vertical="center"/>
    </xf>
    <xf numFmtId="177" fontId="18" fillId="6" borderId="1" xfId="0" applyNumberFormat="1" applyFont="1" applyFill="1" applyBorder="1">
      <alignment vertical="center"/>
    </xf>
    <xf numFmtId="182" fontId="10" fillId="5" borderId="2" xfId="0" applyNumberFormat="1" applyFont="1" applyFill="1" applyBorder="1" applyAlignment="1">
      <alignment horizontal="center" vertical="center"/>
    </xf>
    <xf numFmtId="177" fontId="10" fillId="5" borderId="2" xfId="0" applyNumberFormat="1" applyFont="1" applyFill="1" applyBorder="1" applyAlignment="1">
      <alignment horizontal="center" vertical="center"/>
    </xf>
    <xf numFmtId="187" fontId="18" fillId="5" borderId="1" xfId="0" applyNumberFormat="1" applyFont="1" applyFill="1" applyBorder="1">
      <alignment vertical="center"/>
    </xf>
    <xf numFmtId="184" fontId="18" fillId="5" borderId="1" xfId="0" applyNumberFormat="1" applyFont="1" applyFill="1" applyBorder="1">
      <alignment vertical="center"/>
    </xf>
    <xf numFmtId="177" fontId="18" fillId="5" borderId="1" xfId="0" applyNumberFormat="1" applyFont="1" applyFill="1" applyBorder="1">
      <alignment vertical="center"/>
    </xf>
    <xf numFmtId="182" fontId="10" fillId="5" borderId="3" xfId="0" applyNumberFormat="1" applyFont="1" applyFill="1" applyBorder="1" applyAlignment="1">
      <alignment horizontal="center" vertical="center"/>
    </xf>
    <xf numFmtId="177" fontId="10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9" fontId="18" fillId="5" borderId="3" xfId="0" applyNumberFormat="1" applyFont="1" applyFill="1" applyBorder="1" applyAlignment="1">
      <alignment horizontal="center" vertical="center" wrapText="1"/>
    </xf>
    <xf numFmtId="181" fontId="18" fillId="0" borderId="2" xfId="0" applyNumberFormat="1" applyFont="1" applyBorder="1" applyAlignment="1">
      <alignment horizontal="center" vertical="center"/>
    </xf>
    <xf numFmtId="181" fontId="18" fillId="0" borderId="3" xfId="0" applyNumberFormat="1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81" fontId="18" fillId="6" borderId="2" xfId="0" applyNumberFormat="1" applyFont="1" applyFill="1" applyBorder="1" applyAlignment="1">
      <alignment horizontal="center" vertical="center"/>
    </xf>
    <xf numFmtId="181" fontId="18" fillId="6" borderId="3" xfId="0" applyNumberFormat="1" applyFont="1" applyFill="1" applyBorder="1" applyAlignment="1">
      <alignment horizontal="center" vertical="center"/>
    </xf>
    <xf numFmtId="0" fontId="18" fillId="7" borderId="2" xfId="0" applyFont="1" applyFill="1" applyBorder="1">
      <alignment vertical="center"/>
    </xf>
    <xf numFmtId="0" fontId="18" fillId="7" borderId="3" xfId="0" applyFont="1" applyFill="1" applyBorder="1">
      <alignment vertical="center"/>
    </xf>
    <xf numFmtId="0" fontId="18" fillId="0" borderId="4" xfId="0" applyFont="1" applyBorder="1">
      <alignment vertical="center"/>
    </xf>
    <xf numFmtId="49" fontId="10" fillId="5" borderId="4" xfId="0" applyNumberFormat="1" applyFont="1" applyFill="1" applyBorder="1" applyAlignment="1">
      <alignment horizontal="center" vertical="center"/>
    </xf>
    <xf numFmtId="49" fontId="18" fillId="5" borderId="4" xfId="0" applyNumberFormat="1" applyFont="1" applyFill="1" applyBorder="1" applyAlignment="1">
      <alignment horizontal="center" vertical="center" wrapText="1"/>
    </xf>
    <xf numFmtId="181" fontId="18" fillId="7" borderId="2" xfId="0" applyNumberFormat="1" applyFont="1" applyFill="1" applyBorder="1" applyAlignment="1">
      <alignment horizontal="center" vertical="center"/>
    </xf>
    <xf numFmtId="184" fontId="18" fillId="7" borderId="1" xfId="0" applyNumberFormat="1" applyFont="1" applyFill="1" applyBorder="1">
      <alignment vertical="center"/>
    </xf>
    <xf numFmtId="177" fontId="18" fillId="7" borderId="1" xfId="0" applyNumberFormat="1" applyFont="1" applyFill="1" applyBorder="1">
      <alignment vertical="center"/>
    </xf>
    <xf numFmtId="181" fontId="18" fillId="7" borderId="3" xfId="0" applyNumberFormat="1" applyFont="1" applyFill="1" applyBorder="1" applyAlignment="1">
      <alignment horizontal="center" vertical="center"/>
    </xf>
    <xf numFmtId="182" fontId="10" fillId="5" borderId="4" xfId="0" applyNumberFormat="1" applyFont="1" applyFill="1" applyBorder="1" applyAlignment="1">
      <alignment horizontal="center" vertical="center"/>
    </xf>
    <xf numFmtId="177" fontId="10" fillId="5" borderId="4" xfId="0" applyNumberFormat="1" applyFont="1" applyFill="1" applyBorder="1" applyAlignment="1">
      <alignment horizontal="center" vertical="center"/>
    </xf>
    <xf numFmtId="181" fontId="18" fillId="0" borderId="4" xfId="0" applyNumberFormat="1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0" fontId="18" fillId="5" borderId="0" xfId="0" applyFont="1" applyFill="1" applyBorder="1">
      <alignment vertical="center"/>
    </xf>
    <xf numFmtId="0" fontId="11" fillId="5" borderId="0" xfId="0" applyFont="1" applyFill="1" applyAlignment="1">
      <alignment horizontal="center" vertical="center"/>
    </xf>
    <xf numFmtId="0" fontId="18" fillId="6" borderId="0" xfId="0" applyFont="1" applyFill="1" applyBorder="1">
      <alignment vertical="center"/>
    </xf>
    <xf numFmtId="0" fontId="11" fillId="6" borderId="0" xfId="0" applyFont="1" applyFill="1" applyAlignment="1">
      <alignment horizontal="center" vertical="center"/>
    </xf>
    <xf numFmtId="0" fontId="23" fillId="0" borderId="2" xfId="0" applyFont="1" applyBorder="1">
      <alignment vertical="center"/>
    </xf>
    <xf numFmtId="49" fontId="24" fillId="0" borderId="2" xfId="0" applyNumberFormat="1" applyFont="1" applyBorder="1" applyAlignment="1">
      <alignment horizontal="center" vertical="center"/>
    </xf>
    <xf numFmtId="49" fontId="24" fillId="5" borderId="2" xfId="0" applyNumberFormat="1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81" fontId="26" fillId="5" borderId="1" xfId="0" applyNumberFormat="1" applyFont="1" applyFill="1" applyBorder="1" applyAlignment="1">
      <alignment horizontal="center" vertical="center"/>
    </xf>
    <xf numFmtId="0" fontId="23" fillId="0" borderId="3" xfId="0" applyFont="1" applyBorder="1">
      <alignment vertical="center"/>
    </xf>
    <xf numFmtId="49" fontId="24" fillId="0" borderId="3" xfId="0" applyNumberFormat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horizontal="center" vertical="center" wrapText="1"/>
    </xf>
    <xf numFmtId="182" fontId="18" fillId="0" borderId="1" xfId="0" applyNumberFormat="1" applyFont="1" applyBorder="1">
      <alignment vertical="center"/>
    </xf>
    <xf numFmtId="181" fontId="18" fillId="5" borderId="2" xfId="0" applyNumberFormat="1" applyFont="1" applyFill="1" applyBorder="1" applyAlignment="1">
      <alignment horizontal="center" vertical="center"/>
    </xf>
    <xf numFmtId="182" fontId="18" fillId="5" borderId="1" xfId="0" applyNumberFormat="1" applyFont="1" applyFill="1" applyBorder="1">
      <alignment vertical="center"/>
    </xf>
    <xf numFmtId="181" fontId="18" fillId="5" borderId="3" xfId="0" applyNumberFormat="1" applyFont="1" applyFill="1" applyBorder="1" applyAlignment="1">
      <alignment horizontal="center" vertical="center"/>
    </xf>
    <xf numFmtId="182" fontId="18" fillId="6" borderId="1" xfId="0" applyNumberFormat="1" applyFont="1" applyFill="1" applyBorder="1">
      <alignment vertical="center"/>
    </xf>
    <xf numFmtId="182" fontId="26" fillId="5" borderId="2" xfId="0" applyNumberFormat="1" applyFont="1" applyFill="1" applyBorder="1" applyAlignment="1">
      <alignment horizontal="center" vertical="center"/>
    </xf>
    <xf numFmtId="177" fontId="26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81" fontId="23" fillId="0" borderId="2" xfId="0" applyNumberFormat="1" applyFont="1" applyBorder="1" applyAlignment="1">
      <alignment horizontal="center" vertical="center"/>
    </xf>
    <xf numFmtId="184" fontId="23" fillId="0" borderId="1" xfId="0" applyNumberFormat="1" applyFont="1" applyBorder="1">
      <alignment vertical="center"/>
    </xf>
    <xf numFmtId="177" fontId="23" fillId="0" borderId="1" xfId="0" applyNumberFormat="1" applyFont="1" applyBorder="1">
      <alignment vertical="center"/>
    </xf>
    <xf numFmtId="182" fontId="26" fillId="5" borderId="3" xfId="0" applyNumberFormat="1" applyFont="1" applyFill="1" applyBorder="1" applyAlignment="1">
      <alignment horizontal="center" vertical="center"/>
    </xf>
    <xf numFmtId="177" fontId="26" fillId="5" borderId="3" xfId="0" applyNumberFormat="1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181" fontId="23" fillId="0" borderId="3" xfId="0" applyNumberFormat="1" applyFont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49" fontId="21" fillId="5" borderId="2" xfId="0" applyNumberFormat="1" applyFont="1" applyFill="1" applyBorder="1" applyAlignment="1">
      <alignment horizontal="center" vertical="center" wrapText="1"/>
    </xf>
    <xf numFmtId="49" fontId="21" fillId="5" borderId="3" xfId="0" applyNumberFormat="1" applyFont="1" applyFill="1" applyBorder="1" applyAlignment="1">
      <alignment horizontal="center" vertical="center" wrapText="1"/>
    </xf>
    <xf numFmtId="17" fontId="11" fillId="0" borderId="0" xfId="0" applyNumberFormat="1" applyFont="1" applyAlignment="1">
      <alignment horizontal="center" vertical="center"/>
    </xf>
    <xf numFmtId="17" fontId="11" fillId="6" borderId="0" xfId="0" applyNumberFormat="1" applyFont="1" applyFill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8" fontId="21" fillId="6" borderId="1" xfId="0" applyNumberFormat="1" applyFont="1" applyFill="1" applyBorder="1" applyAlignment="1">
      <alignment horizontal="center" vertical="center"/>
    </xf>
    <xf numFmtId="181" fontId="22" fillId="6" borderId="1" xfId="0" applyNumberFormat="1" applyFont="1" applyFill="1" applyBorder="1" applyAlignment="1">
      <alignment horizontal="center" vertical="center"/>
    </xf>
    <xf numFmtId="17" fontId="11" fillId="7" borderId="0" xfId="0" applyNumberFormat="1" applyFont="1" applyFill="1" applyAlignment="1">
      <alignment horizontal="center" vertical="center"/>
    </xf>
    <xf numFmtId="17" fontId="14" fillId="12" borderId="0" xfId="0" applyNumberFormat="1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7" fontId="11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" fontId="11" fillId="13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9" fontId="21" fillId="5" borderId="4" xfId="0" applyNumberFormat="1" applyFont="1" applyFill="1" applyBorder="1" applyAlignment="1">
      <alignment horizontal="center" vertical="center" wrapText="1"/>
    </xf>
    <xf numFmtId="185" fontId="18" fillId="0" borderId="1" xfId="0" applyNumberFormat="1" applyFont="1" applyBorder="1">
      <alignment vertical="center"/>
    </xf>
    <xf numFmtId="179" fontId="20" fillId="0" borderId="2" xfId="0" applyNumberFormat="1" applyFont="1" applyBorder="1" applyAlignment="1">
      <alignment horizontal="center" vertical="center"/>
    </xf>
    <xf numFmtId="179" fontId="20" fillId="0" borderId="3" xfId="0" applyNumberFormat="1" applyFont="1" applyBorder="1" applyAlignment="1">
      <alignment horizontal="center" vertical="center"/>
    </xf>
    <xf numFmtId="185" fontId="22" fillId="5" borderId="2" xfId="0" applyNumberFormat="1" applyFont="1" applyFill="1" applyBorder="1" applyAlignment="1">
      <alignment horizontal="center" vertical="center"/>
    </xf>
    <xf numFmtId="185" fontId="22" fillId="5" borderId="3" xfId="0" applyNumberFormat="1" applyFont="1" applyFill="1" applyBorder="1" applyAlignment="1">
      <alignment horizontal="center" vertical="center"/>
    </xf>
    <xf numFmtId="177" fontId="22" fillId="5" borderId="3" xfId="0" applyNumberFormat="1" applyFont="1" applyFill="1" applyBorder="1" applyAlignment="1">
      <alignment horizontal="center" vertical="center"/>
    </xf>
    <xf numFmtId="17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82" fontId="18" fillId="0" borderId="2" xfId="0" applyNumberFormat="1" applyFont="1" applyBorder="1" applyAlignment="1">
      <alignment horizontal="center" vertical="center"/>
    </xf>
    <xf numFmtId="177" fontId="18" fillId="0" borderId="2" xfId="0" applyNumberFormat="1" applyFont="1" applyBorder="1" applyAlignment="1">
      <alignment horizontal="center" vertical="center"/>
    </xf>
    <xf numFmtId="182" fontId="18" fillId="0" borderId="3" xfId="0" applyNumberFormat="1" applyFont="1" applyBorder="1" applyAlignment="1">
      <alignment horizontal="center" vertical="center"/>
    </xf>
    <xf numFmtId="177" fontId="18" fillId="0" borderId="3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181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>
      <alignment vertical="center"/>
    </xf>
    <xf numFmtId="184" fontId="7" fillId="0" borderId="1" xfId="0" applyNumberFormat="1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49" fontId="8" fillId="6" borderId="2" xfId="0" applyNumberFormat="1" applyFont="1" applyFill="1" applyBorder="1" applyAlignment="1">
      <alignment horizontal="center" vertical="center" wrapText="1"/>
    </xf>
    <xf numFmtId="179" fontId="9" fillId="6" borderId="1" xfId="0" applyNumberFormat="1" applyFont="1" applyFill="1" applyBorder="1" applyAlignment="1">
      <alignment horizontal="center" vertical="center"/>
    </xf>
    <xf numFmtId="181" fontId="9" fillId="6" borderId="2" xfId="0" applyNumberFormat="1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 wrapText="1"/>
    </xf>
    <xf numFmtId="181" fontId="9" fillId="6" borderId="3" xfId="0" applyNumberFormat="1" applyFont="1" applyFill="1" applyBorder="1" applyAlignment="1">
      <alignment horizontal="center" vertical="center"/>
    </xf>
    <xf numFmtId="182" fontId="9" fillId="0" borderId="1" xfId="0" applyNumberFormat="1" applyFont="1" applyFill="1" applyBorder="1" applyAlignment="1">
      <alignment horizontal="center" vertical="center"/>
    </xf>
    <xf numFmtId="177" fontId="7" fillId="4" borderId="1" xfId="0" applyNumberFormat="1" applyFont="1" applyFill="1" applyBorder="1">
      <alignment vertical="center"/>
    </xf>
    <xf numFmtId="184" fontId="7" fillId="4" borderId="1" xfId="0" applyNumberFormat="1" applyFont="1" applyFill="1" applyBorder="1">
      <alignment vertical="center"/>
    </xf>
    <xf numFmtId="177" fontId="9" fillId="0" borderId="2" xfId="0" applyNumberFormat="1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/>
    </xf>
    <xf numFmtId="182" fontId="9" fillId="6" borderId="2" xfId="0" applyNumberFormat="1" applyFont="1" applyFill="1" applyBorder="1" applyAlignment="1">
      <alignment horizontal="center" vertical="center"/>
    </xf>
    <xf numFmtId="182" fontId="9" fillId="6" borderId="3" xfId="0" applyNumberFormat="1" applyFont="1" applyFill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 wrapText="1"/>
    </xf>
    <xf numFmtId="179" fontId="7" fillId="0" borderId="3" xfId="0" applyNumberFormat="1" applyFont="1" applyBorder="1" applyAlignment="1">
      <alignment horizontal="center" vertical="center" wrapText="1"/>
    </xf>
    <xf numFmtId="177" fontId="25" fillId="0" borderId="1" xfId="0" applyNumberFormat="1" applyFont="1" applyBorder="1">
      <alignment vertical="center"/>
    </xf>
    <xf numFmtId="181" fontId="9" fillId="6" borderId="1" xfId="0" applyNumberFormat="1" applyFont="1" applyFill="1" applyBorder="1" applyAlignment="1">
      <alignment horizontal="center" vertical="center"/>
    </xf>
    <xf numFmtId="179" fontId="7" fillId="6" borderId="2" xfId="0" applyNumberFormat="1" applyFont="1" applyFill="1" applyBorder="1" applyAlignment="1">
      <alignment horizontal="center" vertical="center" wrapText="1"/>
    </xf>
    <xf numFmtId="179" fontId="7" fillId="6" borderId="3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>
      <alignment vertical="center"/>
    </xf>
    <xf numFmtId="49" fontId="8" fillId="5" borderId="2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81" fontId="9" fillId="5" borderId="1" xfId="0" applyNumberFormat="1" applyFont="1" applyFill="1" applyBorder="1" applyAlignment="1">
      <alignment horizontal="center" vertical="center"/>
    </xf>
    <xf numFmtId="180" fontId="9" fillId="5" borderId="2" xfId="0" applyNumberFormat="1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49" fontId="8" fillId="5" borderId="3" xfId="0" applyNumberFormat="1" applyFont="1" applyFill="1" applyBorder="1" applyAlignment="1">
      <alignment horizontal="center" vertical="center"/>
    </xf>
    <xf numFmtId="180" fontId="9" fillId="5" borderId="3" xfId="0" applyNumberFormat="1" applyFont="1" applyFill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 wrapText="1"/>
    </xf>
    <xf numFmtId="181" fontId="7" fillId="0" borderId="3" xfId="0" applyNumberFormat="1" applyFont="1" applyBorder="1" applyAlignment="1">
      <alignment horizontal="center" vertical="center" wrapText="1"/>
    </xf>
    <xf numFmtId="182" fontId="9" fillId="5" borderId="2" xfId="0" applyNumberFormat="1" applyFont="1" applyFill="1" applyBorder="1" applyAlignment="1">
      <alignment horizontal="center" vertical="center"/>
    </xf>
    <xf numFmtId="181" fontId="7" fillId="5" borderId="2" xfId="0" applyNumberFormat="1" applyFont="1" applyFill="1" applyBorder="1" applyAlignment="1">
      <alignment horizontal="center" vertical="center" wrapText="1"/>
    </xf>
    <xf numFmtId="177" fontId="7" fillId="5" borderId="1" xfId="0" applyNumberFormat="1" applyFont="1" applyFill="1" applyBorder="1">
      <alignment vertical="center"/>
    </xf>
    <xf numFmtId="184" fontId="7" fillId="5" borderId="1" xfId="0" applyNumberFormat="1" applyFont="1" applyFill="1" applyBorder="1">
      <alignment vertical="center"/>
    </xf>
    <xf numFmtId="182" fontId="9" fillId="5" borderId="3" xfId="0" applyNumberFormat="1" applyFont="1" applyFill="1" applyBorder="1" applyAlignment="1">
      <alignment horizontal="center" vertical="center"/>
    </xf>
    <xf numFmtId="181" fontId="7" fillId="5" borderId="3" xfId="0" applyNumberFormat="1" applyFont="1" applyFill="1" applyBorder="1" applyAlignment="1">
      <alignment horizontal="center" vertical="center" wrapText="1"/>
    </xf>
    <xf numFmtId="177" fontId="7" fillId="6" borderId="1" xfId="0" applyNumberFormat="1" applyFont="1" applyFill="1" applyBorder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185" fontId="19" fillId="0" borderId="1" xfId="0" applyNumberFormat="1" applyFont="1" applyBorder="1" applyAlignment="1">
      <alignment horizontal="center" vertical="center"/>
    </xf>
    <xf numFmtId="180" fontId="19" fillId="0" borderId="1" xfId="0" applyNumberFormat="1" applyFont="1" applyBorder="1" applyAlignment="1">
      <alignment horizontal="center" vertical="center"/>
    </xf>
    <xf numFmtId="184" fontId="19" fillId="0" borderId="1" xfId="0" applyNumberFormat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177" fontId="19" fillId="4" borderId="1" xfId="0" applyNumberFormat="1" applyFont="1" applyFill="1" applyBorder="1" applyAlignment="1">
      <alignment horizontal="center" vertical="center"/>
    </xf>
    <xf numFmtId="178" fontId="19" fillId="4" borderId="1" xfId="0" applyNumberFormat="1" applyFont="1" applyFill="1" applyBorder="1" applyAlignment="1">
      <alignment horizontal="center" vertical="center"/>
    </xf>
    <xf numFmtId="185" fontId="19" fillId="4" borderId="1" xfId="0" applyNumberFormat="1" applyFont="1" applyFill="1" applyBorder="1" applyAlignment="1">
      <alignment horizontal="center" vertical="center"/>
    </xf>
    <xf numFmtId="180" fontId="19" fillId="4" borderId="1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8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1" fontId="19" fillId="0" borderId="2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9" fontId="19" fillId="0" borderId="9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 wrapText="1"/>
    </xf>
    <xf numFmtId="181" fontId="19" fillId="0" borderId="3" xfId="0" applyNumberFormat="1" applyFont="1" applyBorder="1" applyAlignment="1">
      <alignment horizontal="center" vertical="center"/>
    </xf>
    <xf numFmtId="49" fontId="20" fillId="0" borderId="8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5" fontId="20" fillId="0" borderId="1" xfId="0" applyNumberFormat="1" applyFont="1" applyBorder="1" applyAlignment="1">
      <alignment horizontal="center" vertical="center"/>
    </xf>
    <xf numFmtId="181" fontId="20" fillId="0" borderId="2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178" fontId="20" fillId="0" borderId="1" xfId="0" applyNumberFormat="1" applyFont="1" applyFill="1" applyBorder="1" applyAlignment="1">
      <alignment horizontal="center" vertical="center"/>
    </xf>
    <xf numFmtId="181" fontId="20" fillId="0" borderId="3" xfId="0" applyNumberFormat="1" applyFont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49" fontId="27" fillId="5" borderId="8" xfId="0" applyNumberFormat="1" applyFont="1" applyFill="1" applyBorder="1" applyAlignment="1">
      <alignment horizontal="center" vertical="center"/>
    </xf>
    <xf numFmtId="0" fontId="21" fillId="5" borderId="2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185" fontId="27" fillId="5" borderId="1" xfId="0" applyNumberFormat="1" applyFont="1" applyFill="1" applyBorder="1" applyAlignment="1">
      <alignment horizontal="center" vertical="center"/>
    </xf>
    <xf numFmtId="181" fontId="27" fillId="5" borderId="2" xfId="0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49" fontId="27" fillId="5" borderId="9" xfId="0" applyNumberFormat="1" applyFont="1" applyFill="1" applyBorder="1" applyAlignment="1">
      <alignment horizontal="center" vertical="center"/>
    </xf>
    <xf numFmtId="0" fontId="21" fillId="5" borderId="3" xfId="0" applyNumberFormat="1" applyFont="1" applyFill="1" applyBorder="1" applyAlignment="1">
      <alignment horizontal="center" vertical="center" wrapText="1"/>
    </xf>
    <xf numFmtId="181" fontId="27" fillId="5" borderId="3" xfId="0" applyNumberFormat="1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49" fontId="20" fillId="5" borderId="8" xfId="0" applyNumberFormat="1" applyFont="1" applyFill="1" applyBorder="1" applyAlignment="1">
      <alignment horizontal="center" vertical="center"/>
    </xf>
    <xf numFmtId="0" fontId="19" fillId="5" borderId="2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5" fontId="20" fillId="5" borderId="1" xfId="0" applyNumberFormat="1" applyFont="1" applyFill="1" applyBorder="1" applyAlignment="1">
      <alignment horizontal="center" vertical="center"/>
    </xf>
    <xf numFmtId="181" fontId="20" fillId="5" borderId="2" xfId="0" applyNumberFormat="1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0" fontId="19" fillId="5" borderId="3" xfId="0" applyNumberFormat="1" applyFont="1" applyFill="1" applyBorder="1" applyAlignment="1">
      <alignment horizontal="center" vertical="center" wrapText="1"/>
    </xf>
    <xf numFmtId="181" fontId="20" fillId="5" borderId="3" xfId="0" applyNumberFormat="1" applyFont="1" applyFill="1" applyBorder="1" applyAlignment="1">
      <alignment horizontal="center" vertical="center"/>
    </xf>
    <xf numFmtId="181" fontId="19" fillId="4" borderId="1" xfId="0" applyNumberFormat="1" applyFont="1" applyFill="1" applyBorder="1" applyAlignment="1">
      <alignment horizontal="center" vertical="center"/>
    </xf>
    <xf numFmtId="184" fontId="19" fillId="4" borderId="1" xfId="0" applyNumberFormat="1" applyFont="1" applyFill="1" applyBorder="1" applyAlignment="1">
      <alignment horizontal="center" vertical="center"/>
    </xf>
    <xf numFmtId="177" fontId="21" fillId="5" borderId="1" xfId="0" applyNumberFormat="1" applyFont="1" applyFill="1" applyBorder="1" applyAlignment="1">
      <alignment horizontal="center" vertical="center"/>
    </xf>
    <xf numFmtId="184" fontId="21" fillId="5" borderId="1" xfId="0" applyNumberFormat="1" applyFont="1" applyFill="1" applyBorder="1" applyAlignment="1">
      <alignment horizontal="center" vertical="center"/>
    </xf>
    <xf numFmtId="177" fontId="19" fillId="5" borderId="1" xfId="0" applyNumberFormat="1" applyFont="1" applyFill="1" applyBorder="1" applyAlignment="1">
      <alignment horizontal="center" vertical="center"/>
    </xf>
    <xf numFmtId="184" fontId="19" fillId="5" borderId="1" xfId="0" applyNumberFormat="1" applyFont="1" applyFill="1" applyBorder="1" applyAlignment="1">
      <alignment horizontal="center" vertical="center"/>
    </xf>
    <xf numFmtId="177" fontId="20" fillId="0" borderId="1" xfId="0" applyNumberFormat="1" applyFont="1" applyBorder="1" applyAlignment="1">
      <alignment horizontal="center" vertical="center"/>
    </xf>
    <xf numFmtId="180" fontId="20" fillId="0" borderId="2" xfId="0" applyNumberFormat="1" applyFont="1" applyBorder="1" applyAlignment="1">
      <alignment horizontal="center" vertical="center"/>
    </xf>
    <xf numFmtId="180" fontId="20" fillId="0" borderId="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82" fontId="21" fillId="5" borderId="1" xfId="0" applyNumberFormat="1" applyFont="1" applyFill="1" applyBorder="1" applyAlignment="1">
      <alignment horizontal="center" vertical="center"/>
    </xf>
    <xf numFmtId="188" fontId="21" fillId="5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87" fontId="9" fillId="0" borderId="1" xfId="0" applyNumberFormat="1" applyFont="1" applyBorder="1" applyAlignment="1">
      <alignment horizontal="center" vertical="center"/>
    </xf>
    <xf numFmtId="184" fontId="9" fillId="0" borderId="1" xfId="0" applyNumberFormat="1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/>
    </xf>
    <xf numFmtId="181" fontId="9" fillId="4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2" fontId="9" fillId="4" borderId="1" xfId="0" applyNumberFormat="1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87" fontId="9" fillId="4" borderId="1" xfId="0" applyNumberFormat="1" applyFont="1" applyFill="1" applyBorder="1" applyAlignment="1">
      <alignment horizontal="center" vertical="center"/>
    </xf>
    <xf numFmtId="184" fontId="9" fillId="4" borderId="1" xfId="0" applyNumberFormat="1" applyFont="1" applyFill="1" applyBorder="1" applyAlignment="1">
      <alignment horizontal="center" vertical="center"/>
    </xf>
    <xf numFmtId="182" fontId="9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/>
    </xf>
    <xf numFmtId="182" fontId="9" fillId="0" borderId="3" xfId="0" applyNumberFormat="1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81" fontId="9" fillId="7" borderId="1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7" fontId="9" fillId="6" borderId="2" xfId="0" applyNumberFormat="1" applyFont="1" applyFill="1" applyBorder="1" applyAlignment="1">
      <alignment horizontal="center" vertical="center"/>
    </xf>
    <xf numFmtId="180" fontId="9" fillId="6" borderId="2" xfId="0" applyNumberFormat="1" applyFont="1" applyFill="1" applyBorder="1" applyAlignment="1">
      <alignment horizontal="center" vertical="center"/>
    </xf>
    <xf numFmtId="187" fontId="9" fillId="6" borderId="1" xfId="0" applyNumberFormat="1" applyFont="1" applyFill="1" applyBorder="1" applyAlignment="1">
      <alignment horizontal="center" vertical="center"/>
    </xf>
    <xf numFmtId="184" fontId="9" fillId="6" borderId="1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/>
    </xf>
    <xf numFmtId="177" fontId="9" fillId="6" borderId="3" xfId="0" applyNumberFormat="1" applyFont="1" applyFill="1" applyBorder="1" applyAlignment="1">
      <alignment horizontal="center" vertical="center"/>
    </xf>
    <xf numFmtId="180" fontId="9" fillId="6" borderId="3" xfId="0" applyNumberFormat="1" applyFont="1" applyFill="1" applyBorder="1" applyAlignment="1">
      <alignment horizontal="center" vertical="center"/>
    </xf>
    <xf numFmtId="182" fontId="9" fillId="7" borderId="2" xfId="0" applyNumberFormat="1" applyFont="1" applyFill="1" applyBorder="1" applyAlignment="1">
      <alignment horizontal="center" vertical="center"/>
    </xf>
    <xf numFmtId="177" fontId="9" fillId="7" borderId="2" xfId="0" applyNumberFormat="1" applyFont="1" applyFill="1" applyBorder="1" applyAlignment="1">
      <alignment horizontal="center" vertical="center"/>
    </xf>
    <xf numFmtId="180" fontId="9" fillId="7" borderId="2" xfId="0" applyNumberFormat="1" applyFont="1" applyFill="1" applyBorder="1" applyAlignment="1">
      <alignment horizontal="center" vertical="center"/>
    </xf>
    <xf numFmtId="187" fontId="9" fillId="7" borderId="1" xfId="0" applyNumberFormat="1" applyFont="1" applyFill="1" applyBorder="1" applyAlignment="1">
      <alignment horizontal="center" vertical="center"/>
    </xf>
    <xf numFmtId="184" fontId="9" fillId="7" borderId="1" xfId="0" applyNumberFormat="1" applyFont="1" applyFill="1" applyBorder="1" applyAlignment="1">
      <alignment horizontal="center" vertical="center"/>
    </xf>
    <xf numFmtId="177" fontId="9" fillId="7" borderId="1" xfId="0" applyNumberFormat="1" applyFont="1" applyFill="1" applyBorder="1" applyAlignment="1">
      <alignment horizontal="center" vertical="center"/>
    </xf>
    <xf numFmtId="182" fontId="9" fillId="7" borderId="3" xfId="0" applyNumberFormat="1" applyFont="1" applyFill="1" applyBorder="1" applyAlignment="1">
      <alignment horizontal="center" vertical="center"/>
    </xf>
    <xf numFmtId="177" fontId="9" fillId="7" borderId="3" xfId="0" applyNumberFormat="1" applyFont="1" applyFill="1" applyBorder="1" applyAlignment="1">
      <alignment horizontal="center" vertical="center"/>
    </xf>
    <xf numFmtId="180" fontId="9" fillId="7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182" fontId="22" fillId="5" borderId="2" xfId="0" applyNumberFormat="1" applyFont="1" applyFill="1" applyBorder="1" applyAlignment="1">
      <alignment horizontal="center" vertical="center"/>
    </xf>
    <xf numFmtId="177" fontId="22" fillId="5" borderId="2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80" fontId="22" fillId="5" borderId="2" xfId="0" applyNumberFormat="1" applyFont="1" applyFill="1" applyBorder="1" applyAlignment="1">
      <alignment horizontal="center" vertical="center"/>
    </xf>
    <xf numFmtId="187" fontId="22" fillId="5" borderId="1" xfId="0" applyNumberFormat="1" applyFont="1" applyFill="1" applyBorder="1" applyAlignment="1">
      <alignment horizontal="center" vertical="center"/>
    </xf>
    <xf numFmtId="184" fontId="22" fillId="5" borderId="1" xfId="0" applyNumberFormat="1" applyFont="1" applyFill="1" applyBorder="1" applyAlignment="1">
      <alignment horizontal="center" vertical="center"/>
    </xf>
    <xf numFmtId="177" fontId="22" fillId="5" borderId="1" xfId="0" applyNumberFormat="1" applyFont="1" applyFill="1" applyBorder="1" applyAlignment="1">
      <alignment horizontal="center" vertical="center"/>
    </xf>
    <xf numFmtId="182" fontId="22" fillId="5" borderId="3" xfId="0" applyNumberFormat="1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180" fontId="22" fillId="5" borderId="3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0" fontId="30" fillId="0" borderId="0" xfId="50" applyAlignment="1">
      <alignment horizontal="center" vertical="center" wrapText="1"/>
    </xf>
    <xf numFmtId="0" fontId="30" fillId="0" borderId="0" xfId="50" applyAlignment="1">
      <alignment horizontal="center" vertical="center"/>
    </xf>
    <xf numFmtId="189" fontId="30" fillId="0" borderId="0" xfId="50" applyNumberFormat="1" applyAlignment="1">
      <alignment horizontal="center" vertical="center"/>
    </xf>
    <xf numFmtId="2" fontId="30" fillId="0" borderId="0" xfId="50" applyNumberFormat="1" applyAlignment="1">
      <alignment horizontal="center" vertical="center"/>
    </xf>
    <xf numFmtId="0" fontId="30" fillId="0" borderId="0" xfId="50" applyFont="1" applyAlignment="1">
      <alignment horizontal="center" vertical="center"/>
    </xf>
    <xf numFmtId="0" fontId="30" fillId="0" borderId="0" xfId="50" applyFont="1" applyAlignment="1">
      <alignment horizontal="center" vertical="center" wrapText="1"/>
    </xf>
    <xf numFmtId="190" fontId="30" fillId="0" borderId="0" xfId="50" applyNumberFormat="1" applyAlignment="1">
      <alignment horizontal="center" vertical="center"/>
    </xf>
    <xf numFmtId="191" fontId="30" fillId="0" borderId="0" xfId="50" applyNumberFormat="1" applyAlignment="1">
      <alignment horizontal="center" vertical="center"/>
    </xf>
    <xf numFmtId="17" fontId="30" fillId="0" borderId="0" xfId="50" applyNumberFormat="1" applyFont="1" applyAlignment="1">
      <alignment horizontal="center" vertical="center"/>
    </xf>
    <xf numFmtId="178" fontId="30" fillId="0" borderId="0" xfId="50" applyNumberFormat="1" applyAlignment="1">
      <alignment horizontal="center" vertical="center"/>
    </xf>
    <xf numFmtId="0" fontId="30" fillId="0" borderId="0" xfId="50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259"/>
  <sheetViews>
    <sheetView workbookViewId="0">
      <pane ySplit="1" topLeftCell="A238" activePane="bottomLeft" state="frozen"/>
      <selection/>
      <selection pane="bottomLeft" activeCell="E1115" sqref="E1115"/>
    </sheetView>
  </sheetViews>
  <sheetFormatPr defaultColWidth="9" defaultRowHeight="24.95" customHeight="1"/>
  <cols>
    <col min="1" max="2" width="9" style="623"/>
    <col min="3" max="3" width="9" style="623" hidden="1" customWidth="1"/>
    <col min="4" max="4" width="9.375" style="623"/>
    <col min="5" max="5" width="9" style="623" customWidth="1"/>
    <col min="6" max="11" width="9" style="623"/>
    <col min="12" max="12" width="11.125" style="623" customWidth="1"/>
    <col min="13" max="16384" width="9" style="623"/>
  </cols>
  <sheetData>
    <row r="1" s="622" customFormat="1" ht="42" customHeight="1" spans="1:15">
      <c r="A1" s="622" t="s">
        <v>0</v>
      </c>
      <c r="B1" s="622" t="s">
        <v>1</v>
      </c>
      <c r="C1" s="622" t="s">
        <v>2</v>
      </c>
      <c r="D1" s="622" t="s">
        <v>3</v>
      </c>
      <c r="E1" s="622" t="s">
        <v>4</v>
      </c>
      <c r="F1" s="622" t="s">
        <v>5</v>
      </c>
      <c r="G1" s="622" t="s">
        <v>6</v>
      </c>
      <c r="H1" s="622" t="s">
        <v>7</v>
      </c>
      <c r="I1" s="622" t="s">
        <v>8</v>
      </c>
      <c r="J1" s="622" t="s">
        <v>9</v>
      </c>
      <c r="K1" s="627" t="s">
        <v>10</v>
      </c>
      <c r="L1" s="627" t="s">
        <v>11</v>
      </c>
      <c r="M1" s="627" t="s">
        <v>12</v>
      </c>
      <c r="N1" s="627" t="s">
        <v>13</v>
      </c>
      <c r="O1" s="627" t="s">
        <v>14</v>
      </c>
    </row>
    <row r="2" customHeight="1" spans="1:14">
      <c r="A2" s="623">
        <v>12.16</v>
      </c>
      <c r="B2" s="623" t="s">
        <v>15</v>
      </c>
      <c r="C2" s="623" t="s">
        <v>16</v>
      </c>
      <c r="D2" s="623">
        <v>10.1393</v>
      </c>
      <c r="E2" s="624">
        <v>250</v>
      </c>
      <c r="F2" s="625">
        <v>20</v>
      </c>
      <c r="G2" s="624">
        <v>100</v>
      </c>
      <c r="H2" s="625">
        <v>1</v>
      </c>
      <c r="I2" s="625">
        <v>10</v>
      </c>
      <c r="J2" s="623">
        <v>0.5837</v>
      </c>
      <c r="L2" s="623">
        <v>1</v>
      </c>
      <c r="M2" s="628">
        <f t="shared" ref="M2:M9" si="0">L2*J2*E2*G2*I2/D2/F2/H2/10/100</f>
        <v>0.71960095864606</v>
      </c>
      <c r="N2" s="628">
        <f>AVERAGE(M2:M3)</f>
        <v>0.71960095864606</v>
      </c>
    </row>
    <row r="3" customHeight="1" spans="4:13">
      <c r="D3" s="623">
        <v>10.1393</v>
      </c>
      <c r="E3" s="624">
        <v>250</v>
      </c>
      <c r="F3" s="625">
        <v>20</v>
      </c>
      <c r="G3" s="624">
        <v>100</v>
      </c>
      <c r="H3" s="625">
        <v>1</v>
      </c>
      <c r="I3" s="625">
        <v>10</v>
      </c>
      <c r="J3" s="623">
        <v>0.5837</v>
      </c>
      <c r="L3" s="623">
        <v>1</v>
      </c>
      <c r="M3" s="628">
        <f t="shared" si="0"/>
        <v>0.71960095864606</v>
      </c>
    </row>
    <row r="4" customHeight="1" spans="3:14">
      <c r="C4" s="623" t="s">
        <v>17</v>
      </c>
      <c r="D4" s="623">
        <v>10.1393</v>
      </c>
      <c r="E4" s="624">
        <v>250</v>
      </c>
      <c r="F4" s="625">
        <v>10</v>
      </c>
      <c r="G4" s="624">
        <v>100</v>
      </c>
      <c r="H4" s="625">
        <v>0.2</v>
      </c>
      <c r="I4" s="625">
        <v>10</v>
      </c>
      <c r="J4" s="623">
        <v>0.3004</v>
      </c>
      <c r="L4" s="623">
        <v>1</v>
      </c>
      <c r="M4" s="628">
        <f t="shared" si="0"/>
        <v>3.70341147810993</v>
      </c>
      <c r="N4" s="628">
        <f>AVERAGE(M4:M5)</f>
        <v>3.70341147810993</v>
      </c>
    </row>
    <row r="5" customHeight="1" spans="4:13">
      <c r="D5" s="623">
        <v>10.1393</v>
      </c>
      <c r="E5" s="624">
        <v>250</v>
      </c>
      <c r="F5" s="625">
        <v>10</v>
      </c>
      <c r="G5" s="624">
        <v>100</v>
      </c>
      <c r="H5" s="625">
        <v>0.2</v>
      </c>
      <c r="I5" s="625">
        <v>10</v>
      </c>
      <c r="J5" s="623">
        <v>0.3004</v>
      </c>
      <c r="L5" s="623">
        <v>1</v>
      </c>
      <c r="M5" s="628">
        <f t="shared" si="0"/>
        <v>3.70341147810993</v>
      </c>
    </row>
    <row r="6" customHeight="1" spans="2:14">
      <c r="B6" s="623" t="s">
        <v>18</v>
      </c>
      <c r="C6" s="623" t="s">
        <v>16</v>
      </c>
      <c r="D6" s="623">
        <v>10.4173</v>
      </c>
      <c r="E6" s="624">
        <v>250</v>
      </c>
      <c r="F6" s="625">
        <v>20</v>
      </c>
      <c r="G6" s="624">
        <v>100</v>
      </c>
      <c r="H6" s="625">
        <v>1</v>
      </c>
      <c r="I6" s="625">
        <v>10</v>
      </c>
      <c r="J6" s="623">
        <v>1.1987</v>
      </c>
      <c r="L6" s="623">
        <v>1</v>
      </c>
      <c r="M6" s="628">
        <f t="shared" si="0"/>
        <v>1.43835254816507</v>
      </c>
      <c r="N6" s="628">
        <f>AVERAGE(M6:M7)</f>
        <v>1.43835254816507</v>
      </c>
    </row>
    <row r="7" customHeight="1" spans="4:13">
      <c r="D7" s="623">
        <v>10.4173</v>
      </c>
      <c r="E7" s="624">
        <v>250</v>
      </c>
      <c r="F7" s="625">
        <v>20</v>
      </c>
      <c r="G7" s="624">
        <v>100</v>
      </c>
      <c r="H7" s="625">
        <v>1</v>
      </c>
      <c r="I7" s="625">
        <v>10</v>
      </c>
      <c r="J7" s="623">
        <v>1.1987</v>
      </c>
      <c r="L7" s="623">
        <v>1</v>
      </c>
      <c r="M7" s="628">
        <f t="shared" si="0"/>
        <v>1.43835254816507</v>
      </c>
    </row>
    <row r="8" customHeight="1" spans="3:14">
      <c r="C8" s="623" t="s">
        <v>17</v>
      </c>
      <c r="D8" s="623">
        <v>10.4173</v>
      </c>
      <c r="E8" s="624">
        <v>250</v>
      </c>
      <c r="F8" s="625">
        <v>20</v>
      </c>
      <c r="G8" s="624">
        <v>100</v>
      </c>
      <c r="H8" s="625">
        <v>0.2</v>
      </c>
      <c r="I8" s="625">
        <v>10</v>
      </c>
      <c r="J8" s="623">
        <v>0.5985</v>
      </c>
      <c r="L8" s="623">
        <v>1</v>
      </c>
      <c r="M8" s="628">
        <f t="shared" si="0"/>
        <v>3.59078168047383</v>
      </c>
      <c r="N8" s="628">
        <f>AVERAGE(M8:M9)</f>
        <v>3.59078168047383</v>
      </c>
    </row>
    <row r="9" customHeight="1" spans="4:13">
      <c r="D9" s="623">
        <v>10.4173</v>
      </c>
      <c r="E9" s="624">
        <v>250</v>
      </c>
      <c r="F9" s="625">
        <v>20</v>
      </c>
      <c r="G9" s="624">
        <v>100</v>
      </c>
      <c r="H9" s="625">
        <v>0.2</v>
      </c>
      <c r="I9" s="625">
        <v>10</v>
      </c>
      <c r="J9" s="623">
        <v>0.5985</v>
      </c>
      <c r="L9" s="623">
        <v>1</v>
      </c>
      <c r="M9" s="628">
        <f t="shared" si="0"/>
        <v>3.59078168047383</v>
      </c>
    </row>
    <row r="10" customHeight="1" spans="2:15">
      <c r="B10" s="623" t="s">
        <v>19</v>
      </c>
      <c r="D10" s="623">
        <v>10.1092</v>
      </c>
      <c r="E10" s="624">
        <v>250</v>
      </c>
      <c r="F10" s="625">
        <v>10</v>
      </c>
      <c r="G10" s="624">
        <v>100</v>
      </c>
      <c r="H10" s="625">
        <v>1</v>
      </c>
      <c r="I10" s="625">
        <v>10</v>
      </c>
      <c r="J10" s="623">
        <v>0.0109</v>
      </c>
      <c r="K10" s="623">
        <v>0.0091</v>
      </c>
      <c r="L10" s="623">
        <v>2</v>
      </c>
      <c r="M10" s="628">
        <f t="shared" ref="M10:M73" si="1">L10*(J10-K10)*E10*G10*I10/D10/F10/H10/1000*100</f>
        <v>0.890278162465873</v>
      </c>
      <c r="N10" s="625">
        <f>AVERAGE(M10:M11)</f>
        <v>0.889649379054836</v>
      </c>
      <c r="O10" s="625">
        <f>(M10-M11)/N10*100</f>
        <v>0.141355330727001</v>
      </c>
    </row>
    <row r="11" customHeight="1" spans="4:15">
      <c r="D11" s="623">
        <v>10.1235</v>
      </c>
      <c r="E11" s="624">
        <v>250</v>
      </c>
      <c r="F11" s="625">
        <v>10</v>
      </c>
      <c r="G11" s="624">
        <v>100</v>
      </c>
      <c r="H11" s="625">
        <v>1</v>
      </c>
      <c r="I11" s="625">
        <v>10</v>
      </c>
      <c r="J11" s="623">
        <v>0.0109</v>
      </c>
      <c r="K11" s="623">
        <v>0.0091</v>
      </c>
      <c r="L11" s="623">
        <v>2</v>
      </c>
      <c r="M11" s="628">
        <f t="shared" si="1"/>
        <v>0.889020595643799</v>
      </c>
      <c r="N11" s="625"/>
      <c r="O11" s="625"/>
    </row>
    <row r="12" customHeight="1" spans="2:15">
      <c r="B12" s="623" t="s">
        <v>20</v>
      </c>
      <c r="D12" s="623">
        <v>10.6893</v>
      </c>
      <c r="E12" s="624">
        <v>250</v>
      </c>
      <c r="F12" s="625">
        <v>10</v>
      </c>
      <c r="G12" s="624">
        <v>100</v>
      </c>
      <c r="H12" s="625">
        <v>1</v>
      </c>
      <c r="I12" s="625">
        <v>10</v>
      </c>
      <c r="J12" s="623">
        <v>0.0133</v>
      </c>
      <c r="K12" s="623">
        <v>0.0091</v>
      </c>
      <c r="L12" s="623">
        <v>2</v>
      </c>
      <c r="M12" s="628">
        <f t="shared" si="1"/>
        <v>1.96458140383374</v>
      </c>
      <c r="N12" s="625">
        <f>AVERAGE(M12:M13)</f>
        <v>1.98666322602181</v>
      </c>
      <c r="O12" s="625">
        <f>(M12-M13)/N12*100</f>
        <v>-2.22300608365193</v>
      </c>
    </row>
    <row r="13" customHeight="1" spans="4:15">
      <c r="D13" s="623">
        <v>10.7032</v>
      </c>
      <c r="E13" s="624">
        <v>250</v>
      </c>
      <c r="F13" s="625">
        <v>10</v>
      </c>
      <c r="G13" s="624">
        <v>100</v>
      </c>
      <c r="H13" s="625">
        <v>1</v>
      </c>
      <c r="I13" s="625">
        <v>10</v>
      </c>
      <c r="J13" s="623">
        <v>0.0134</v>
      </c>
      <c r="K13" s="623">
        <v>0.0091</v>
      </c>
      <c r="L13" s="623">
        <v>2</v>
      </c>
      <c r="M13" s="628">
        <f t="shared" si="1"/>
        <v>2.00874504820988</v>
      </c>
      <c r="N13" s="625"/>
      <c r="O13" s="625"/>
    </row>
    <row r="14" customHeight="1" spans="2:15">
      <c r="B14" s="623" t="s">
        <v>21</v>
      </c>
      <c r="D14" s="623">
        <v>10.1207</v>
      </c>
      <c r="E14" s="624">
        <v>250</v>
      </c>
      <c r="F14" s="625">
        <v>10</v>
      </c>
      <c r="G14" s="624">
        <v>100</v>
      </c>
      <c r="H14" s="625">
        <v>1</v>
      </c>
      <c r="I14" s="625">
        <v>10</v>
      </c>
      <c r="J14" s="623">
        <v>0.0111</v>
      </c>
      <c r="K14" s="623">
        <v>0.0091</v>
      </c>
      <c r="L14" s="623">
        <v>2</v>
      </c>
      <c r="M14" s="628">
        <f t="shared" si="1"/>
        <v>0.988073947454228</v>
      </c>
      <c r="N14" s="625">
        <f>AVERAGE(M14:M15)</f>
        <v>0.987547312768717</v>
      </c>
      <c r="O14" s="625">
        <f>(M14-M15)/N14*100</f>
        <v>0.106655079448175</v>
      </c>
    </row>
    <row r="15" customHeight="1" spans="4:15">
      <c r="D15" s="623">
        <v>10.1315</v>
      </c>
      <c r="E15" s="624">
        <v>250</v>
      </c>
      <c r="F15" s="625">
        <v>10</v>
      </c>
      <c r="G15" s="624">
        <v>100</v>
      </c>
      <c r="H15" s="625">
        <v>1</v>
      </c>
      <c r="I15" s="625">
        <v>10</v>
      </c>
      <c r="J15" s="623">
        <v>0.0111</v>
      </c>
      <c r="K15" s="623">
        <v>0.0091</v>
      </c>
      <c r="L15" s="623">
        <v>2</v>
      </c>
      <c r="M15" s="628">
        <f t="shared" si="1"/>
        <v>0.987020678083206</v>
      </c>
      <c r="N15" s="625"/>
      <c r="O15" s="625"/>
    </row>
    <row r="16" customHeight="1" spans="2:15">
      <c r="B16" s="623" t="s">
        <v>22</v>
      </c>
      <c r="D16" s="623">
        <v>10.4143</v>
      </c>
      <c r="E16" s="624">
        <v>250</v>
      </c>
      <c r="F16" s="625">
        <v>10</v>
      </c>
      <c r="G16" s="624">
        <v>100</v>
      </c>
      <c r="H16" s="625">
        <v>1</v>
      </c>
      <c r="I16" s="625">
        <v>10</v>
      </c>
      <c r="J16" s="623">
        <v>0.0123</v>
      </c>
      <c r="K16" s="623">
        <v>0.0091</v>
      </c>
      <c r="L16" s="623">
        <v>2</v>
      </c>
      <c r="M16" s="628">
        <f t="shared" si="1"/>
        <v>1.53634905850609</v>
      </c>
      <c r="N16" s="625">
        <f>AVERAGE(M16:M17)</f>
        <v>1.53332205926118</v>
      </c>
      <c r="O16" s="625">
        <f>(M16-M17)/N16*100</f>
        <v>0.394828891508313</v>
      </c>
    </row>
    <row r="17" customHeight="1" spans="4:15">
      <c r="D17" s="623">
        <v>10.4555</v>
      </c>
      <c r="E17" s="624">
        <v>250</v>
      </c>
      <c r="F17" s="625">
        <v>10</v>
      </c>
      <c r="G17" s="624">
        <v>100</v>
      </c>
      <c r="H17" s="625">
        <v>1</v>
      </c>
      <c r="I17" s="625">
        <v>10</v>
      </c>
      <c r="J17" s="623">
        <v>0.0123</v>
      </c>
      <c r="K17" s="623">
        <v>0.0091</v>
      </c>
      <c r="L17" s="623">
        <v>2</v>
      </c>
      <c r="M17" s="628">
        <f t="shared" si="1"/>
        <v>1.53029506001626</v>
      </c>
      <c r="N17" s="625"/>
      <c r="O17" s="625"/>
    </row>
    <row r="18" customHeight="1" spans="2:15">
      <c r="B18" s="623" t="s">
        <v>23</v>
      </c>
      <c r="D18" s="623">
        <v>10.0621</v>
      </c>
      <c r="E18" s="624">
        <v>250</v>
      </c>
      <c r="F18" s="625">
        <v>10</v>
      </c>
      <c r="G18" s="624">
        <v>100</v>
      </c>
      <c r="H18" s="625">
        <v>1</v>
      </c>
      <c r="I18" s="625">
        <v>10</v>
      </c>
      <c r="J18" s="623">
        <v>0.0119</v>
      </c>
      <c r="K18" s="623">
        <v>0.0091</v>
      </c>
      <c r="L18" s="623">
        <v>2</v>
      </c>
      <c r="M18" s="628">
        <f t="shared" si="1"/>
        <v>1.39135965653293</v>
      </c>
      <c r="N18" s="625">
        <f>AVERAGE(M18:M19)</f>
        <v>1.38885208157141</v>
      </c>
      <c r="O18" s="625">
        <f>(M18-M19)/N18*100</f>
        <v>0.361100364076452</v>
      </c>
    </row>
    <row r="19" customHeight="1" spans="4:15">
      <c r="D19" s="623">
        <v>10.0985</v>
      </c>
      <c r="E19" s="624">
        <v>250</v>
      </c>
      <c r="F19" s="625">
        <v>10</v>
      </c>
      <c r="G19" s="624">
        <v>100</v>
      </c>
      <c r="H19" s="625">
        <v>1</v>
      </c>
      <c r="I19" s="625">
        <v>10</v>
      </c>
      <c r="J19" s="623">
        <v>0.0119</v>
      </c>
      <c r="K19" s="623">
        <v>0.0091</v>
      </c>
      <c r="L19" s="623">
        <v>2</v>
      </c>
      <c r="M19" s="628">
        <f t="shared" si="1"/>
        <v>1.38634450660989</v>
      </c>
      <c r="N19" s="625"/>
      <c r="O19" s="625"/>
    </row>
    <row r="20" customHeight="1" spans="2:15">
      <c r="B20" s="623" t="s">
        <v>24</v>
      </c>
      <c r="D20" s="623">
        <v>10.2506</v>
      </c>
      <c r="E20" s="624">
        <v>250</v>
      </c>
      <c r="F20" s="625">
        <v>10</v>
      </c>
      <c r="G20" s="624">
        <v>100</v>
      </c>
      <c r="H20" s="625">
        <v>1</v>
      </c>
      <c r="I20" s="625">
        <v>10</v>
      </c>
      <c r="J20" s="623">
        <v>0.0129</v>
      </c>
      <c r="K20" s="623">
        <v>0.0091</v>
      </c>
      <c r="L20" s="623">
        <v>2</v>
      </c>
      <c r="M20" s="628">
        <f t="shared" si="1"/>
        <v>1.85355003609545</v>
      </c>
      <c r="N20" s="625">
        <f>AVERAGE(M20:M21)</f>
        <v>1.84923945461616</v>
      </c>
      <c r="O20" s="625">
        <f>(M20-M21)/N20*100</f>
        <v>0.466200466200456</v>
      </c>
    </row>
    <row r="21" customHeight="1" spans="4:15">
      <c r="D21" s="623">
        <v>10.2985</v>
      </c>
      <c r="E21" s="624">
        <v>250</v>
      </c>
      <c r="F21" s="625">
        <v>10</v>
      </c>
      <c r="G21" s="624">
        <v>100</v>
      </c>
      <c r="H21" s="625">
        <v>1</v>
      </c>
      <c r="I21" s="625">
        <v>10</v>
      </c>
      <c r="J21" s="623">
        <v>0.0129</v>
      </c>
      <c r="K21" s="623">
        <v>0.0091</v>
      </c>
      <c r="L21" s="623">
        <v>2</v>
      </c>
      <c r="M21" s="628">
        <f t="shared" si="1"/>
        <v>1.84492887313686</v>
      </c>
      <c r="N21" s="625"/>
      <c r="O21" s="625"/>
    </row>
    <row r="22" customHeight="1" spans="2:15">
      <c r="B22" s="623" t="s">
        <v>25</v>
      </c>
      <c r="D22" s="623">
        <v>11.1835</v>
      </c>
      <c r="E22" s="624">
        <v>250</v>
      </c>
      <c r="F22" s="625">
        <v>10</v>
      </c>
      <c r="G22" s="624">
        <v>100</v>
      </c>
      <c r="H22" s="625">
        <v>1</v>
      </c>
      <c r="I22" s="625">
        <v>10</v>
      </c>
      <c r="J22" s="623">
        <v>0.013</v>
      </c>
      <c r="K22" s="623">
        <v>0.0091</v>
      </c>
      <c r="L22" s="623">
        <v>2</v>
      </c>
      <c r="M22" s="628">
        <f t="shared" si="1"/>
        <v>1.74364018419994</v>
      </c>
      <c r="N22" s="625">
        <f>AVERAGE(M22:M23)</f>
        <v>1.74218484188126</v>
      </c>
      <c r="O22" s="625">
        <f>(M22-M23)/N22*100</f>
        <v>0.167070942610695</v>
      </c>
    </row>
    <row r="23" customHeight="1" spans="4:15">
      <c r="D23" s="623">
        <v>11.2022</v>
      </c>
      <c r="E23" s="624">
        <v>250</v>
      </c>
      <c r="F23" s="625">
        <v>10</v>
      </c>
      <c r="G23" s="624">
        <v>100</v>
      </c>
      <c r="H23" s="625">
        <v>1</v>
      </c>
      <c r="I23" s="625">
        <v>10</v>
      </c>
      <c r="J23" s="623">
        <v>0.013</v>
      </c>
      <c r="K23" s="623">
        <v>0.0091</v>
      </c>
      <c r="L23" s="623">
        <v>2</v>
      </c>
      <c r="M23" s="628">
        <f t="shared" si="1"/>
        <v>1.74072949956259</v>
      </c>
      <c r="N23" s="625"/>
      <c r="O23" s="625"/>
    </row>
    <row r="24" customHeight="1" spans="2:15">
      <c r="B24" s="623" t="s">
        <v>26</v>
      </c>
      <c r="D24" s="623">
        <v>10.0213</v>
      </c>
      <c r="E24" s="624">
        <v>250</v>
      </c>
      <c r="F24" s="625">
        <v>10</v>
      </c>
      <c r="G24" s="624">
        <v>100</v>
      </c>
      <c r="H24" s="625">
        <v>1</v>
      </c>
      <c r="I24" s="625">
        <v>10</v>
      </c>
      <c r="J24" s="623">
        <v>0.0117</v>
      </c>
      <c r="K24" s="623">
        <v>0.0091</v>
      </c>
      <c r="L24" s="623">
        <v>2</v>
      </c>
      <c r="M24" s="628">
        <f t="shared" si="1"/>
        <v>1.29723688543403</v>
      </c>
      <c r="N24" s="625">
        <f>AVERAGE(M24:M25)</f>
        <v>1.29496657576529</v>
      </c>
      <c r="O24" s="625">
        <f>(M24-M25)/N24*100</f>
        <v>0.350636025859391</v>
      </c>
    </row>
    <row r="25" customHeight="1" spans="4:15">
      <c r="D25" s="623">
        <v>10.0565</v>
      </c>
      <c r="E25" s="624">
        <v>250</v>
      </c>
      <c r="F25" s="625">
        <v>10</v>
      </c>
      <c r="G25" s="624">
        <v>100</v>
      </c>
      <c r="H25" s="625">
        <v>1</v>
      </c>
      <c r="I25" s="625">
        <v>10</v>
      </c>
      <c r="J25" s="623">
        <v>0.0117</v>
      </c>
      <c r="K25" s="623">
        <v>0.0091</v>
      </c>
      <c r="L25" s="623">
        <v>2</v>
      </c>
      <c r="M25" s="628">
        <f t="shared" si="1"/>
        <v>1.29269626609655</v>
      </c>
      <c r="N25" s="625"/>
      <c r="O25" s="625"/>
    </row>
    <row r="26" customHeight="1" spans="2:15">
      <c r="B26" s="623" t="s">
        <v>27</v>
      </c>
      <c r="D26" s="623">
        <v>10.878</v>
      </c>
      <c r="E26" s="624">
        <v>250</v>
      </c>
      <c r="F26" s="625">
        <v>10</v>
      </c>
      <c r="G26" s="624">
        <v>100</v>
      </c>
      <c r="H26" s="625">
        <v>1</v>
      </c>
      <c r="I26" s="625">
        <v>10</v>
      </c>
      <c r="J26" s="623">
        <v>0.014</v>
      </c>
      <c r="K26" s="623">
        <v>0.0091</v>
      </c>
      <c r="L26" s="623">
        <v>2</v>
      </c>
      <c r="M26" s="628">
        <f t="shared" si="1"/>
        <v>2.25225225225225</v>
      </c>
      <c r="N26" s="625">
        <f>AVERAGE(M26:M27)</f>
        <v>2.24432678152863</v>
      </c>
      <c r="O26" s="625">
        <f>(M26-M27)/N26*100</f>
        <v>0.706267089877303</v>
      </c>
    </row>
    <row r="27" customHeight="1" spans="4:15">
      <c r="D27" s="623">
        <v>10.9551</v>
      </c>
      <c r="E27" s="624">
        <v>250</v>
      </c>
      <c r="F27" s="625">
        <v>10</v>
      </c>
      <c r="G27" s="624">
        <v>100</v>
      </c>
      <c r="H27" s="625">
        <v>1</v>
      </c>
      <c r="I27" s="625">
        <v>10</v>
      </c>
      <c r="J27" s="623">
        <v>0.014</v>
      </c>
      <c r="K27" s="623">
        <v>0.0091</v>
      </c>
      <c r="L27" s="623">
        <v>2</v>
      </c>
      <c r="M27" s="628">
        <f t="shared" si="1"/>
        <v>2.23640131080501</v>
      </c>
      <c r="N27" s="625"/>
      <c r="O27" s="625"/>
    </row>
    <row r="28" customHeight="1" spans="2:15">
      <c r="B28" s="623" t="s">
        <v>28</v>
      </c>
      <c r="D28" s="623">
        <v>10.2672</v>
      </c>
      <c r="E28" s="624">
        <v>250</v>
      </c>
      <c r="F28" s="625">
        <v>10</v>
      </c>
      <c r="G28" s="624">
        <v>100</v>
      </c>
      <c r="H28" s="625">
        <v>0.5</v>
      </c>
      <c r="I28" s="625">
        <v>10</v>
      </c>
      <c r="J28" s="623">
        <v>0.0238</v>
      </c>
      <c r="K28" s="623">
        <v>0.0091</v>
      </c>
      <c r="L28" s="623">
        <v>2</v>
      </c>
      <c r="M28" s="628">
        <f t="shared" si="1"/>
        <v>14.317438055166</v>
      </c>
      <c r="N28" s="625">
        <f>AVERAGE(M28:M29)</f>
        <v>14.3477564790448</v>
      </c>
      <c r="O28" s="625">
        <f>(M28-M29)/N28*100</f>
        <v>-0.42262250440434</v>
      </c>
    </row>
    <row r="29" customHeight="1" spans="4:15">
      <c r="D29" s="623">
        <v>10.2239</v>
      </c>
      <c r="E29" s="624">
        <v>250</v>
      </c>
      <c r="F29" s="625">
        <v>10</v>
      </c>
      <c r="G29" s="624">
        <v>100</v>
      </c>
      <c r="H29" s="625">
        <v>0.5</v>
      </c>
      <c r="I29" s="625">
        <v>10</v>
      </c>
      <c r="J29" s="623">
        <v>0.0238</v>
      </c>
      <c r="K29" s="623">
        <v>0.0091</v>
      </c>
      <c r="L29" s="623">
        <v>2</v>
      </c>
      <c r="M29" s="628">
        <f t="shared" si="1"/>
        <v>14.3780749029235</v>
      </c>
      <c r="N29" s="625"/>
      <c r="O29" s="625"/>
    </row>
    <row r="30" customHeight="1" spans="2:15">
      <c r="B30" s="623" t="s">
        <v>29</v>
      </c>
      <c r="D30" s="623">
        <v>10.3538</v>
      </c>
      <c r="E30" s="624">
        <v>250</v>
      </c>
      <c r="F30" s="625">
        <v>10</v>
      </c>
      <c r="G30" s="624">
        <v>100</v>
      </c>
      <c r="H30" s="625">
        <v>0.5</v>
      </c>
      <c r="I30" s="625">
        <v>10</v>
      </c>
      <c r="J30" s="623">
        <v>0.0373</v>
      </c>
      <c r="K30" s="623">
        <v>0.0091</v>
      </c>
      <c r="L30" s="623">
        <v>2</v>
      </c>
      <c r="M30" s="628">
        <f t="shared" si="1"/>
        <v>27.236376982364</v>
      </c>
      <c r="N30" s="625">
        <f>AVERAGE(M30:M31)</f>
        <v>27.1778365173396</v>
      </c>
      <c r="O30" s="625">
        <f>(M30-M31)/N30*100</f>
        <v>0.430795622653889</v>
      </c>
    </row>
    <row r="31" customHeight="1" spans="4:15">
      <c r="D31" s="623">
        <v>10.3985</v>
      </c>
      <c r="E31" s="624">
        <v>250</v>
      </c>
      <c r="F31" s="625">
        <v>10</v>
      </c>
      <c r="G31" s="624">
        <v>100</v>
      </c>
      <c r="H31" s="625">
        <v>0.5</v>
      </c>
      <c r="I31" s="625">
        <v>10</v>
      </c>
      <c r="J31" s="623">
        <v>0.0373</v>
      </c>
      <c r="K31" s="623">
        <v>0.0091</v>
      </c>
      <c r="L31" s="623">
        <v>2</v>
      </c>
      <c r="M31" s="628">
        <f t="shared" si="1"/>
        <v>27.1192960523152</v>
      </c>
      <c r="N31" s="625"/>
      <c r="O31" s="625"/>
    </row>
    <row r="32" customHeight="1" spans="2:15">
      <c r="B32" s="623" t="s">
        <v>30</v>
      </c>
      <c r="D32" s="623">
        <v>10.3098</v>
      </c>
      <c r="E32" s="624">
        <v>250</v>
      </c>
      <c r="F32" s="625">
        <v>10</v>
      </c>
      <c r="G32" s="624">
        <v>100</v>
      </c>
      <c r="H32" s="625">
        <v>0.5</v>
      </c>
      <c r="I32" s="625">
        <v>10</v>
      </c>
      <c r="J32" s="623">
        <v>0.0225</v>
      </c>
      <c r="K32" s="623">
        <v>0.0091</v>
      </c>
      <c r="L32" s="623">
        <v>2</v>
      </c>
      <c r="M32" s="628">
        <f t="shared" si="1"/>
        <v>12.9973423344779</v>
      </c>
      <c r="N32" s="625">
        <f>AVERAGE(M32:M33)</f>
        <v>12.9937513863267</v>
      </c>
      <c r="O32" s="628">
        <f>(M32-M33)/N32*100</f>
        <v>0.0552719233174713</v>
      </c>
    </row>
    <row r="33" customHeight="1" spans="4:15">
      <c r="D33" s="623">
        <v>10.3155</v>
      </c>
      <c r="E33" s="624">
        <v>250</v>
      </c>
      <c r="F33" s="625">
        <v>10</v>
      </c>
      <c r="G33" s="624">
        <v>100</v>
      </c>
      <c r="H33" s="625">
        <v>0.5</v>
      </c>
      <c r="I33" s="625">
        <v>10</v>
      </c>
      <c r="J33" s="623">
        <v>0.0225</v>
      </c>
      <c r="K33" s="623">
        <v>0.0091</v>
      </c>
      <c r="L33" s="623">
        <v>2</v>
      </c>
      <c r="M33" s="628">
        <f t="shared" si="1"/>
        <v>12.9901604381756</v>
      </c>
      <c r="N33" s="625"/>
      <c r="O33" s="628"/>
    </row>
    <row r="34" customHeight="1" spans="2:15">
      <c r="B34" s="623" t="s">
        <v>31</v>
      </c>
      <c r="D34" s="623">
        <v>10.2295</v>
      </c>
      <c r="E34" s="624">
        <v>250</v>
      </c>
      <c r="F34" s="625">
        <v>10</v>
      </c>
      <c r="G34" s="624">
        <v>100</v>
      </c>
      <c r="H34" s="625">
        <v>0.5</v>
      </c>
      <c r="I34" s="625">
        <v>10</v>
      </c>
      <c r="J34" s="623">
        <v>0.0197</v>
      </c>
      <c r="K34" s="623">
        <v>0.0091</v>
      </c>
      <c r="L34" s="623">
        <v>2</v>
      </c>
      <c r="M34" s="628">
        <f t="shared" si="1"/>
        <v>10.3621877902146</v>
      </c>
      <c r="N34" s="625">
        <f>AVERAGE(M34:M35)</f>
        <v>10.3604663115288</v>
      </c>
      <c r="O34" s="628">
        <f>(M34-M35)/N34*100</f>
        <v>0.0332316834779823</v>
      </c>
    </row>
    <row r="35" customHeight="1" spans="4:15">
      <c r="D35" s="623">
        <v>10.2329</v>
      </c>
      <c r="E35" s="624">
        <v>250</v>
      </c>
      <c r="F35" s="625">
        <v>10</v>
      </c>
      <c r="G35" s="624">
        <v>100</v>
      </c>
      <c r="H35" s="625">
        <v>0.5</v>
      </c>
      <c r="I35" s="625">
        <v>10</v>
      </c>
      <c r="J35" s="623">
        <v>0.0197</v>
      </c>
      <c r="K35" s="623">
        <v>0.0091</v>
      </c>
      <c r="L35" s="623">
        <v>2</v>
      </c>
      <c r="M35" s="628">
        <f t="shared" si="1"/>
        <v>10.3587448328431</v>
      </c>
      <c r="N35" s="625"/>
      <c r="O35" s="628"/>
    </row>
    <row r="36" customHeight="1" spans="1:15">
      <c r="A36" s="623">
        <v>9.27</v>
      </c>
      <c r="B36" s="626" t="s">
        <v>32</v>
      </c>
      <c r="D36" s="623">
        <v>6.2346</v>
      </c>
      <c r="E36" s="624">
        <v>250</v>
      </c>
      <c r="F36" s="625">
        <v>10</v>
      </c>
      <c r="G36" s="624">
        <v>100</v>
      </c>
      <c r="H36" s="625">
        <v>1</v>
      </c>
      <c r="I36" s="625">
        <v>10</v>
      </c>
      <c r="J36" s="623">
        <v>0.0092</v>
      </c>
      <c r="K36" s="623">
        <v>0.0091</v>
      </c>
      <c r="L36" s="623">
        <v>2</v>
      </c>
      <c r="M36" s="628">
        <f t="shared" si="1"/>
        <v>0.0801976069034095</v>
      </c>
      <c r="N36" s="625">
        <f>AVERAGE(M36:M37)</f>
        <v>0.0794558664702338</v>
      </c>
      <c r="O36" s="624">
        <f>(M36-M37)/N36*100</f>
        <v>1.86705014022737</v>
      </c>
    </row>
    <row r="37" customHeight="1" spans="4:15">
      <c r="D37" s="623">
        <v>6.3521</v>
      </c>
      <c r="E37" s="624">
        <v>250</v>
      </c>
      <c r="F37" s="625">
        <v>10</v>
      </c>
      <c r="G37" s="624">
        <v>100</v>
      </c>
      <c r="H37" s="625">
        <v>1</v>
      </c>
      <c r="I37" s="625">
        <v>10</v>
      </c>
      <c r="J37" s="623">
        <v>0.0092</v>
      </c>
      <c r="K37" s="623">
        <v>0.0091</v>
      </c>
      <c r="L37" s="623">
        <v>2</v>
      </c>
      <c r="M37" s="628">
        <f t="shared" si="1"/>
        <v>0.0787141260370581</v>
      </c>
      <c r="N37" s="625"/>
      <c r="O37" s="624"/>
    </row>
    <row r="38" customHeight="1" spans="2:15">
      <c r="B38" s="626" t="s">
        <v>33</v>
      </c>
      <c r="D38" s="623">
        <v>8.969</v>
      </c>
      <c r="E38" s="624">
        <v>250</v>
      </c>
      <c r="F38" s="625">
        <v>10</v>
      </c>
      <c r="G38" s="624">
        <v>100</v>
      </c>
      <c r="H38" s="625">
        <v>1</v>
      </c>
      <c r="I38" s="625">
        <v>10</v>
      </c>
      <c r="J38" s="623">
        <v>0.0093</v>
      </c>
      <c r="K38" s="623">
        <v>0.0091</v>
      </c>
      <c r="L38" s="623">
        <v>2</v>
      </c>
      <c r="M38" s="628">
        <f t="shared" si="1"/>
        <v>0.111495149960976</v>
      </c>
      <c r="N38" s="625">
        <f>AVERAGE(M38:M39)</f>
        <v>0.11143368352385</v>
      </c>
      <c r="O38" s="625">
        <f>(M38-M39)/N38*100</f>
        <v>0.110319313122995</v>
      </c>
    </row>
    <row r="39" customHeight="1" spans="4:15">
      <c r="D39" s="623">
        <v>8.9789</v>
      </c>
      <c r="E39" s="624">
        <v>250</v>
      </c>
      <c r="F39" s="625">
        <v>10</v>
      </c>
      <c r="G39" s="624">
        <v>100</v>
      </c>
      <c r="H39" s="625">
        <v>1</v>
      </c>
      <c r="I39" s="625">
        <v>10</v>
      </c>
      <c r="J39" s="623">
        <v>0.0093</v>
      </c>
      <c r="K39" s="623">
        <v>0.0091</v>
      </c>
      <c r="L39" s="623">
        <v>2</v>
      </c>
      <c r="M39" s="628">
        <f t="shared" si="1"/>
        <v>0.111372217086725</v>
      </c>
      <c r="N39" s="625"/>
      <c r="O39" s="625"/>
    </row>
    <row r="40" customHeight="1" spans="2:15">
      <c r="B40" s="626" t="s">
        <v>34</v>
      </c>
      <c r="D40" s="623">
        <v>7.9034</v>
      </c>
      <c r="E40" s="624">
        <v>250</v>
      </c>
      <c r="F40" s="625">
        <v>10</v>
      </c>
      <c r="G40" s="624">
        <v>100</v>
      </c>
      <c r="H40" s="625">
        <v>1</v>
      </c>
      <c r="I40" s="625">
        <v>10</v>
      </c>
      <c r="J40" s="623">
        <v>0.0092</v>
      </c>
      <c r="K40" s="623">
        <v>0.0091</v>
      </c>
      <c r="L40" s="623">
        <v>2</v>
      </c>
      <c r="M40" s="628">
        <f t="shared" si="1"/>
        <v>0.06326391173419</v>
      </c>
      <c r="N40" s="625">
        <f>AVERAGE(M40:M41)</f>
        <v>0.0631371479227456</v>
      </c>
      <c r="O40" s="625">
        <f>(M40-M41)/N40*100</f>
        <v>0.401550642102198</v>
      </c>
    </row>
    <row r="41" customHeight="1" spans="4:15">
      <c r="D41" s="623">
        <v>7.9352</v>
      </c>
      <c r="E41" s="624">
        <v>250</v>
      </c>
      <c r="F41" s="625">
        <v>10</v>
      </c>
      <c r="G41" s="624">
        <v>100</v>
      </c>
      <c r="H41" s="625">
        <v>1</v>
      </c>
      <c r="I41" s="625">
        <v>10</v>
      </c>
      <c r="J41" s="623">
        <v>0.0092</v>
      </c>
      <c r="K41" s="623">
        <v>0.0091</v>
      </c>
      <c r="L41" s="623">
        <v>2</v>
      </c>
      <c r="M41" s="628">
        <f t="shared" si="1"/>
        <v>0.0630103841113012</v>
      </c>
      <c r="N41" s="625"/>
      <c r="O41" s="625"/>
    </row>
    <row r="42" customHeight="1" spans="2:15">
      <c r="B42" s="626" t="s">
        <v>35</v>
      </c>
      <c r="D42" s="623">
        <v>6.5982</v>
      </c>
      <c r="E42" s="624">
        <v>250</v>
      </c>
      <c r="F42" s="625">
        <v>10</v>
      </c>
      <c r="G42" s="624">
        <v>100</v>
      </c>
      <c r="H42" s="625">
        <v>1</v>
      </c>
      <c r="I42" s="625">
        <v>10</v>
      </c>
      <c r="J42" s="623">
        <v>0.0092</v>
      </c>
      <c r="K42" s="623">
        <v>0.0091</v>
      </c>
      <c r="L42" s="623">
        <v>2</v>
      </c>
      <c r="M42" s="628">
        <f t="shared" si="1"/>
        <v>0.0757782425509983</v>
      </c>
      <c r="N42" s="625">
        <f>AVERAGE(M42:M43)</f>
        <v>0.0757495525815324</v>
      </c>
      <c r="O42" s="625">
        <f>(M42-M43)/N42*100</f>
        <v>0.0757495417152631</v>
      </c>
    </row>
    <row r="43" customHeight="1" spans="4:15">
      <c r="D43" s="623">
        <v>6.6032</v>
      </c>
      <c r="E43" s="624">
        <v>250</v>
      </c>
      <c r="F43" s="625">
        <v>10</v>
      </c>
      <c r="G43" s="624">
        <v>100</v>
      </c>
      <c r="H43" s="625">
        <v>1</v>
      </c>
      <c r="I43" s="625">
        <v>10</v>
      </c>
      <c r="J43" s="623">
        <v>0.0092</v>
      </c>
      <c r="K43" s="623">
        <v>0.0091</v>
      </c>
      <c r="L43" s="623">
        <v>2</v>
      </c>
      <c r="M43" s="628">
        <f t="shared" si="1"/>
        <v>0.0757208626120664</v>
      </c>
      <c r="N43" s="625"/>
      <c r="O43" s="625"/>
    </row>
    <row r="44" customHeight="1" spans="2:15">
      <c r="B44" s="626" t="s">
        <v>36</v>
      </c>
      <c r="D44" s="623">
        <v>3.6867</v>
      </c>
      <c r="E44" s="624">
        <v>250</v>
      </c>
      <c r="F44" s="625">
        <v>10</v>
      </c>
      <c r="G44" s="624">
        <v>100</v>
      </c>
      <c r="H44" s="625">
        <v>1</v>
      </c>
      <c r="I44" s="625">
        <v>10</v>
      </c>
      <c r="J44" s="623">
        <v>0.0092</v>
      </c>
      <c r="K44" s="623">
        <v>0.0091</v>
      </c>
      <c r="L44" s="623">
        <v>2</v>
      </c>
      <c r="M44" s="628">
        <f t="shared" si="1"/>
        <v>0.135622643556567</v>
      </c>
      <c r="N44" s="625">
        <f>AVERAGE(M44:M45)</f>
        <v>0.135224022331067</v>
      </c>
      <c r="O44" s="625">
        <f>(M44-M45)/N44*100</f>
        <v>0.589571614019902</v>
      </c>
    </row>
    <row r="45" customHeight="1" spans="4:15">
      <c r="D45" s="623">
        <v>3.7085</v>
      </c>
      <c r="E45" s="624">
        <v>250</v>
      </c>
      <c r="F45" s="625">
        <v>10</v>
      </c>
      <c r="G45" s="624">
        <v>100</v>
      </c>
      <c r="H45" s="625">
        <v>1</v>
      </c>
      <c r="I45" s="625">
        <v>10</v>
      </c>
      <c r="J45" s="623">
        <v>0.0092</v>
      </c>
      <c r="K45" s="623">
        <v>0.0091</v>
      </c>
      <c r="L45" s="623">
        <v>2</v>
      </c>
      <c r="M45" s="628">
        <f t="shared" si="1"/>
        <v>0.134825401105567</v>
      </c>
      <c r="N45" s="625"/>
      <c r="O45" s="625"/>
    </row>
    <row r="46" customHeight="1" spans="2:15">
      <c r="B46" s="626" t="s">
        <v>37</v>
      </c>
      <c r="D46" s="623">
        <v>3.69</v>
      </c>
      <c r="E46" s="624">
        <v>250</v>
      </c>
      <c r="F46" s="625">
        <v>10</v>
      </c>
      <c r="G46" s="624">
        <v>100</v>
      </c>
      <c r="H46" s="625">
        <v>2</v>
      </c>
      <c r="I46" s="625">
        <v>10</v>
      </c>
      <c r="J46" s="629">
        <v>0.009</v>
      </c>
      <c r="K46" s="623">
        <v>0.0091</v>
      </c>
      <c r="L46" s="623">
        <v>2</v>
      </c>
      <c r="M46" s="628">
        <f t="shared" si="1"/>
        <v>-0.0677506775067758</v>
      </c>
      <c r="N46" s="625">
        <f>AVERAGE(M46:M47)</f>
        <v>-0.0675028002835723</v>
      </c>
      <c r="O46" s="628">
        <f>(M46-M47)/N46*100</f>
        <v>0.734420563775781</v>
      </c>
    </row>
    <row r="47" customHeight="1" spans="4:15">
      <c r="D47" s="623">
        <v>3.7172</v>
      </c>
      <c r="E47" s="624">
        <v>250</v>
      </c>
      <c r="F47" s="625">
        <v>10</v>
      </c>
      <c r="G47" s="624">
        <v>100</v>
      </c>
      <c r="H47" s="625">
        <v>2</v>
      </c>
      <c r="I47" s="625">
        <v>10</v>
      </c>
      <c r="J47" s="629">
        <v>0.009</v>
      </c>
      <c r="K47" s="623">
        <v>0.0091</v>
      </c>
      <c r="L47" s="623">
        <v>2</v>
      </c>
      <c r="M47" s="628">
        <f t="shared" si="1"/>
        <v>-0.0672549230603688</v>
      </c>
      <c r="N47" s="625"/>
      <c r="O47" s="628"/>
    </row>
    <row r="48" customHeight="1" spans="1:15">
      <c r="A48" s="623">
        <v>10.12</v>
      </c>
      <c r="B48" s="626" t="s">
        <v>38</v>
      </c>
      <c r="D48" s="623">
        <v>10.7531</v>
      </c>
      <c r="E48" s="624">
        <v>250</v>
      </c>
      <c r="F48" s="625">
        <v>10</v>
      </c>
      <c r="G48" s="624">
        <v>100</v>
      </c>
      <c r="H48" s="625">
        <v>1</v>
      </c>
      <c r="I48" s="625">
        <v>10</v>
      </c>
      <c r="J48" s="623">
        <v>0.084</v>
      </c>
      <c r="K48" s="623">
        <v>0.0091</v>
      </c>
      <c r="L48" s="623">
        <v>2</v>
      </c>
      <c r="M48" s="628">
        <f t="shared" si="1"/>
        <v>34.8271661195376</v>
      </c>
      <c r="N48" s="625">
        <f>AVERAGE(M48:M49)</f>
        <v>34.8108255155441</v>
      </c>
      <c r="O48" s="628">
        <f>(M48-M49)/N48*100</f>
        <v>0.0938823124793748</v>
      </c>
    </row>
    <row r="49" customHeight="1" spans="4:15">
      <c r="D49" s="623">
        <v>10.7632</v>
      </c>
      <c r="E49" s="624">
        <v>250</v>
      </c>
      <c r="F49" s="625">
        <v>10</v>
      </c>
      <c r="G49" s="624">
        <v>100</v>
      </c>
      <c r="H49" s="625">
        <v>1</v>
      </c>
      <c r="I49" s="625">
        <v>10</v>
      </c>
      <c r="J49" s="623">
        <v>0.084</v>
      </c>
      <c r="K49" s="623">
        <v>0.0091</v>
      </c>
      <c r="L49" s="623">
        <v>2</v>
      </c>
      <c r="M49" s="628">
        <f t="shared" si="1"/>
        <v>34.7944849115505</v>
      </c>
      <c r="N49" s="625"/>
      <c r="O49" s="628"/>
    </row>
    <row r="50" customHeight="1" spans="2:15">
      <c r="B50" s="626" t="s">
        <v>39</v>
      </c>
      <c r="D50" s="623">
        <v>10.0378</v>
      </c>
      <c r="E50" s="624">
        <v>250</v>
      </c>
      <c r="F50" s="625">
        <v>10</v>
      </c>
      <c r="G50" s="624">
        <v>100</v>
      </c>
      <c r="H50" s="625">
        <v>1</v>
      </c>
      <c r="I50" s="625">
        <v>10</v>
      </c>
      <c r="J50" s="623">
        <v>0.0558</v>
      </c>
      <c r="K50" s="623">
        <v>0.0091</v>
      </c>
      <c r="L50" s="623">
        <v>2</v>
      </c>
      <c r="M50" s="628">
        <f t="shared" si="1"/>
        <v>23.2620693777521</v>
      </c>
      <c r="N50" s="625">
        <f>AVERAGE(M50:M51)</f>
        <v>23.2592891061187</v>
      </c>
      <c r="O50" s="628">
        <f>(M50-M51)/N50*100</f>
        <v>0.0239067636218757</v>
      </c>
    </row>
    <row r="51" customHeight="1" spans="4:15">
      <c r="D51" s="623">
        <v>10.0402</v>
      </c>
      <c r="E51" s="624">
        <v>250</v>
      </c>
      <c r="F51" s="625">
        <v>10</v>
      </c>
      <c r="G51" s="624">
        <v>100</v>
      </c>
      <c r="H51" s="625">
        <v>1</v>
      </c>
      <c r="I51" s="625">
        <v>10</v>
      </c>
      <c r="J51" s="623">
        <v>0.0558</v>
      </c>
      <c r="K51" s="623">
        <v>0.0091</v>
      </c>
      <c r="L51" s="623">
        <v>2</v>
      </c>
      <c r="M51" s="628">
        <f t="shared" si="1"/>
        <v>23.2565088344854</v>
      </c>
      <c r="N51" s="625"/>
      <c r="O51" s="628"/>
    </row>
    <row r="52" customHeight="1" spans="2:15">
      <c r="B52" s="626" t="s">
        <v>40</v>
      </c>
      <c r="D52" s="623">
        <v>10.028</v>
      </c>
      <c r="E52" s="624">
        <v>250</v>
      </c>
      <c r="F52" s="625">
        <v>10</v>
      </c>
      <c r="G52" s="624">
        <v>100</v>
      </c>
      <c r="H52" s="625">
        <v>1</v>
      </c>
      <c r="I52" s="625">
        <v>10</v>
      </c>
      <c r="J52" s="623">
        <v>0.0712</v>
      </c>
      <c r="K52" s="623">
        <v>0.0091</v>
      </c>
      <c r="L52" s="623">
        <v>2</v>
      </c>
      <c r="M52" s="628">
        <f t="shared" si="1"/>
        <v>30.9633027522936</v>
      </c>
      <c r="N52" s="625">
        <f>AVERAGE(M52:M53)</f>
        <v>30.9773644783836</v>
      </c>
      <c r="O52" s="628">
        <f>(M52-M53)/N52*100</f>
        <v>-0.090787104240562</v>
      </c>
    </row>
    <row r="53" customHeight="1" spans="4:15">
      <c r="D53" s="623">
        <v>10.0189</v>
      </c>
      <c r="E53" s="624">
        <v>250</v>
      </c>
      <c r="F53" s="625">
        <v>10</v>
      </c>
      <c r="G53" s="624">
        <v>100</v>
      </c>
      <c r="H53" s="625">
        <v>1</v>
      </c>
      <c r="I53" s="625">
        <v>10</v>
      </c>
      <c r="J53" s="623">
        <v>0.0712</v>
      </c>
      <c r="K53" s="623">
        <v>0.0091</v>
      </c>
      <c r="L53" s="623">
        <v>2</v>
      </c>
      <c r="M53" s="628">
        <f t="shared" si="1"/>
        <v>30.9914262044735</v>
      </c>
      <c r="N53" s="625"/>
      <c r="O53" s="628"/>
    </row>
    <row r="54" customHeight="1" spans="2:15">
      <c r="B54" s="626" t="s">
        <v>41</v>
      </c>
      <c r="D54" s="623">
        <v>10.5107</v>
      </c>
      <c r="E54" s="624">
        <v>250</v>
      </c>
      <c r="F54" s="625">
        <v>10</v>
      </c>
      <c r="G54" s="624">
        <v>100</v>
      </c>
      <c r="H54" s="625">
        <v>1</v>
      </c>
      <c r="I54" s="625">
        <v>10</v>
      </c>
      <c r="J54" s="623">
        <v>0.0756</v>
      </c>
      <c r="K54" s="623">
        <v>0.0091</v>
      </c>
      <c r="L54" s="623">
        <v>2</v>
      </c>
      <c r="M54" s="628">
        <f t="shared" si="1"/>
        <v>31.634429676425</v>
      </c>
      <c r="N54" s="625">
        <f>AVERAGE(M54:M55)</f>
        <v>31.6121889487061</v>
      </c>
      <c r="O54" s="628">
        <f>(M54-M55)/N54*100</f>
        <v>0.140709824017636</v>
      </c>
    </row>
    <row r="55" customHeight="1" spans="4:15">
      <c r="D55" s="623">
        <v>10.5255</v>
      </c>
      <c r="E55" s="624">
        <v>250</v>
      </c>
      <c r="F55" s="625">
        <v>10</v>
      </c>
      <c r="G55" s="624">
        <v>100</v>
      </c>
      <c r="H55" s="625">
        <v>1</v>
      </c>
      <c r="I55" s="625">
        <v>10</v>
      </c>
      <c r="J55" s="623">
        <v>0.0756</v>
      </c>
      <c r="K55" s="623">
        <v>0.0091</v>
      </c>
      <c r="L55" s="623">
        <v>2</v>
      </c>
      <c r="M55" s="628">
        <f t="shared" si="1"/>
        <v>31.5899482209871</v>
      </c>
      <c r="N55" s="625"/>
      <c r="O55" s="628"/>
    </row>
    <row r="56" customHeight="1" spans="2:15">
      <c r="B56" s="626" t="s">
        <v>42</v>
      </c>
      <c r="D56" s="623">
        <v>10.7241</v>
      </c>
      <c r="E56" s="624">
        <v>250</v>
      </c>
      <c r="F56" s="625">
        <v>10</v>
      </c>
      <c r="G56" s="624">
        <v>100</v>
      </c>
      <c r="H56" s="625">
        <v>1</v>
      </c>
      <c r="I56" s="625">
        <v>10</v>
      </c>
      <c r="J56" s="623">
        <v>0.0532</v>
      </c>
      <c r="K56" s="623">
        <v>0.0091</v>
      </c>
      <c r="L56" s="623">
        <v>2</v>
      </c>
      <c r="M56" s="628">
        <f t="shared" si="1"/>
        <v>20.5611659719697</v>
      </c>
      <c r="N56" s="625">
        <f>AVERAGE(M56:M57)</f>
        <v>20.5492925282006</v>
      </c>
      <c r="O56" s="628">
        <f>(M56-M57)/N56*100</f>
        <v>0.11556060874348</v>
      </c>
    </row>
    <row r="57" customHeight="1" spans="4:15">
      <c r="D57" s="623">
        <v>10.7365</v>
      </c>
      <c r="E57" s="624">
        <v>250</v>
      </c>
      <c r="F57" s="625">
        <v>10</v>
      </c>
      <c r="G57" s="624">
        <v>100</v>
      </c>
      <c r="H57" s="625">
        <v>1</v>
      </c>
      <c r="I57" s="625">
        <v>10</v>
      </c>
      <c r="J57" s="623">
        <v>0.0532</v>
      </c>
      <c r="K57" s="623">
        <v>0.0091</v>
      </c>
      <c r="L57" s="623">
        <v>2</v>
      </c>
      <c r="M57" s="628">
        <f t="shared" si="1"/>
        <v>20.5374190844316</v>
      </c>
      <c r="N57" s="625"/>
      <c r="O57" s="628"/>
    </row>
    <row r="58" customHeight="1" spans="2:15">
      <c r="B58" s="626" t="s">
        <v>43</v>
      </c>
      <c r="D58" s="623">
        <v>10.8701</v>
      </c>
      <c r="E58" s="624">
        <v>250</v>
      </c>
      <c r="F58" s="625">
        <v>10</v>
      </c>
      <c r="G58" s="624">
        <v>100</v>
      </c>
      <c r="H58" s="625">
        <v>1</v>
      </c>
      <c r="I58" s="625">
        <v>10</v>
      </c>
      <c r="J58" s="623">
        <v>0.0419</v>
      </c>
      <c r="K58" s="623">
        <v>0.0091</v>
      </c>
      <c r="L58" s="623">
        <v>2</v>
      </c>
      <c r="M58" s="628">
        <f t="shared" si="1"/>
        <v>15.0872577069208</v>
      </c>
      <c r="N58" s="625">
        <f>AVERAGE(M58:M59)</f>
        <v>15.0775544881018</v>
      </c>
      <c r="O58" s="628">
        <f>(M58-M59)/N58*100</f>
        <v>0.128710777688901</v>
      </c>
    </row>
    <row r="59" customHeight="1" spans="4:15">
      <c r="D59" s="623">
        <v>10.8841</v>
      </c>
      <c r="E59" s="624">
        <v>250</v>
      </c>
      <c r="F59" s="625">
        <v>10</v>
      </c>
      <c r="G59" s="624">
        <v>100</v>
      </c>
      <c r="H59" s="625">
        <v>1</v>
      </c>
      <c r="I59" s="625">
        <v>10</v>
      </c>
      <c r="J59" s="623">
        <v>0.0419</v>
      </c>
      <c r="K59" s="623">
        <v>0.0091</v>
      </c>
      <c r="L59" s="623">
        <v>2</v>
      </c>
      <c r="M59" s="628">
        <f t="shared" si="1"/>
        <v>15.0678512692827</v>
      </c>
      <c r="N59" s="625"/>
      <c r="O59" s="628"/>
    </row>
    <row r="60" customHeight="1" spans="2:15">
      <c r="B60" s="626" t="s">
        <v>44</v>
      </c>
      <c r="D60" s="623">
        <v>10.0817</v>
      </c>
      <c r="E60" s="624">
        <v>250</v>
      </c>
      <c r="F60" s="625">
        <v>10</v>
      </c>
      <c r="G60" s="624">
        <v>100</v>
      </c>
      <c r="H60" s="625">
        <v>1</v>
      </c>
      <c r="I60" s="625">
        <v>10</v>
      </c>
      <c r="J60" s="623">
        <v>0.0807</v>
      </c>
      <c r="K60" s="623">
        <v>0.0091</v>
      </c>
      <c r="L60" s="623">
        <v>2</v>
      </c>
      <c r="M60" s="628">
        <f t="shared" si="1"/>
        <v>35.5098842457125</v>
      </c>
      <c r="N60" s="625">
        <f>AVERAGE(M60:M61)</f>
        <v>35.4861411085128</v>
      </c>
      <c r="O60" s="628">
        <f>(M60-M61)/N60*100</f>
        <v>0.133816393995121</v>
      </c>
    </row>
    <row r="61" customHeight="1" spans="4:15">
      <c r="D61" s="623">
        <v>10.0952</v>
      </c>
      <c r="E61" s="624">
        <v>250</v>
      </c>
      <c r="F61" s="625">
        <v>10</v>
      </c>
      <c r="G61" s="624">
        <v>100</v>
      </c>
      <c r="H61" s="625">
        <v>1</v>
      </c>
      <c r="I61" s="625">
        <v>10</v>
      </c>
      <c r="J61" s="623">
        <v>0.0807</v>
      </c>
      <c r="K61" s="623">
        <v>0.0091</v>
      </c>
      <c r="L61" s="623">
        <v>2</v>
      </c>
      <c r="M61" s="628">
        <f t="shared" si="1"/>
        <v>35.4623979713131</v>
      </c>
      <c r="N61" s="625"/>
      <c r="O61" s="628"/>
    </row>
    <row r="62" customHeight="1" spans="2:15">
      <c r="B62" s="626" t="s">
        <v>45</v>
      </c>
      <c r="D62" s="623">
        <v>10.8275</v>
      </c>
      <c r="E62" s="624">
        <v>250</v>
      </c>
      <c r="F62" s="625">
        <v>10</v>
      </c>
      <c r="G62" s="624">
        <v>100</v>
      </c>
      <c r="H62" s="625">
        <v>1</v>
      </c>
      <c r="I62" s="625">
        <v>10</v>
      </c>
      <c r="J62" s="623">
        <v>0.0844</v>
      </c>
      <c r="K62" s="623">
        <v>0.0091</v>
      </c>
      <c r="L62" s="623">
        <v>2</v>
      </c>
      <c r="M62" s="628">
        <f t="shared" si="1"/>
        <v>34.7725698453013</v>
      </c>
      <c r="N62" s="625">
        <f>AVERAGE(M62:M63)</f>
        <v>34.7650260832644</v>
      </c>
      <c r="O62" s="628">
        <f>(M62-M63)/N62*100</f>
        <v>0.0433985696939631</v>
      </c>
    </row>
    <row r="63" customHeight="1" spans="4:15">
      <c r="D63" s="623">
        <v>10.8322</v>
      </c>
      <c r="E63" s="624">
        <v>250</v>
      </c>
      <c r="F63" s="625">
        <v>10</v>
      </c>
      <c r="G63" s="624">
        <v>100</v>
      </c>
      <c r="H63" s="625">
        <v>1</v>
      </c>
      <c r="I63" s="625">
        <v>10</v>
      </c>
      <c r="J63" s="623">
        <v>0.0844</v>
      </c>
      <c r="K63" s="623">
        <v>0.0091</v>
      </c>
      <c r="L63" s="623">
        <v>2</v>
      </c>
      <c r="M63" s="628">
        <f t="shared" si="1"/>
        <v>34.7574823212275</v>
      </c>
      <c r="N63" s="625"/>
      <c r="O63" s="628"/>
    </row>
    <row r="64" customHeight="1" spans="2:15">
      <c r="B64" s="626" t="s">
        <v>46</v>
      </c>
      <c r="D64" s="623">
        <v>10.0622</v>
      </c>
      <c r="E64" s="624">
        <v>250</v>
      </c>
      <c r="F64" s="625">
        <v>10</v>
      </c>
      <c r="G64" s="624">
        <v>100</v>
      </c>
      <c r="H64" s="625">
        <v>1</v>
      </c>
      <c r="I64" s="625">
        <v>10</v>
      </c>
      <c r="J64" s="623">
        <v>0.0736</v>
      </c>
      <c r="K64" s="623">
        <v>0.0091</v>
      </c>
      <c r="L64" s="623">
        <v>2</v>
      </c>
      <c r="M64" s="628">
        <f t="shared" si="1"/>
        <v>32.0506449881736</v>
      </c>
      <c r="N64" s="625">
        <f>AVERAGE(M64:M65)</f>
        <v>32.0247271674013</v>
      </c>
      <c r="O64" s="628">
        <f>(M64-M65)/N64*100</f>
        <v>0.161861305714293</v>
      </c>
    </row>
    <row r="65" customHeight="1" spans="4:15">
      <c r="D65" s="623">
        <v>10.0785</v>
      </c>
      <c r="E65" s="624">
        <v>250</v>
      </c>
      <c r="F65" s="625">
        <v>10</v>
      </c>
      <c r="G65" s="624">
        <v>100</v>
      </c>
      <c r="H65" s="625">
        <v>1</v>
      </c>
      <c r="I65" s="625">
        <v>10</v>
      </c>
      <c r="J65" s="623">
        <v>0.0736</v>
      </c>
      <c r="K65" s="623">
        <v>0.0091</v>
      </c>
      <c r="L65" s="623">
        <v>2</v>
      </c>
      <c r="M65" s="628">
        <f t="shared" si="1"/>
        <v>31.998809346629</v>
      </c>
      <c r="N65" s="625"/>
      <c r="O65" s="628"/>
    </row>
    <row r="66" customHeight="1" spans="2:15">
      <c r="B66" s="626" t="s">
        <v>47</v>
      </c>
      <c r="D66" s="623">
        <v>10.2663</v>
      </c>
      <c r="E66" s="624">
        <v>250</v>
      </c>
      <c r="F66" s="625">
        <v>10</v>
      </c>
      <c r="G66" s="624">
        <v>100</v>
      </c>
      <c r="H66" s="625">
        <v>1</v>
      </c>
      <c r="I66" s="625">
        <v>10</v>
      </c>
      <c r="J66" s="623">
        <v>0.0594</v>
      </c>
      <c r="K66" s="623">
        <v>0.0091</v>
      </c>
      <c r="L66" s="623">
        <v>2</v>
      </c>
      <c r="M66" s="628">
        <f t="shared" si="1"/>
        <v>24.4976281620447</v>
      </c>
      <c r="N66" s="625">
        <f>AVERAGE(M66:M67)</f>
        <v>24.4847561269303</v>
      </c>
      <c r="O66" s="628">
        <f>(M66-M67)/N66*100</f>
        <v>0.105143257688614</v>
      </c>
    </row>
    <row r="67" customHeight="1" spans="4:15">
      <c r="D67" s="623">
        <v>10.2771</v>
      </c>
      <c r="E67" s="624">
        <v>250</v>
      </c>
      <c r="F67" s="625">
        <v>10</v>
      </c>
      <c r="G67" s="624">
        <v>100</v>
      </c>
      <c r="H67" s="625">
        <v>1</v>
      </c>
      <c r="I67" s="625">
        <v>10</v>
      </c>
      <c r="J67" s="623">
        <v>0.0594</v>
      </c>
      <c r="K67" s="623">
        <v>0.0091</v>
      </c>
      <c r="L67" s="623">
        <v>2</v>
      </c>
      <c r="M67" s="628">
        <f t="shared" si="1"/>
        <v>24.4718840918158</v>
      </c>
      <c r="N67" s="625"/>
      <c r="O67" s="628"/>
    </row>
    <row r="68" customHeight="1" spans="2:15">
      <c r="B68" s="626" t="s">
        <v>48</v>
      </c>
      <c r="D68" s="623">
        <v>10.7255</v>
      </c>
      <c r="E68" s="624">
        <v>250</v>
      </c>
      <c r="F68" s="625">
        <v>10</v>
      </c>
      <c r="G68" s="624">
        <v>100</v>
      </c>
      <c r="H68" s="625">
        <v>1</v>
      </c>
      <c r="I68" s="625">
        <v>10</v>
      </c>
      <c r="J68" s="623">
        <v>0.0637</v>
      </c>
      <c r="K68" s="623">
        <v>0.0091</v>
      </c>
      <c r="L68" s="623">
        <v>2</v>
      </c>
      <c r="M68" s="628">
        <f t="shared" si="1"/>
        <v>25.4533588177707</v>
      </c>
      <c r="N68" s="625">
        <f>AVERAGE(M68:M69)</f>
        <v>25.4479028830375</v>
      </c>
      <c r="O68" s="628">
        <f>(M68-M69)/N68*100</f>
        <v>0.0428792483081448</v>
      </c>
    </row>
    <row r="69" customHeight="1" spans="4:15">
      <c r="D69" s="623">
        <v>10.7301</v>
      </c>
      <c r="E69" s="624">
        <v>250</v>
      </c>
      <c r="F69" s="625">
        <v>10</v>
      </c>
      <c r="G69" s="624">
        <v>100</v>
      </c>
      <c r="H69" s="625">
        <v>1</v>
      </c>
      <c r="I69" s="625">
        <v>10</v>
      </c>
      <c r="J69" s="623">
        <v>0.0637</v>
      </c>
      <c r="K69" s="623">
        <v>0.0091</v>
      </c>
      <c r="L69" s="623">
        <v>2</v>
      </c>
      <c r="M69" s="628">
        <f t="shared" si="1"/>
        <v>25.4424469483043</v>
      </c>
      <c r="N69" s="625"/>
      <c r="O69" s="628"/>
    </row>
    <row r="70" customHeight="1" spans="2:15">
      <c r="B70" s="626" t="s">
        <v>49</v>
      </c>
      <c r="D70" s="623">
        <v>10.0296</v>
      </c>
      <c r="E70" s="624">
        <v>250</v>
      </c>
      <c r="F70" s="625">
        <v>10</v>
      </c>
      <c r="G70" s="624">
        <v>100</v>
      </c>
      <c r="H70" s="625">
        <v>1</v>
      </c>
      <c r="I70" s="625">
        <v>10</v>
      </c>
      <c r="J70" s="623">
        <v>0.0244</v>
      </c>
      <c r="K70" s="623">
        <v>0.0091</v>
      </c>
      <c r="L70" s="623">
        <v>2</v>
      </c>
      <c r="M70" s="628">
        <f t="shared" si="1"/>
        <v>7.62742282842785</v>
      </c>
      <c r="N70" s="625">
        <f>AVERAGE(M70:M71)</f>
        <v>7.62723271509826</v>
      </c>
      <c r="O70" s="628">
        <f>(M70-M71)/N70*100</f>
        <v>0.00498511941851507</v>
      </c>
    </row>
    <row r="71" customHeight="1" spans="4:15">
      <c r="D71" s="623">
        <v>10.0301</v>
      </c>
      <c r="E71" s="624">
        <v>250</v>
      </c>
      <c r="F71" s="625">
        <v>10</v>
      </c>
      <c r="G71" s="624">
        <v>100</v>
      </c>
      <c r="H71" s="625">
        <v>1</v>
      </c>
      <c r="I71" s="625">
        <v>10</v>
      </c>
      <c r="J71" s="623">
        <v>0.0244</v>
      </c>
      <c r="K71" s="623">
        <v>0.0091</v>
      </c>
      <c r="L71" s="623">
        <v>2</v>
      </c>
      <c r="M71" s="628">
        <f t="shared" si="1"/>
        <v>7.62704260176868</v>
      </c>
      <c r="N71" s="625"/>
      <c r="O71" s="628"/>
    </row>
    <row r="72" customHeight="1" spans="2:15">
      <c r="B72" s="626" t="s">
        <v>50</v>
      </c>
      <c r="D72" s="623">
        <v>10.0016</v>
      </c>
      <c r="E72" s="624">
        <v>250</v>
      </c>
      <c r="F72" s="625">
        <v>10</v>
      </c>
      <c r="G72" s="624">
        <v>100</v>
      </c>
      <c r="H72" s="625">
        <v>1</v>
      </c>
      <c r="I72" s="625">
        <v>10</v>
      </c>
      <c r="J72" s="623">
        <v>0.0237</v>
      </c>
      <c r="K72" s="623">
        <v>0.0091</v>
      </c>
      <c r="L72" s="623">
        <v>2</v>
      </c>
      <c r="M72" s="628">
        <f t="shared" si="1"/>
        <v>7.2988321868501</v>
      </c>
      <c r="N72" s="625">
        <f>AVERAGE(M72:M73)</f>
        <v>7.29376734897894</v>
      </c>
      <c r="O72" s="628">
        <f>(M72-M73)/N72*100</f>
        <v>0.138881256525667</v>
      </c>
    </row>
    <row r="73" customHeight="1" spans="4:15">
      <c r="D73" s="623">
        <v>10.0155</v>
      </c>
      <c r="E73" s="624">
        <v>250</v>
      </c>
      <c r="F73" s="625">
        <v>10</v>
      </c>
      <c r="G73" s="624">
        <v>100</v>
      </c>
      <c r="H73" s="625">
        <v>1</v>
      </c>
      <c r="I73" s="625">
        <v>10</v>
      </c>
      <c r="J73" s="623">
        <v>0.0237</v>
      </c>
      <c r="K73" s="623">
        <v>0.0091</v>
      </c>
      <c r="L73" s="623">
        <v>2</v>
      </c>
      <c r="M73" s="628">
        <f t="shared" si="1"/>
        <v>7.28870251110778</v>
      </c>
      <c r="N73" s="625"/>
      <c r="O73" s="628"/>
    </row>
    <row r="74" customHeight="1" spans="2:15">
      <c r="B74" s="626" t="s">
        <v>51</v>
      </c>
      <c r="D74" s="623">
        <v>10.2493</v>
      </c>
      <c r="E74" s="624">
        <v>250</v>
      </c>
      <c r="F74" s="625">
        <v>10</v>
      </c>
      <c r="G74" s="624">
        <v>100</v>
      </c>
      <c r="H74" s="625">
        <v>1</v>
      </c>
      <c r="I74" s="625">
        <v>10</v>
      </c>
      <c r="J74" s="623">
        <v>0.0147</v>
      </c>
      <c r="K74" s="623">
        <v>0.0091</v>
      </c>
      <c r="L74" s="623">
        <v>1</v>
      </c>
      <c r="M74" s="628">
        <f t="shared" ref="M74:M137" si="2">L74*(J74-K74)*E74*G74*I74/D74/F74/H74/1000*100</f>
        <v>1.36594694271804</v>
      </c>
      <c r="N74" s="625">
        <f>AVERAGE(M74:M75)</f>
        <v>1.36648712210307</v>
      </c>
      <c r="O74" s="628">
        <f>(M74-M75)/N74*100</f>
        <v>-0.0790610282813856</v>
      </c>
    </row>
    <row r="75" customHeight="1" spans="4:15">
      <c r="D75" s="623">
        <v>10.2412</v>
      </c>
      <c r="E75" s="624">
        <v>250</v>
      </c>
      <c r="F75" s="625">
        <v>10</v>
      </c>
      <c r="G75" s="624">
        <v>100</v>
      </c>
      <c r="H75" s="625">
        <v>1</v>
      </c>
      <c r="I75" s="625">
        <v>10</v>
      </c>
      <c r="J75" s="623">
        <v>0.0147</v>
      </c>
      <c r="K75" s="623">
        <v>0.0091</v>
      </c>
      <c r="L75" s="623">
        <v>1</v>
      </c>
      <c r="M75" s="628">
        <f t="shared" si="2"/>
        <v>1.36702730148811</v>
      </c>
      <c r="N75" s="625"/>
      <c r="O75" s="628"/>
    </row>
    <row r="76" customHeight="1" spans="1:15">
      <c r="A76" s="623">
        <v>10.15</v>
      </c>
      <c r="B76" s="626" t="s">
        <v>52</v>
      </c>
      <c r="D76" s="623">
        <v>10.2469</v>
      </c>
      <c r="E76" s="624">
        <v>250</v>
      </c>
      <c r="F76" s="625">
        <v>10</v>
      </c>
      <c r="G76" s="624">
        <v>100</v>
      </c>
      <c r="H76" s="625">
        <v>1</v>
      </c>
      <c r="I76" s="625">
        <v>10</v>
      </c>
      <c r="J76" s="623">
        <v>0.0238</v>
      </c>
      <c r="K76" s="623">
        <v>0.0091</v>
      </c>
      <c r="L76" s="623">
        <v>2</v>
      </c>
      <c r="M76" s="628">
        <f t="shared" si="2"/>
        <v>7.17290107251949</v>
      </c>
      <c r="N76" s="625">
        <f>AVERAGE(M76:M77)</f>
        <v>7.17069740552983</v>
      </c>
      <c r="O76" s="628">
        <f>(M76-M77)/N76*100</f>
        <v>0.0614631148140532</v>
      </c>
    </row>
    <row r="77" customHeight="1" spans="4:15">
      <c r="D77" s="623">
        <v>10.2532</v>
      </c>
      <c r="E77" s="624">
        <v>250</v>
      </c>
      <c r="F77" s="625">
        <v>10</v>
      </c>
      <c r="G77" s="624">
        <v>100</v>
      </c>
      <c r="H77" s="625">
        <v>1</v>
      </c>
      <c r="I77" s="625">
        <v>10</v>
      </c>
      <c r="J77" s="623">
        <v>0.0238</v>
      </c>
      <c r="K77" s="623">
        <v>0.0091</v>
      </c>
      <c r="L77" s="623">
        <v>2</v>
      </c>
      <c r="M77" s="628">
        <f t="shared" si="2"/>
        <v>7.16849373854016</v>
      </c>
      <c r="N77" s="625"/>
      <c r="O77" s="628"/>
    </row>
    <row r="78" customHeight="1" spans="2:15">
      <c r="B78" s="626" t="s">
        <v>53</v>
      </c>
      <c r="D78" s="623">
        <v>10.0139</v>
      </c>
      <c r="E78" s="624">
        <v>250</v>
      </c>
      <c r="F78" s="625">
        <v>10</v>
      </c>
      <c r="G78" s="624">
        <v>100</v>
      </c>
      <c r="H78" s="625">
        <v>1</v>
      </c>
      <c r="I78" s="625">
        <v>10</v>
      </c>
      <c r="J78" s="623">
        <v>0.0186</v>
      </c>
      <c r="K78" s="623">
        <v>0.0091</v>
      </c>
      <c r="L78" s="623">
        <v>2</v>
      </c>
      <c r="M78" s="628">
        <f t="shared" si="2"/>
        <v>4.74340666473602</v>
      </c>
      <c r="N78" s="625">
        <f>AVERAGE(M78:M79)</f>
        <v>4.74144251139058</v>
      </c>
      <c r="O78" s="628">
        <f>(M78-M79)/N78*100</f>
        <v>0.0828504549288378</v>
      </c>
    </row>
    <row r="79" customHeight="1" spans="4:15">
      <c r="D79" s="623">
        <v>10.0222</v>
      </c>
      <c r="E79" s="624">
        <v>250</v>
      </c>
      <c r="F79" s="625">
        <v>10</v>
      </c>
      <c r="G79" s="624">
        <v>100</v>
      </c>
      <c r="H79" s="625">
        <v>1</v>
      </c>
      <c r="I79" s="625">
        <v>10</v>
      </c>
      <c r="J79" s="623">
        <v>0.0186</v>
      </c>
      <c r="K79" s="623">
        <v>0.0091</v>
      </c>
      <c r="L79" s="623">
        <v>2</v>
      </c>
      <c r="M79" s="628">
        <f t="shared" si="2"/>
        <v>4.73947835804514</v>
      </c>
      <c r="N79" s="625"/>
      <c r="O79" s="628"/>
    </row>
    <row r="80" customHeight="1" spans="2:15">
      <c r="B80" s="626" t="s">
        <v>54</v>
      </c>
      <c r="D80" s="623">
        <v>10.1716</v>
      </c>
      <c r="E80" s="624">
        <v>250</v>
      </c>
      <c r="F80" s="625">
        <v>10</v>
      </c>
      <c r="G80" s="624">
        <v>100</v>
      </c>
      <c r="H80" s="625">
        <v>1</v>
      </c>
      <c r="I80" s="625">
        <v>10</v>
      </c>
      <c r="J80" s="623">
        <v>0.0745</v>
      </c>
      <c r="K80" s="623">
        <v>0.0091</v>
      </c>
      <c r="L80" s="623">
        <v>2</v>
      </c>
      <c r="M80" s="628">
        <f t="shared" si="2"/>
        <v>32.1483345786307</v>
      </c>
      <c r="N80" s="625">
        <f>AVERAGE(M80:M81)</f>
        <v>32.1300239944768</v>
      </c>
      <c r="O80" s="628">
        <f>(M80-M81)/N80*100</f>
        <v>0.11397802975219</v>
      </c>
    </row>
    <row r="81" customHeight="1" spans="4:15">
      <c r="D81" s="623">
        <v>10.1832</v>
      </c>
      <c r="E81" s="624">
        <v>250</v>
      </c>
      <c r="F81" s="625">
        <v>10</v>
      </c>
      <c r="G81" s="624">
        <v>100</v>
      </c>
      <c r="H81" s="625">
        <v>1</v>
      </c>
      <c r="I81" s="625">
        <v>10</v>
      </c>
      <c r="J81" s="623">
        <v>0.0745</v>
      </c>
      <c r="K81" s="623">
        <v>0.0091</v>
      </c>
      <c r="L81" s="623">
        <v>2</v>
      </c>
      <c r="M81" s="628">
        <f t="shared" si="2"/>
        <v>32.1117134103229</v>
      </c>
      <c r="N81" s="625"/>
      <c r="O81" s="628"/>
    </row>
    <row r="82" customHeight="1" spans="2:15">
      <c r="B82" s="626" t="s">
        <v>55</v>
      </c>
      <c r="D82" s="623">
        <v>10.3897</v>
      </c>
      <c r="E82" s="624">
        <v>250</v>
      </c>
      <c r="F82" s="625">
        <v>10</v>
      </c>
      <c r="G82" s="624">
        <v>100</v>
      </c>
      <c r="H82" s="625">
        <v>1</v>
      </c>
      <c r="I82" s="625">
        <v>10</v>
      </c>
      <c r="J82" s="623">
        <v>0.0593</v>
      </c>
      <c r="K82" s="623">
        <v>0.0091</v>
      </c>
      <c r="L82" s="623">
        <v>2</v>
      </c>
      <c r="M82" s="628">
        <f t="shared" si="2"/>
        <v>24.1585416325784</v>
      </c>
      <c r="N82" s="625">
        <f>AVERAGE(M82:M83)</f>
        <v>24.1796922862378</v>
      </c>
      <c r="O82" s="628">
        <f>(M82-M83)/N82*100</f>
        <v>-0.174945598223686</v>
      </c>
    </row>
    <row r="83" customHeight="1" spans="4:15">
      <c r="D83" s="623">
        <v>10.3922</v>
      </c>
      <c r="E83" s="624">
        <v>250</v>
      </c>
      <c r="F83" s="625">
        <v>10</v>
      </c>
      <c r="G83" s="624">
        <v>100</v>
      </c>
      <c r="H83" s="625">
        <v>1</v>
      </c>
      <c r="I83" s="625">
        <v>10</v>
      </c>
      <c r="J83" s="623">
        <v>0.0594</v>
      </c>
      <c r="K83" s="623">
        <v>0.0091</v>
      </c>
      <c r="L83" s="623">
        <v>2</v>
      </c>
      <c r="M83" s="628">
        <f t="shared" si="2"/>
        <v>24.2008429398972</v>
      </c>
      <c r="N83" s="625"/>
      <c r="O83" s="628"/>
    </row>
    <row r="84" customHeight="1" spans="2:15">
      <c r="B84" s="626" t="s">
        <v>56</v>
      </c>
      <c r="D84" s="623">
        <v>10.8271</v>
      </c>
      <c r="E84" s="624">
        <v>250</v>
      </c>
      <c r="F84" s="625">
        <v>10</v>
      </c>
      <c r="G84" s="624">
        <v>100</v>
      </c>
      <c r="H84" s="625">
        <v>1</v>
      </c>
      <c r="I84" s="625">
        <v>10</v>
      </c>
      <c r="J84" s="623">
        <v>0.0868</v>
      </c>
      <c r="K84" s="623">
        <v>0.0091</v>
      </c>
      <c r="L84" s="623">
        <v>2</v>
      </c>
      <c r="M84" s="628">
        <f t="shared" si="2"/>
        <v>35.8821845184768</v>
      </c>
      <c r="N84" s="625">
        <f>AVERAGE(M84:M85)</f>
        <v>35.8961538326372</v>
      </c>
      <c r="O84" s="628">
        <f>(M84-M85)/N84*100</f>
        <v>-0.077831815773657</v>
      </c>
    </row>
    <row r="85" customHeight="1" spans="4:15">
      <c r="D85" s="623">
        <v>10.8326</v>
      </c>
      <c r="E85" s="624">
        <v>250</v>
      </c>
      <c r="F85" s="625">
        <v>10</v>
      </c>
      <c r="G85" s="624">
        <v>100</v>
      </c>
      <c r="H85" s="625">
        <v>1</v>
      </c>
      <c r="I85" s="625">
        <v>10</v>
      </c>
      <c r="J85" s="623">
        <v>0.0869</v>
      </c>
      <c r="K85" s="623">
        <v>0.0091</v>
      </c>
      <c r="L85" s="623">
        <v>2</v>
      </c>
      <c r="M85" s="628">
        <f t="shared" si="2"/>
        <v>35.9101231467976</v>
      </c>
      <c r="N85" s="625"/>
      <c r="O85" s="628"/>
    </row>
    <row r="86" customHeight="1" spans="2:15">
      <c r="B86" s="626" t="s">
        <v>57</v>
      </c>
      <c r="D86" s="623">
        <v>10.4419</v>
      </c>
      <c r="E86" s="624">
        <v>250</v>
      </c>
      <c r="F86" s="625">
        <v>10</v>
      </c>
      <c r="G86" s="624">
        <v>100</v>
      </c>
      <c r="H86" s="625">
        <v>1</v>
      </c>
      <c r="I86" s="625">
        <v>10</v>
      </c>
      <c r="J86" s="623">
        <v>0.0673</v>
      </c>
      <c r="K86" s="623">
        <v>0.0091</v>
      </c>
      <c r="L86" s="623">
        <v>2</v>
      </c>
      <c r="M86" s="628">
        <f t="shared" si="2"/>
        <v>27.8684913665138</v>
      </c>
      <c r="N86" s="625">
        <f>AVERAGE(M86:M87)</f>
        <v>27.8534283258926</v>
      </c>
      <c r="O86" s="628">
        <f>(M86-M87)/N86*100</f>
        <v>0.108159329220729</v>
      </c>
    </row>
    <row r="87" customHeight="1" spans="4:15">
      <c r="D87" s="623">
        <v>10.4532</v>
      </c>
      <c r="E87" s="624">
        <v>250</v>
      </c>
      <c r="F87" s="625">
        <v>10</v>
      </c>
      <c r="G87" s="624">
        <v>100</v>
      </c>
      <c r="H87" s="625">
        <v>1</v>
      </c>
      <c r="I87" s="625">
        <v>10</v>
      </c>
      <c r="J87" s="623">
        <v>0.0673</v>
      </c>
      <c r="K87" s="623">
        <v>0.0091</v>
      </c>
      <c r="L87" s="623">
        <v>2</v>
      </c>
      <c r="M87" s="628">
        <f t="shared" si="2"/>
        <v>27.8383652852715</v>
      </c>
      <c r="N87" s="625"/>
      <c r="O87" s="628"/>
    </row>
    <row r="88" customHeight="1" spans="2:15">
      <c r="B88" s="626" t="s">
        <v>58</v>
      </c>
      <c r="D88" s="623">
        <v>10.3027</v>
      </c>
      <c r="E88" s="624">
        <v>250</v>
      </c>
      <c r="F88" s="625">
        <v>10</v>
      </c>
      <c r="G88" s="624">
        <v>100</v>
      </c>
      <c r="H88" s="625">
        <v>1</v>
      </c>
      <c r="I88" s="625">
        <v>10</v>
      </c>
      <c r="J88" s="623">
        <v>0.0592</v>
      </c>
      <c r="K88" s="623">
        <v>0.0091</v>
      </c>
      <c r="L88" s="623">
        <v>2</v>
      </c>
      <c r="M88" s="628">
        <f t="shared" si="2"/>
        <v>24.3140147728265</v>
      </c>
      <c r="N88" s="625">
        <f>AVERAGE(M88:M89)</f>
        <v>24.3016375690918</v>
      </c>
      <c r="O88" s="628">
        <f>(M88-M89)/N88*100</f>
        <v>0.101863125063666</v>
      </c>
    </row>
    <row r="89" customHeight="1" spans="4:15">
      <c r="D89" s="623">
        <v>10.3132</v>
      </c>
      <c r="E89" s="624">
        <v>250</v>
      </c>
      <c r="F89" s="625">
        <v>10</v>
      </c>
      <c r="G89" s="624">
        <v>100</v>
      </c>
      <c r="H89" s="625">
        <v>1</v>
      </c>
      <c r="I89" s="625">
        <v>10</v>
      </c>
      <c r="J89" s="623">
        <v>0.0592</v>
      </c>
      <c r="K89" s="623">
        <v>0.0091</v>
      </c>
      <c r="L89" s="623">
        <v>2</v>
      </c>
      <c r="M89" s="628">
        <f t="shared" si="2"/>
        <v>24.289260365357</v>
      </c>
      <c r="N89" s="625"/>
      <c r="O89" s="628"/>
    </row>
    <row r="90" customHeight="1" spans="2:15">
      <c r="B90" s="626" t="s">
        <v>59</v>
      </c>
      <c r="D90" s="623">
        <v>10.0467</v>
      </c>
      <c r="E90" s="624">
        <v>250</v>
      </c>
      <c r="F90" s="625">
        <v>10</v>
      </c>
      <c r="G90" s="624">
        <v>100</v>
      </c>
      <c r="H90" s="625">
        <v>1</v>
      </c>
      <c r="I90" s="625">
        <v>10</v>
      </c>
      <c r="J90" s="623">
        <v>0.0575</v>
      </c>
      <c r="K90" s="623">
        <v>0.0091</v>
      </c>
      <c r="L90" s="623">
        <v>2</v>
      </c>
      <c r="M90" s="628">
        <f t="shared" si="2"/>
        <v>24.0875113221257</v>
      </c>
      <c r="N90" s="625">
        <f>AVERAGE(M90:M91)</f>
        <v>24.076971314188</v>
      </c>
      <c r="O90" s="628">
        <f>(M90-M91)/N90*100</f>
        <v>0.0875526061824246</v>
      </c>
    </row>
    <row r="91" customHeight="1" spans="4:15">
      <c r="D91" s="623">
        <v>10.0555</v>
      </c>
      <c r="E91" s="624">
        <v>250</v>
      </c>
      <c r="F91" s="625">
        <v>10</v>
      </c>
      <c r="G91" s="624">
        <v>100</v>
      </c>
      <c r="H91" s="625">
        <v>1</v>
      </c>
      <c r="I91" s="625">
        <v>10</v>
      </c>
      <c r="J91" s="623">
        <v>0.0575</v>
      </c>
      <c r="K91" s="623">
        <v>0.0091</v>
      </c>
      <c r="L91" s="623">
        <v>2</v>
      </c>
      <c r="M91" s="628">
        <f t="shared" si="2"/>
        <v>24.0664313062503</v>
      </c>
      <c r="N91" s="625"/>
      <c r="O91" s="628"/>
    </row>
    <row r="92" customHeight="1" spans="2:15">
      <c r="B92" s="626" t="s">
        <v>60</v>
      </c>
      <c r="D92" s="623">
        <v>10.5504</v>
      </c>
      <c r="E92" s="624">
        <v>250</v>
      </c>
      <c r="F92" s="625">
        <v>10</v>
      </c>
      <c r="G92" s="624">
        <v>100</v>
      </c>
      <c r="H92" s="625">
        <v>1</v>
      </c>
      <c r="I92" s="625">
        <v>10</v>
      </c>
      <c r="J92" s="623">
        <v>0.0716</v>
      </c>
      <c r="K92" s="623">
        <v>0.0091</v>
      </c>
      <c r="L92" s="623">
        <v>2</v>
      </c>
      <c r="M92" s="628">
        <f t="shared" si="2"/>
        <v>29.6197300576281</v>
      </c>
      <c r="N92" s="625">
        <f>AVERAGE(M92:M93)</f>
        <v>29.6930817056248</v>
      </c>
      <c r="O92" s="628">
        <f>(M92-M93)/N92*100</f>
        <v>-0.494065578802777</v>
      </c>
    </row>
    <row r="93" customHeight="1" spans="4:15">
      <c r="D93" s="623">
        <v>10.5152</v>
      </c>
      <c r="E93" s="624">
        <v>250</v>
      </c>
      <c r="F93" s="625">
        <v>10</v>
      </c>
      <c r="G93" s="624">
        <v>100</v>
      </c>
      <c r="H93" s="625">
        <v>1</v>
      </c>
      <c r="I93" s="625">
        <v>10</v>
      </c>
      <c r="J93" s="623">
        <v>0.0717</v>
      </c>
      <c r="K93" s="623">
        <v>0.0091</v>
      </c>
      <c r="L93" s="623">
        <v>2</v>
      </c>
      <c r="M93" s="628">
        <f t="shared" si="2"/>
        <v>29.7664333536214</v>
      </c>
      <c r="N93" s="625"/>
      <c r="O93" s="628"/>
    </row>
    <row r="94" customHeight="1" spans="2:15">
      <c r="B94" s="626" t="s">
        <v>61</v>
      </c>
      <c r="D94" s="623">
        <v>10.5122</v>
      </c>
      <c r="E94" s="624">
        <v>250</v>
      </c>
      <c r="F94" s="625">
        <v>10</v>
      </c>
      <c r="G94" s="624">
        <v>100</v>
      </c>
      <c r="H94" s="625">
        <v>1</v>
      </c>
      <c r="I94" s="625">
        <v>10</v>
      </c>
      <c r="J94" s="623">
        <v>0.0776</v>
      </c>
      <c r="K94" s="623">
        <v>0.0091</v>
      </c>
      <c r="L94" s="623">
        <v>2</v>
      </c>
      <c r="M94" s="628">
        <f t="shared" si="2"/>
        <v>32.5811913776374</v>
      </c>
      <c r="N94" s="625">
        <f>AVERAGE(M94:M95)</f>
        <v>32.5677202694154</v>
      </c>
      <c r="O94" s="628">
        <f>(M94-M95)/N94*100</f>
        <v>0.0827267497420722</v>
      </c>
    </row>
    <row r="95" customHeight="1" spans="4:15">
      <c r="D95" s="623">
        <v>10.5209</v>
      </c>
      <c r="E95" s="624">
        <v>250</v>
      </c>
      <c r="F95" s="625">
        <v>10</v>
      </c>
      <c r="G95" s="624">
        <v>100</v>
      </c>
      <c r="H95" s="625">
        <v>1</v>
      </c>
      <c r="I95" s="625">
        <v>10</v>
      </c>
      <c r="J95" s="623">
        <v>0.0776</v>
      </c>
      <c r="K95" s="623">
        <v>0.0091</v>
      </c>
      <c r="L95" s="623">
        <v>2</v>
      </c>
      <c r="M95" s="628">
        <f t="shared" si="2"/>
        <v>32.5542491611934</v>
      </c>
      <c r="N95" s="625"/>
      <c r="O95" s="628"/>
    </row>
    <row r="96" customHeight="1" spans="2:15">
      <c r="B96" s="626" t="s">
        <v>62</v>
      </c>
      <c r="D96" s="623">
        <v>10.2925</v>
      </c>
      <c r="E96" s="624">
        <v>250</v>
      </c>
      <c r="F96" s="625">
        <v>10</v>
      </c>
      <c r="G96" s="624">
        <v>100</v>
      </c>
      <c r="H96" s="625">
        <v>1</v>
      </c>
      <c r="I96" s="625">
        <v>10</v>
      </c>
      <c r="J96" s="623">
        <v>0.0625</v>
      </c>
      <c r="K96" s="623">
        <v>0.0091</v>
      </c>
      <c r="L96" s="623">
        <v>2</v>
      </c>
      <c r="M96" s="628">
        <f t="shared" si="2"/>
        <v>25.9412193344668</v>
      </c>
      <c r="N96" s="625">
        <f>AVERAGE(M96:M97)</f>
        <v>25.9277491967</v>
      </c>
      <c r="O96" s="628">
        <f>(M96-M97)/N96*100</f>
        <v>0.103905184091835</v>
      </c>
    </row>
    <row r="97" customHeight="1" spans="4:15">
      <c r="D97" s="623">
        <v>10.3032</v>
      </c>
      <c r="E97" s="624">
        <v>250</v>
      </c>
      <c r="F97" s="625">
        <v>10</v>
      </c>
      <c r="G97" s="624">
        <v>100</v>
      </c>
      <c r="H97" s="625">
        <v>1</v>
      </c>
      <c r="I97" s="625">
        <v>10</v>
      </c>
      <c r="J97" s="623">
        <v>0.0625</v>
      </c>
      <c r="K97" s="623">
        <v>0.0091</v>
      </c>
      <c r="L97" s="623">
        <v>2</v>
      </c>
      <c r="M97" s="628">
        <f t="shared" si="2"/>
        <v>25.9142790589331</v>
      </c>
      <c r="N97" s="625"/>
      <c r="O97" s="628"/>
    </row>
    <row r="98" customHeight="1" spans="2:15">
      <c r="B98" s="626" t="s">
        <v>63</v>
      </c>
      <c r="D98" s="623">
        <v>10.0669</v>
      </c>
      <c r="E98" s="624">
        <v>250</v>
      </c>
      <c r="F98" s="625">
        <v>10</v>
      </c>
      <c r="G98" s="624">
        <v>100</v>
      </c>
      <c r="H98" s="625">
        <v>1</v>
      </c>
      <c r="I98" s="625">
        <v>10</v>
      </c>
      <c r="J98" s="623">
        <v>0.0591</v>
      </c>
      <c r="K98" s="623">
        <v>0.0091</v>
      </c>
      <c r="L98" s="623">
        <v>2</v>
      </c>
      <c r="M98" s="628">
        <f t="shared" si="2"/>
        <v>24.8338614667872</v>
      </c>
      <c r="N98" s="625">
        <f>AVERAGE(M98:M99)</f>
        <v>24.844375293596</v>
      </c>
      <c r="O98" s="628">
        <f>(M98-M99)/N98*100</f>
        <v>-0.0846374818008015</v>
      </c>
    </row>
    <row r="99" customHeight="1" spans="4:15">
      <c r="D99" s="623">
        <v>10.0785</v>
      </c>
      <c r="E99" s="624">
        <v>250</v>
      </c>
      <c r="F99" s="625">
        <v>10</v>
      </c>
      <c r="G99" s="624">
        <v>100</v>
      </c>
      <c r="H99" s="625">
        <v>1</v>
      </c>
      <c r="I99" s="625">
        <v>10</v>
      </c>
      <c r="J99" s="623">
        <v>0.0592</v>
      </c>
      <c r="K99" s="623">
        <v>0.0091</v>
      </c>
      <c r="L99" s="623">
        <v>2</v>
      </c>
      <c r="M99" s="628">
        <f t="shared" si="2"/>
        <v>24.8548891204048</v>
      </c>
      <c r="N99" s="625"/>
      <c r="O99" s="628"/>
    </row>
    <row r="100" customHeight="1" spans="2:15">
      <c r="B100" s="626" t="s">
        <v>64</v>
      </c>
      <c r="D100" s="623">
        <v>10.0395</v>
      </c>
      <c r="E100" s="624">
        <v>250</v>
      </c>
      <c r="F100" s="625">
        <v>10</v>
      </c>
      <c r="G100" s="624">
        <v>100</v>
      </c>
      <c r="H100" s="625">
        <v>1</v>
      </c>
      <c r="I100" s="625">
        <v>10</v>
      </c>
      <c r="J100" s="623">
        <v>0.0634</v>
      </c>
      <c r="K100" s="623">
        <v>0.0091</v>
      </c>
      <c r="L100" s="623">
        <v>2</v>
      </c>
      <c r="M100" s="628">
        <f t="shared" si="2"/>
        <v>27.0431794412072</v>
      </c>
      <c r="N100" s="625">
        <f>AVERAGE(M100:M101)</f>
        <v>27.0355068153354</v>
      </c>
      <c r="O100" s="628">
        <f>(M100-M101)/N100*100</f>
        <v>0.056759622996597</v>
      </c>
    </row>
    <row r="101" customHeight="1" spans="4:15">
      <c r="D101" s="623">
        <v>10.0452</v>
      </c>
      <c r="E101" s="624">
        <v>250</v>
      </c>
      <c r="F101" s="625">
        <v>10</v>
      </c>
      <c r="G101" s="624">
        <v>100</v>
      </c>
      <c r="H101" s="625">
        <v>1</v>
      </c>
      <c r="I101" s="625">
        <v>10</v>
      </c>
      <c r="J101" s="623">
        <v>0.0634</v>
      </c>
      <c r="K101" s="623">
        <v>0.0091</v>
      </c>
      <c r="L101" s="623">
        <v>2</v>
      </c>
      <c r="M101" s="628">
        <f t="shared" si="2"/>
        <v>27.0278341894636</v>
      </c>
      <c r="N101" s="625"/>
      <c r="O101" s="628"/>
    </row>
    <row r="102" customHeight="1" spans="2:15">
      <c r="B102" s="626" t="s">
        <v>65</v>
      </c>
      <c r="D102" s="623">
        <v>10.4899</v>
      </c>
      <c r="E102" s="624">
        <v>250</v>
      </c>
      <c r="F102" s="625">
        <v>10</v>
      </c>
      <c r="G102" s="624">
        <v>100</v>
      </c>
      <c r="H102" s="625">
        <v>1</v>
      </c>
      <c r="I102" s="625">
        <v>10</v>
      </c>
      <c r="J102" s="623">
        <v>0.0806</v>
      </c>
      <c r="K102" s="623">
        <v>0.0091</v>
      </c>
      <c r="L102" s="623">
        <v>2</v>
      </c>
      <c r="M102" s="628">
        <f t="shared" si="2"/>
        <v>34.0804011477707</v>
      </c>
      <c r="N102" s="625">
        <f>AVERAGE(M102:M103)</f>
        <v>34.0588234697647</v>
      </c>
      <c r="O102" s="628">
        <f>(M102-M103)/N102*100</f>
        <v>0.126708299393602</v>
      </c>
    </row>
    <row r="103" customHeight="1" spans="4:15">
      <c r="D103" s="623">
        <v>10.5032</v>
      </c>
      <c r="E103" s="624">
        <v>250</v>
      </c>
      <c r="F103" s="625">
        <v>10</v>
      </c>
      <c r="G103" s="624">
        <v>100</v>
      </c>
      <c r="H103" s="625">
        <v>1</v>
      </c>
      <c r="I103" s="625">
        <v>10</v>
      </c>
      <c r="J103" s="623">
        <v>0.0806</v>
      </c>
      <c r="K103" s="623">
        <v>0.0091</v>
      </c>
      <c r="L103" s="623">
        <v>2</v>
      </c>
      <c r="M103" s="628">
        <f t="shared" si="2"/>
        <v>34.0372457917587</v>
      </c>
      <c r="N103" s="625"/>
      <c r="O103" s="628"/>
    </row>
    <row r="104" customHeight="1" spans="2:15">
      <c r="B104" s="626" t="s">
        <v>66</v>
      </c>
      <c r="D104" s="623">
        <v>10.0763</v>
      </c>
      <c r="E104" s="624">
        <v>250</v>
      </c>
      <c r="F104" s="625">
        <v>10</v>
      </c>
      <c r="G104" s="624">
        <v>100</v>
      </c>
      <c r="H104" s="625">
        <v>1</v>
      </c>
      <c r="I104" s="625">
        <v>10</v>
      </c>
      <c r="J104" s="623">
        <v>0.069</v>
      </c>
      <c r="K104" s="623">
        <v>0.0091</v>
      </c>
      <c r="L104" s="623">
        <v>2</v>
      </c>
      <c r="M104" s="628">
        <f t="shared" si="2"/>
        <v>29.7232118932545</v>
      </c>
      <c r="N104" s="625">
        <f>AVERAGE(M104:M105)</f>
        <v>29.7037685909605</v>
      </c>
      <c r="O104" s="628">
        <f>(M104-M105)/N104*100</f>
        <v>0.130914716996089</v>
      </c>
    </row>
    <row r="105" customHeight="1" spans="4:15">
      <c r="D105" s="623">
        <v>10.0895</v>
      </c>
      <c r="E105" s="624">
        <v>250</v>
      </c>
      <c r="F105" s="625">
        <v>10</v>
      </c>
      <c r="G105" s="624">
        <v>100</v>
      </c>
      <c r="H105" s="625">
        <v>1</v>
      </c>
      <c r="I105" s="625">
        <v>10</v>
      </c>
      <c r="J105" s="623">
        <v>0.069</v>
      </c>
      <c r="K105" s="623">
        <v>0.0091</v>
      </c>
      <c r="L105" s="623">
        <v>2</v>
      </c>
      <c r="M105" s="628">
        <f t="shared" si="2"/>
        <v>29.6843252886664</v>
      </c>
      <c r="N105" s="625"/>
      <c r="O105" s="628"/>
    </row>
    <row r="106" customHeight="1" spans="1:15">
      <c r="A106" s="623">
        <v>10.17</v>
      </c>
      <c r="B106" s="626" t="s">
        <v>67</v>
      </c>
      <c r="D106" s="623">
        <v>10.6887</v>
      </c>
      <c r="E106" s="624">
        <v>250</v>
      </c>
      <c r="F106" s="625">
        <v>10</v>
      </c>
      <c r="G106" s="624">
        <v>100</v>
      </c>
      <c r="H106" s="625">
        <v>1</v>
      </c>
      <c r="I106" s="625">
        <v>10</v>
      </c>
      <c r="J106" s="623">
        <v>0.0802</v>
      </c>
      <c r="K106" s="623">
        <v>0.0091</v>
      </c>
      <c r="L106" s="623">
        <v>2</v>
      </c>
      <c r="M106" s="628">
        <f t="shared" si="2"/>
        <v>33.2594235033259</v>
      </c>
      <c r="N106" s="625">
        <f>AVERAGE(M106:M107)</f>
        <v>33.2524252518313</v>
      </c>
      <c r="O106" s="628">
        <f>(M106-M107)/N106*100</f>
        <v>0.0420916756695854</v>
      </c>
    </row>
    <row r="107" customHeight="1" spans="4:15">
      <c r="D107" s="623">
        <v>10.6932</v>
      </c>
      <c r="E107" s="624">
        <v>250</v>
      </c>
      <c r="F107" s="625">
        <v>10</v>
      </c>
      <c r="G107" s="624">
        <v>100</v>
      </c>
      <c r="H107" s="625">
        <v>1</v>
      </c>
      <c r="I107" s="625">
        <v>10</v>
      </c>
      <c r="J107" s="623">
        <v>0.0802</v>
      </c>
      <c r="K107" s="623">
        <v>0.0091</v>
      </c>
      <c r="L107" s="623">
        <v>2</v>
      </c>
      <c r="M107" s="628">
        <f t="shared" si="2"/>
        <v>33.2454270003367</v>
      </c>
      <c r="N107" s="625"/>
      <c r="O107" s="628"/>
    </row>
    <row r="108" customHeight="1" spans="2:15">
      <c r="B108" s="626" t="s">
        <v>68</v>
      </c>
      <c r="D108" s="623">
        <v>10.3144</v>
      </c>
      <c r="E108" s="624">
        <v>250</v>
      </c>
      <c r="F108" s="625">
        <v>10</v>
      </c>
      <c r="G108" s="624">
        <v>100</v>
      </c>
      <c r="H108" s="625">
        <v>1</v>
      </c>
      <c r="I108" s="625">
        <v>10</v>
      </c>
      <c r="J108" s="623">
        <v>0.0748</v>
      </c>
      <c r="K108" s="623">
        <v>0.0091</v>
      </c>
      <c r="L108" s="623">
        <v>2</v>
      </c>
      <c r="M108" s="628">
        <f t="shared" si="2"/>
        <v>31.8486775769798</v>
      </c>
      <c r="N108" s="625">
        <f>AVERAGE(M108:M109)</f>
        <v>31.8340240818383</v>
      </c>
      <c r="O108" s="628">
        <f>(M108-M109)/N108*100</f>
        <v>0.0920618461792037</v>
      </c>
    </row>
    <row r="109" customHeight="1" spans="4:15">
      <c r="D109" s="623">
        <v>10.3239</v>
      </c>
      <c r="E109" s="624">
        <v>250</v>
      </c>
      <c r="F109" s="625">
        <v>10</v>
      </c>
      <c r="G109" s="624">
        <v>100</v>
      </c>
      <c r="H109" s="625">
        <v>1</v>
      </c>
      <c r="I109" s="625">
        <v>10</v>
      </c>
      <c r="J109" s="623">
        <v>0.0748</v>
      </c>
      <c r="K109" s="623">
        <v>0.0091</v>
      </c>
      <c r="L109" s="623">
        <v>2</v>
      </c>
      <c r="M109" s="628">
        <f t="shared" si="2"/>
        <v>31.8193705866969</v>
      </c>
      <c r="N109" s="625"/>
      <c r="O109" s="628"/>
    </row>
    <row r="110" customHeight="1" spans="2:15">
      <c r="B110" s="626" t="s">
        <v>69</v>
      </c>
      <c r="D110" s="623">
        <v>10.1079</v>
      </c>
      <c r="E110" s="624">
        <v>250</v>
      </c>
      <c r="F110" s="625">
        <v>10</v>
      </c>
      <c r="G110" s="624">
        <v>100</v>
      </c>
      <c r="H110" s="625">
        <v>1</v>
      </c>
      <c r="I110" s="625">
        <v>10</v>
      </c>
      <c r="J110" s="623">
        <v>0.0727</v>
      </c>
      <c r="K110" s="623">
        <v>0.0091</v>
      </c>
      <c r="L110" s="623">
        <v>2</v>
      </c>
      <c r="M110" s="628">
        <f t="shared" si="2"/>
        <v>31.4605407651441</v>
      </c>
      <c r="N110" s="625">
        <f>AVERAGE(M110:M111)</f>
        <v>31.4522970408009</v>
      </c>
      <c r="O110" s="628">
        <f>(M110-M111)/N110*100</f>
        <v>0.0524204914668392</v>
      </c>
    </row>
    <row r="111" customHeight="1" spans="4:15">
      <c r="D111" s="623">
        <v>10.1132</v>
      </c>
      <c r="E111" s="624">
        <v>250</v>
      </c>
      <c r="F111" s="625">
        <v>10</v>
      </c>
      <c r="G111" s="624">
        <v>100</v>
      </c>
      <c r="H111" s="625">
        <v>1</v>
      </c>
      <c r="I111" s="625">
        <v>10</v>
      </c>
      <c r="J111" s="623">
        <v>0.0727</v>
      </c>
      <c r="K111" s="623">
        <v>0.0091</v>
      </c>
      <c r="L111" s="623">
        <v>2</v>
      </c>
      <c r="M111" s="628">
        <f t="shared" si="2"/>
        <v>31.4440533164577</v>
      </c>
      <c r="N111" s="625"/>
      <c r="O111" s="628"/>
    </row>
    <row r="112" customHeight="1" spans="2:15">
      <c r="B112" s="626" t="s">
        <v>70</v>
      </c>
      <c r="D112" s="623">
        <v>10.345</v>
      </c>
      <c r="E112" s="624">
        <v>250</v>
      </c>
      <c r="F112" s="625">
        <v>10</v>
      </c>
      <c r="G112" s="624">
        <v>100</v>
      </c>
      <c r="H112" s="625">
        <v>1</v>
      </c>
      <c r="I112" s="625">
        <v>10</v>
      </c>
      <c r="J112" s="623">
        <v>0.0634</v>
      </c>
      <c r="K112" s="623">
        <v>0.0091</v>
      </c>
      <c r="L112" s="623">
        <v>2</v>
      </c>
      <c r="M112" s="628">
        <f t="shared" si="2"/>
        <v>26.2445625906235</v>
      </c>
      <c r="N112" s="625">
        <f>AVERAGE(M112:M113)</f>
        <v>26.2349293257582</v>
      </c>
      <c r="O112" s="628">
        <f>(M112-M113)/N112*100</f>
        <v>0.0734384662955898</v>
      </c>
    </row>
    <row r="113" customHeight="1" spans="4:15">
      <c r="D113" s="623">
        <v>10.3526</v>
      </c>
      <c r="E113" s="624">
        <v>250</v>
      </c>
      <c r="F113" s="625">
        <v>10</v>
      </c>
      <c r="G113" s="624">
        <v>100</v>
      </c>
      <c r="H113" s="625">
        <v>1</v>
      </c>
      <c r="I113" s="625">
        <v>10</v>
      </c>
      <c r="J113" s="623">
        <v>0.0634</v>
      </c>
      <c r="K113" s="623">
        <v>0.0091</v>
      </c>
      <c r="L113" s="623">
        <v>2</v>
      </c>
      <c r="M113" s="628">
        <f t="shared" si="2"/>
        <v>26.2252960608929</v>
      </c>
      <c r="N113" s="625"/>
      <c r="O113" s="628"/>
    </row>
    <row r="114" customHeight="1" spans="2:15">
      <c r="B114" s="626" t="s">
        <v>71</v>
      </c>
      <c r="D114" s="623">
        <v>10.4583</v>
      </c>
      <c r="E114" s="624">
        <v>250</v>
      </c>
      <c r="F114" s="625">
        <v>10</v>
      </c>
      <c r="G114" s="624">
        <v>100</v>
      </c>
      <c r="H114" s="625">
        <v>1</v>
      </c>
      <c r="I114" s="625">
        <v>10</v>
      </c>
      <c r="J114" s="623">
        <v>0.0609</v>
      </c>
      <c r="K114" s="623">
        <v>0.0091</v>
      </c>
      <c r="L114" s="623">
        <v>2</v>
      </c>
      <c r="M114" s="628">
        <f t="shared" si="2"/>
        <v>24.7650191713758</v>
      </c>
      <c r="N114" s="625">
        <f>AVERAGE(M114:M115)</f>
        <v>24.752127130486</v>
      </c>
      <c r="O114" s="628">
        <f>(M114-M115)/N114*100</f>
        <v>0.104169155417532</v>
      </c>
    </row>
    <row r="115" customHeight="1" spans="4:15">
      <c r="D115" s="623">
        <v>10.4692</v>
      </c>
      <c r="E115" s="624">
        <v>250</v>
      </c>
      <c r="F115" s="625">
        <v>10</v>
      </c>
      <c r="G115" s="624">
        <v>100</v>
      </c>
      <c r="H115" s="625">
        <v>1</v>
      </c>
      <c r="I115" s="625">
        <v>10</v>
      </c>
      <c r="J115" s="623">
        <v>0.0609</v>
      </c>
      <c r="K115" s="623">
        <v>0.0091</v>
      </c>
      <c r="L115" s="623">
        <v>2</v>
      </c>
      <c r="M115" s="628">
        <f t="shared" si="2"/>
        <v>24.7392350895961</v>
      </c>
      <c r="N115" s="625"/>
      <c r="O115" s="628"/>
    </row>
    <row r="116" customHeight="1" spans="2:15">
      <c r="B116" s="626" t="s">
        <v>72</v>
      </c>
      <c r="D116" s="623">
        <v>10.1718</v>
      </c>
      <c r="E116" s="624">
        <v>250</v>
      </c>
      <c r="F116" s="625">
        <v>10</v>
      </c>
      <c r="G116" s="624">
        <v>100</v>
      </c>
      <c r="H116" s="625">
        <v>1</v>
      </c>
      <c r="I116" s="625">
        <v>10</v>
      </c>
      <c r="J116" s="623">
        <v>0.0613</v>
      </c>
      <c r="K116" s="623">
        <v>0.0091</v>
      </c>
      <c r="L116" s="623">
        <v>2</v>
      </c>
      <c r="M116" s="628">
        <f t="shared" si="2"/>
        <v>25.6591753671917</v>
      </c>
      <c r="N116" s="625">
        <f>AVERAGE(M116:M117)</f>
        <v>25.6363865726919</v>
      </c>
      <c r="O116" s="628">
        <f>(M116-M117)/N116*100</f>
        <v>0.17778476256896</v>
      </c>
    </row>
    <row r="117" customHeight="1" spans="4:15">
      <c r="D117" s="623">
        <v>10.1899</v>
      </c>
      <c r="E117" s="624">
        <v>250</v>
      </c>
      <c r="F117" s="625">
        <v>10</v>
      </c>
      <c r="G117" s="624">
        <v>100</v>
      </c>
      <c r="H117" s="625">
        <v>1</v>
      </c>
      <c r="I117" s="625">
        <v>10</v>
      </c>
      <c r="J117" s="623">
        <v>0.0613</v>
      </c>
      <c r="K117" s="623">
        <v>0.0091</v>
      </c>
      <c r="L117" s="623">
        <v>2</v>
      </c>
      <c r="M117" s="628">
        <f t="shared" si="2"/>
        <v>25.6135977781921</v>
      </c>
      <c r="N117" s="625"/>
      <c r="O117" s="628"/>
    </row>
    <row r="118" customHeight="1" spans="2:15">
      <c r="B118" s="626" t="s">
        <v>73</v>
      </c>
      <c r="D118" s="623">
        <v>10.1639</v>
      </c>
      <c r="E118" s="624">
        <v>250</v>
      </c>
      <c r="F118" s="625">
        <v>10</v>
      </c>
      <c r="G118" s="624">
        <v>100</v>
      </c>
      <c r="H118" s="625">
        <v>1</v>
      </c>
      <c r="I118" s="625">
        <v>10</v>
      </c>
      <c r="J118" s="623">
        <v>0.0654</v>
      </c>
      <c r="K118" s="623">
        <v>0.0091</v>
      </c>
      <c r="L118" s="623">
        <v>2</v>
      </c>
      <c r="M118" s="628">
        <f t="shared" si="2"/>
        <v>27.6960615511762</v>
      </c>
      <c r="N118" s="625">
        <f>AVERAGE(M118:M119)</f>
        <v>27.7129768426718</v>
      </c>
      <c r="O118" s="628">
        <f>(M118-M119)/N118*100</f>
        <v>-0.122074879155704</v>
      </c>
    </row>
    <row r="119" customHeight="1" spans="4:15">
      <c r="D119" s="623">
        <v>10.1515</v>
      </c>
      <c r="E119" s="624">
        <v>250</v>
      </c>
      <c r="F119" s="625">
        <v>10</v>
      </c>
      <c r="G119" s="624">
        <v>100</v>
      </c>
      <c r="H119" s="625">
        <v>1</v>
      </c>
      <c r="I119" s="625">
        <v>10</v>
      </c>
      <c r="J119" s="623">
        <v>0.0654</v>
      </c>
      <c r="K119" s="623">
        <v>0.0091</v>
      </c>
      <c r="L119" s="623">
        <v>2</v>
      </c>
      <c r="M119" s="628">
        <f t="shared" si="2"/>
        <v>27.7298921341674</v>
      </c>
      <c r="N119" s="625"/>
      <c r="O119" s="628"/>
    </row>
    <row r="120" customHeight="1" spans="2:15">
      <c r="B120" s="626" t="s">
        <v>74</v>
      </c>
      <c r="D120" s="623">
        <v>10.1404</v>
      </c>
      <c r="E120" s="624">
        <v>250</v>
      </c>
      <c r="F120" s="625">
        <v>10</v>
      </c>
      <c r="G120" s="624">
        <v>100</v>
      </c>
      <c r="H120" s="625">
        <v>1</v>
      </c>
      <c r="I120" s="625">
        <v>10</v>
      </c>
      <c r="J120" s="623">
        <v>0.0713</v>
      </c>
      <c r="K120" s="623">
        <v>0.0091</v>
      </c>
      <c r="L120" s="623">
        <v>2</v>
      </c>
      <c r="M120" s="628">
        <f t="shared" si="2"/>
        <v>30.6694016015147</v>
      </c>
      <c r="N120" s="625">
        <f>AVERAGE(M120:M121)</f>
        <v>30.6500693545138</v>
      </c>
      <c r="O120" s="628">
        <f>(M120-M121)/N120*100</f>
        <v>0.126148145228068</v>
      </c>
    </row>
    <row r="121" customHeight="1" spans="4:15">
      <c r="D121" s="623">
        <v>10.1532</v>
      </c>
      <c r="E121" s="624">
        <v>250</v>
      </c>
      <c r="F121" s="625">
        <v>10</v>
      </c>
      <c r="G121" s="624">
        <v>100</v>
      </c>
      <c r="H121" s="625">
        <v>1</v>
      </c>
      <c r="I121" s="625">
        <v>10</v>
      </c>
      <c r="J121" s="623">
        <v>0.0713</v>
      </c>
      <c r="K121" s="623">
        <v>0.0091</v>
      </c>
      <c r="L121" s="623">
        <v>2</v>
      </c>
      <c r="M121" s="628">
        <f t="shared" si="2"/>
        <v>30.6307371075129</v>
      </c>
      <c r="N121" s="625"/>
      <c r="O121" s="628"/>
    </row>
    <row r="122" customHeight="1" spans="2:15">
      <c r="B122" s="626" t="s">
        <v>75</v>
      </c>
      <c r="D122" s="623">
        <v>10.4108</v>
      </c>
      <c r="E122" s="624">
        <v>250</v>
      </c>
      <c r="F122" s="625">
        <v>10</v>
      </c>
      <c r="G122" s="624">
        <v>100</v>
      </c>
      <c r="H122" s="625">
        <v>1</v>
      </c>
      <c r="I122" s="625">
        <v>10</v>
      </c>
      <c r="J122" s="623">
        <v>0.0652</v>
      </c>
      <c r="K122" s="623">
        <v>0.0091</v>
      </c>
      <c r="L122" s="623">
        <v>2</v>
      </c>
      <c r="M122" s="628">
        <f t="shared" si="2"/>
        <v>26.9431743958197</v>
      </c>
      <c r="N122" s="625">
        <f>AVERAGE(M122:M123)</f>
        <v>26.9258570699384</v>
      </c>
      <c r="O122" s="628">
        <f>(M122-M123)/N122*100</f>
        <v>0.128629709623226</v>
      </c>
    </row>
    <row r="123" customHeight="1" spans="4:15">
      <c r="D123" s="623">
        <v>10.4242</v>
      </c>
      <c r="E123" s="624">
        <v>250</v>
      </c>
      <c r="F123" s="625">
        <v>10</v>
      </c>
      <c r="G123" s="624">
        <v>100</v>
      </c>
      <c r="H123" s="625">
        <v>1</v>
      </c>
      <c r="I123" s="625">
        <v>10</v>
      </c>
      <c r="J123" s="623">
        <v>0.0652</v>
      </c>
      <c r="K123" s="623">
        <v>0.0091</v>
      </c>
      <c r="L123" s="623">
        <v>2</v>
      </c>
      <c r="M123" s="628">
        <f t="shared" si="2"/>
        <v>26.9085397440571</v>
      </c>
      <c r="N123" s="625"/>
      <c r="O123" s="628"/>
    </row>
    <row r="124" customHeight="1" spans="2:15">
      <c r="B124" s="626" t="s">
        <v>76</v>
      </c>
      <c r="D124" s="623">
        <v>10.348</v>
      </c>
      <c r="E124" s="624">
        <v>250</v>
      </c>
      <c r="F124" s="625">
        <v>10</v>
      </c>
      <c r="G124" s="624">
        <v>100</v>
      </c>
      <c r="H124" s="625">
        <v>1</v>
      </c>
      <c r="I124" s="625">
        <v>10</v>
      </c>
      <c r="J124" s="623">
        <v>0.0666</v>
      </c>
      <c r="K124" s="623">
        <v>0.0091</v>
      </c>
      <c r="L124" s="623">
        <v>2</v>
      </c>
      <c r="M124" s="628">
        <f t="shared" si="2"/>
        <v>27.7831465017395</v>
      </c>
      <c r="N124" s="625">
        <f>AVERAGE(M124:M125)</f>
        <v>27.7797912113547</v>
      </c>
      <c r="O124" s="628">
        <f>(M124-M125)/N124*100</f>
        <v>0.0241563398313866</v>
      </c>
    </row>
    <row r="125" customHeight="1" spans="4:15">
      <c r="D125" s="623">
        <v>10.3505</v>
      </c>
      <c r="E125" s="624">
        <v>250</v>
      </c>
      <c r="F125" s="625">
        <v>10</v>
      </c>
      <c r="G125" s="624">
        <v>100</v>
      </c>
      <c r="H125" s="625">
        <v>1</v>
      </c>
      <c r="I125" s="625">
        <v>10</v>
      </c>
      <c r="J125" s="623">
        <v>0.0666</v>
      </c>
      <c r="K125" s="623">
        <v>0.0091</v>
      </c>
      <c r="L125" s="623">
        <v>2</v>
      </c>
      <c r="M125" s="628">
        <f t="shared" si="2"/>
        <v>27.77643592097</v>
      </c>
      <c r="N125" s="625"/>
      <c r="O125" s="628"/>
    </row>
    <row r="126" customHeight="1" spans="2:15">
      <c r="B126" s="626" t="s">
        <v>77</v>
      </c>
      <c r="D126" s="623">
        <v>10.2187</v>
      </c>
      <c r="E126" s="624">
        <v>250</v>
      </c>
      <c r="F126" s="625">
        <v>10</v>
      </c>
      <c r="G126" s="624">
        <v>100</v>
      </c>
      <c r="H126" s="625">
        <v>1</v>
      </c>
      <c r="I126" s="625">
        <v>10</v>
      </c>
      <c r="J126" s="623">
        <v>0.0773</v>
      </c>
      <c r="K126" s="623">
        <v>0.0091</v>
      </c>
      <c r="L126" s="623">
        <v>2</v>
      </c>
      <c r="M126" s="628">
        <f t="shared" si="2"/>
        <v>33.3701938602758</v>
      </c>
      <c r="N126" s="625">
        <f>AVERAGE(M126:M127)</f>
        <v>33.3617076168621</v>
      </c>
      <c r="O126" s="628">
        <f>(M126-M127)/N126*100</f>
        <v>0.0508741549509281</v>
      </c>
    </row>
    <row r="127" customHeight="1" spans="4:15">
      <c r="D127" s="623">
        <v>10.2239</v>
      </c>
      <c r="E127" s="624">
        <v>250</v>
      </c>
      <c r="F127" s="625">
        <v>10</v>
      </c>
      <c r="G127" s="624">
        <v>100</v>
      </c>
      <c r="H127" s="625">
        <v>1</v>
      </c>
      <c r="I127" s="625">
        <v>10</v>
      </c>
      <c r="J127" s="623">
        <v>0.0773</v>
      </c>
      <c r="K127" s="623">
        <v>0.0091</v>
      </c>
      <c r="L127" s="623">
        <v>2</v>
      </c>
      <c r="M127" s="628">
        <f t="shared" si="2"/>
        <v>33.3532213734485</v>
      </c>
      <c r="N127" s="625"/>
      <c r="O127" s="628"/>
    </row>
    <row r="128" customHeight="1" spans="2:15">
      <c r="B128" s="626" t="s">
        <v>78</v>
      </c>
      <c r="D128" s="623">
        <v>10.0941</v>
      </c>
      <c r="E128" s="624">
        <v>250</v>
      </c>
      <c r="F128" s="625">
        <v>10</v>
      </c>
      <c r="G128" s="624">
        <v>100</v>
      </c>
      <c r="H128" s="625">
        <v>1</v>
      </c>
      <c r="I128" s="625">
        <v>10</v>
      </c>
      <c r="J128" s="623">
        <v>0.0498</v>
      </c>
      <c r="K128" s="623">
        <v>0.0091</v>
      </c>
      <c r="L128" s="623">
        <v>2</v>
      </c>
      <c r="M128" s="628">
        <f t="shared" si="2"/>
        <v>20.1602916555215</v>
      </c>
      <c r="N128" s="625">
        <f>AVERAGE(M128:M129)</f>
        <v>20.1789557523167</v>
      </c>
      <c r="O128" s="628">
        <f>(M128-M129)/N128*100</f>
        <v>-0.184985754706721</v>
      </c>
    </row>
    <row r="129" customHeight="1" spans="4:15">
      <c r="D129" s="623">
        <v>10.1002</v>
      </c>
      <c r="E129" s="624">
        <v>250</v>
      </c>
      <c r="F129" s="625">
        <v>10</v>
      </c>
      <c r="G129" s="624">
        <v>100</v>
      </c>
      <c r="H129" s="625">
        <v>1</v>
      </c>
      <c r="I129" s="625">
        <v>10</v>
      </c>
      <c r="J129" s="623">
        <v>0.0499</v>
      </c>
      <c r="K129" s="623">
        <v>0.0091</v>
      </c>
      <c r="L129" s="623">
        <v>2</v>
      </c>
      <c r="M129" s="628">
        <f t="shared" si="2"/>
        <v>20.1976198491119</v>
      </c>
      <c r="N129" s="625"/>
      <c r="O129" s="628"/>
    </row>
    <row r="130" customHeight="1" spans="2:15">
      <c r="B130" s="626" t="s">
        <v>79</v>
      </c>
      <c r="D130" s="623">
        <v>10.2092</v>
      </c>
      <c r="E130" s="624">
        <v>250</v>
      </c>
      <c r="F130" s="625">
        <v>10</v>
      </c>
      <c r="G130" s="624">
        <v>100</v>
      </c>
      <c r="H130" s="625">
        <v>1</v>
      </c>
      <c r="I130" s="625">
        <v>10</v>
      </c>
      <c r="J130" s="623">
        <v>0.064</v>
      </c>
      <c r="K130" s="623">
        <v>0.0091</v>
      </c>
      <c r="L130" s="623">
        <v>2</v>
      </c>
      <c r="M130" s="628">
        <f t="shared" si="2"/>
        <v>26.8875132233672</v>
      </c>
      <c r="N130" s="625">
        <f>AVERAGE(M130:M131)</f>
        <v>26.8822479758006</v>
      </c>
      <c r="O130" s="628">
        <f>(M130-M131)/N130*100</f>
        <v>0.0391726731432215</v>
      </c>
    </row>
    <row r="131" customHeight="1" spans="4:15">
      <c r="D131" s="623">
        <v>10.2132</v>
      </c>
      <c r="E131" s="624">
        <v>250</v>
      </c>
      <c r="F131" s="625">
        <v>10</v>
      </c>
      <c r="G131" s="624">
        <v>100</v>
      </c>
      <c r="H131" s="625">
        <v>1</v>
      </c>
      <c r="I131" s="625">
        <v>10</v>
      </c>
      <c r="J131" s="623">
        <v>0.064</v>
      </c>
      <c r="K131" s="623">
        <v>0.0091</v>
      </c>
      <c r="L131" s="623">
        <v>2</v>
      </c>
      <c r="M131" s="628">
        <f t="shared" si="2"/>
        <v>26.8769827282341</v>
      </c>
      <c r="N131" s="625"/>
      <c r="O131" s="628"/>
    </row>
    <row r="132" customHeight="1" spans="2:15">
      <c r="B132" s="626" t="s">
        <v>80</v>
      </c>
      <c r="D132" s="623">
        <v>10.3541</v>
      </c>
      <c r="E132" s="624">
        <v>250</v>
      </c>
      <c r="F132" s="625">
        <v>10</v>
      </c>
      <c r="G132" s="624">
        <v>100</v>
      </c>
      <c r="H132" s="625">
        <v>1</v>
      </c>
      <c r="I132" s="625">
        <v>10</v>
      </c>
      <c r="J132" s="623">
        <v>0.0575</v>
      </c>
      <c r="K132" s="623">
        <v>0.0091</v>
      </c>
      <c r="L132" s="623">
        <v>2</v>
      </c>
      <c r="M132" s="628">
        <f t="shared" si="2"/>
        <v>23.3723838865763</v>
      </c>
      <c r="N132" s="625">
        <f>AVERAGE(M132:M133)</f>
        <v>23.3979472547144</v>
      </c>
      <c r="O132" s="628">
        <f>(M132-M133)/N132*100</f>
        <v>-0.218509494527613</v>
      </c>
    </row>
    <row r="133" customHeight="1" spans="4:15">
      <c r="D133" s="623">
        <v>10.3315</v>
      </c>
      <c r="E133" s="624">
        <v>250</v>
      </c>
      <c r="F133" s="625">
        <v>10</v>
      </c>
      <c r="G133" s="624">
        <v>100</v>
      </c>
      <c r="H133" s="625">
        <v>1</v>
      </c>
      <c r="I133" s="625">
        <v>10</v>
      </c>
      <c r="J133" s="623">
        <v>0.0575</v>
      </c>
      <c r="K133" s="623">
        <v>0.0091</v>
      </c>
      <c r="L133" s="623">
        <v>2</v>
      </c>
      <c r="M133" s="628">
        <f t="shared" si="2"/>
        <v>23.4235106228524</v>
      </c>
      <c r="N133" s="625"/>
      <c r="O133" s="628"/>
    </row>
    <row r="134" customHeight="1" spans="1:15">
      <c r="A134" s="623">
        <v>10.23</v>
      </c>
      <c r="B134" s="626" t="s">
        <v>81</v>
      </c>
      <c r="D134" s="623">
        <v>10.2401</v>
      </c>
      <c r="E134" s="624">
        <v>250</v>
      </c>
      <c r="F134" s="625">
        <v>10</v>
      </c>
      <c r="G134" s="624">
        <v>100</v>
      </c>
      <c r="H134" s="625">
        <v>1</v>
      </c>
      <c r="I134" s="625">
        <v>10</v>
      </c>
      <c r="J134" s="623">
        <v>0.0221</v>
      </c>
      <c r="K134" s="623">
        <v>0.0091</v>
      </c>
      <c r="L134" s="623">
        <v>2</v>
      </c>
      <c r="M134" s="628">
        <f t="shared" si="2"/>
        <v>6.34759426177479</v>
      </c>
      <c r="N134" s="625">
        <f>AVERAGE(M134:M135)</f>
        <v>6.33869307884677</v>
      </c>
      <c r="O134" s="628">
        <f>(M134-M135)/N134*100</f>
        <v>0.280852308742511</v>
      </c>
    </row>
    <row r="135" customHeight="1" spans="4:15">
      <c r="D135" s="623">
        <v>10.2689</v>
      </c>
      <c r="E135" s="624">
        <v>250</v>
      </c>
      <c r="F135" s="625">
        <v>10</v>
      </c>
      <c r="G135" s="624">
        <v>100</v>
      </c>
      <c r="H135" s="625">
        <v>1</v>
      </c>
      <c r="I135" s="625">
        <v>10</v>
      </c>
      <c r="J135" s="623">
        <v>0.0221</v>
      </c>
      <c r="K135" s="623">
        <v>0.0091</v>
      </c>
      <c r="L135" s="623">
        <v>2</v>
      </c>
      <c r="M135" s="628">
        <f t="shared" si="2"/>
        <v>6.32979189591875</v>
      </c>
      <c r="N135" s="625"/>
      <c r="O135" s="628"/>
    </row>
    <row r="136" customHeight="1" spans="2:15">
      <c r="B136" s="626" t="s">
        <v>82</v>
      </c>
      <c r="D136" s="623">
        <v>10.4421</v>
      </c>
      <c r="E136" s="624">
        <v>250</v>
      </c>
      <c r="F136" s="625">
        <v>10</v>
      </c>
      <c r="G136" s="624">
        <v>100</v>
      </c>
      <c r="H136" s="625">
        <v>1</v>
      </c>
      <c r="I136" s="625">
        <v>10</v>
      </c>
      <c r="J136" s="623">
        <v>0.0209</v>
      </c>
      <c r="K136" s="623">
        <v>0.0091</v>
      </c>
      <c r="L136" s="623">
        <v>2</v>
      </c>
      <c r="M136" s="628">
        <f t="shared" si="2"/>
        <v>5.65020446078854</v>
      </c>
      <c r="N136" s="625">
        <f>AVERAGE(M136:M137)</f>
        <v>5.64415713029393</v>
      </c>
      <c r="O136" s="628">
        <f>(M136-M137)/N136*100</f>
        <v>0.214286397596919</v>
      </c>
    </row>
    <row r="137" customHeight="1" spans="4:15">
      <c r="D137" s="623">
        <v>10.4645</v>
      </c>
      <c r="E137" s="624">
        <v>250</v>
      </c>
      <c r="F137" s="625">
        <v>10</v>
      </c>
      <c r="G137" s="624">
        <v>100</v>
      </c>
      <c r="H137" s="625">
        <v>1</v>
      </c>
      <c r="I137" s="625">
        <v>10</v>
      </c>
      <c r="J137" s="623">
        <v>0.0209</v>
      </c>
      <c r="K137" s="623">
        <v>0.0091</v>
      </c>
      <c r="L137" s="623">
        <v>2</v>
      </c>
      <c r="M137" s="628">
        <f t="shared" si="2"/>
        <v>5.63810979979932</v>
      </c>
      <c r="N137" s="625"/>
      <c r="O137" s="628"/>
    </row>
    <row r="138" customHeight="1" spans="2:15">
      <c r="B138" s="626" t="s">
        <v>83</v>
      </c>
      <c r="D138" s="623">
        <v>10.1538</v>
      </c>
      <c r="E138" s="624">
        <v>250</v>
      </c>
      <c r="F138" s="625">
        <v>10</v>
      </c>
      <c r="G138" s="624">
        <v>100</v>
      </c>
      <c r="H138" s="625">
        <v>1</v>
      </c>
      <c r="I138" s="625">
        <v>10</v>
      </c>
      <c r="J138" s="623">
        <v>0.0234</v>
      </c>
      <c r="K138" s="623">
        <v>0.0091</v>
      </c>
      <c r="L138" s="623">
        <v>2</v>
      </c>
      <c r="M138" s="628">
        <f t="shared" ref="M138:M201" si="3">L138*(J138-K138)*E138*G138*I138/D138/F138/H138/1000*100</f>
        <v>7.04169867438791</v>
      </c>
      <c r="N138" s="625">
        <f>AVERAGE(M138:M139)</f>
        <v>7.04896073669459</v>
      </c>
      <c r="O138" s="628">
        <f>(M138-M139)/N138*100</f>
        <v>-0.206046325917981</v>
      </c>
    </row>
    <row r="139" customHeight="1" spans="4:15">
      <c r="D139" s="623">
        <v>10.1329</v>
      </c>
      <c r="E139" s="624">
        <v>250</v>
      </c>
      <c r="F139" s="625">
        <v>10</v>
      </c>
      <c r="G139" s="624">
        <v>100</v>
      </c>
      <c r="H139" s="625">
        <v>1</v>
      </c>
      <c r="I139" s="625">
        <v>10</v>
      </c>
      <c r="J139" s="623">
        <v>0.0234</v>
      </c>
      <c r="K139" s="623">
        <v>0.0091</v>
      </c>
      <c r="L139" s="623">
        <v>2</v>
      </c>
      <c r="M139" s="628">
        <f t="shared" si="3"/>
        <v>7.05622279900127</v>
      </c>
      <c r="N139" s="625"/>
      <c r="O139" s="628"/>
    </row>
    <row r="140" customHeight="1" spans="2:15">
      <c r="B140" s="626" t="s">
        <v>84</v>
      </c>
      <c r="D140" s="623">
        <v>10.0362</v>
      </c>
      <c r="E140" s="624">
        <v>250</v>
      </c>
      <c r="F140" s="625">
        <v>10</v>
      </c>
      <c r="G140" s="624">
        <v>100</v>
      </c>
      <c r="H140" s="625">
        <v>1</v>
      </c>
      <c r="I140" s="625">
        <v>10</v>
      </c>
      <c r="J140" s="623">
        <v>0.0247</v>
      </c>
      <c r="K140" s="623">
        <v>0.0091</v>
      </c>
      <c r="L140" s="623">
        <v>2</v>
      </c>
      <c r="M140" s="628">
        <f t="shared" si="3"/>
        <v>7.77186584563879</v>
      </c>
      <c r="N140" s="625">
        <f>AVERAGE(M140:M141)</f>
        <v>7.7649088731685</v>
      </c>
      <c r="O140" s="628">
        <f>(M140-M141)/N140*100</f>
        <v>0.179190060924617</v>
      </c>
    </row>
    <row r="141" customHeight="1" spans="4:15">
      <c r="D141" s="623">
        <v>10.0542</v>
      </c>
      <c r="E141" s="624">
        <v>250</v>
      </c>
      <c r="F141" s="625">
        <v>10</v>
      </c>
      <c r="G141" s="624">
        <v>100</v>
      </c>
      <c r="H141" s="625">
        <v>1</v>
      </c>
      <c r="I141" s="625">
        <v>10</v>
      </c>
      <c r="J141" s="623">
        <v>0.0247</v>
      </c>
      <c r="K141" s="623">
        <v>0.0091</v>
      </c>
      <c r="L141" s="623">
        <v>2</v>
      </c>
      <c r="M141" s="628">
        <f t="shared" si="3"/>
        <v>7.75795190069822</v>
      </c>
      <c r="N141" s="625"/>
      <c r="O141" s="628"/>
    </row>
    <row r="142" customHeight="1" spans="2:15">
      <c r="B142" s="626" t="s">
        <v>85</v>
      </c>
      <c r="D142" s="623">
        <v>10.0497</v>
      </c>
      <c r="E142" s="624">
        <v>250</v>
      </c>
      <c r="F142" s="625">
        <v>10</v>
      </c>
      <c r="G142" s="624">
        <v>100</v>
      </c>
      <c r="H142" s="625">
        <v>1</v>
      </c>
      <c r="I142" s="625">
        <v>10</v>
      </c>
      <c r="J142" s="623">
        <v>0.019</v>
      </c>
      <c r="K142" s="623">
        <v>0.0091</v>
      </c>
      <c r="L142" s="623">
        <v>2</v>
      </c>
      <c r="M142" s="628">
        <f t="shared" si="3"/>
        <v>4.92552016478104</v>
      </c>
      <c r="N142" s="625">
        <f>AVERAGE(M142:M143)</f>
        <v>4.92165432510077</v>
      </c>
      <c r="O142" s="628">
        <f>(M142-M143)/N142*100</f>
        <v>0.157095132039456</v>
      </c>
    </row>
    <row r="143" customHeight="1" spans="4:15">
      <c r="D143" s="623">
        <v>10.0655</v>
      </c>
      <c r="E143" s="624">
        <v>250</v>
      </c>
      <c r="F143" s="625">
        <v>10</v>
      </c>
      <c r="G143" s="624">
        <v>100</v>
      </c>
      <c r="H143" s="625">
        <v>1</v>
      </c>
      <c r="I143" s="625">
        <v>10</v>
      </c>
      <c r="J143" s="623">
        <v>0.019</v>
      </c>
      <c r="K143" s="623">
        <v>0.0091</v>
      </c>
      <c r="L143" s="623">
        <v>2</v>
      </c>
      <c r="M143" s="628">
        <f t="shared" si="3"/>
        <v>4.91778848542049</v>
      </c>
      <c r="N143" s="625"/>
      <c r="O143" s="628"/>
    </row>
    <row r="144" customHeight="1" spans="2:15">
      <c r="B144" s="626" t="s">
        <v>86</v>
      </c>
      <c r="D144" s="623">
        <v>10.403</v>
      </c>
      <c r="E144" s="624">
        <v>250</v>
      </c>
      <c r="F144" s="625">
        <v>10</v>
      </c>
      <c r="G144" s="624">
        <v>100</v>
      </c>
      <c r="H144" s="625">
        <v>1</v>
      </c>
      <c r="I144" s="625">
        <v>10</v>
      </c>
      <c r="J144" s="623">
        <v>0.0214</v>
      </c>
      <c r="K144" s="623">
        <v>0.0091</v>
      </c>
      <c r="L144" s="623">
        <v>2</v>
      </c>
      <c r="M144" s="628">
        <f t="shared" si="3"/>
        <v>5.91175622416611</v>
      </c>
      <c r="N144" s="625">
        <f>AVERAGE(M144:M145)</f>
        <v>5.90351089934545</v>
      </c>
      <c r="O144" s="628">
        <f>(M144-M145)/N144*100</f>
        <v>0.279336312280739</v>
      </c>
    </row>
    <row r="145" customHeight="1" spans="4:15">
      <c r="D145" s="623">
        <v>10.4321</v>
      </c>
      <c r="E145" s="624">
        <v>250</v>
      </c>
      <c r="F145" s="625">
        <v>10</v>
      </c>
      <c r="G145" s="624">
        <v>100</v>
      </c>
      <c r="H145" s="625">
        <v>1</v>
      </c>
      <c r="I145" s="625">
        <v>10</v>
      </c>
      <c r="J145" s="623">
        <v>0.0214</v>
      </c>
      <c r="K145" s="623">
        <v>0.0091</v>
      </c>
      <c r="L145" s="623">
        <v>2</v>
      </c>
      <c r="M145" s="628">
        <f t="shared" si="3"/>
        <v>5.89526557452478</v>
      </c>
      <c r="N145" s="625"/>
      <c r="O145" s="628"/>
    </row>
    <row r="146" customHeight="1" spans="1:15">
      <c r="A146" s="623">
        <v>11.5</v>
      </c>
      <c r="B146" s="623" t="s">
        <v>87</v>
      </c>
      <c r="D146" s="623">
        <v>10.2386</v>
      </c>
      <c r="E146" s="624">
        <v>250</v>
      </c>
      <c r="F146" s="625">
        <v>10</v>
      </c>
      <c r="G146" s="624">
        <v>100</v>
      </c>
      <c r="H146" s="625">
        <v>1</v>
      </c>
      <c r="I146" s="625">
        <v>10</v>
      </c>
      <c r="J146" s="623">
        <v>0.0185</v>
      </c>
      <c r="K146" s="623">
        <v>0.0091</v>
      </c>
      <c r="L146" s="623">
        <v>2</v>
      </c>
      <c r="M146" s="628">
        <f t="shared" si="3"/>
        <v>4.59047135350536</v>
      </c>
      <c r="N146" s="625">
        <f>AVERAGE(M146:M147)</f>
        <v>4.58735954897897</v>
      </c>
      <c r="O146" s="628">
        <f>(M146-M147)/N146*100</f>
        <v>0.135668656148267</v>
      </c>
    </row>
    <row r="147" customHeight="1" spans="4:15">
      <c r="D147" s="623">
        <v>10.2525</v>
      </c>
      <c r="E147" s="624">
        <v>250</v>
      </c>
      <c r="F147" s="625">
        <v>10</v>
      </c>
      <c r="G147" s="624">
        <v>100</v>
      </c>
      <c r="H147" s="625">
        <v>1</v>
      </c>
      <c r="I147" s="625">
        <v>10</v>
      </c>
      <c r="J147" s="623">
        <v>0.0185</v>
      </c>
      <c r="K147" s="623">
        <v>0.0091</v>
      </c>
      <c r="L147" s="623">
        <v>2</v>
      </c>
      <c r="M147" s="628">
        <f t="shared" si="3"/>
        <v>4.58424774445257</v>
      </c>
      <c r="N147" s="625"/>
      <c r="O147" s="628"/>
    </row>
    <row r="148" customHeight="1" spans="2:15">
      <c r="B148" s="623" t="s">
        <v>88</v>
      </c>
      <c r="D148" s="623">
        <v>10.2994</v>
      </c>
      <c r="E148" s="624">
        <v>250</v>
      </c>
      <c r="F148" s="625">
        <v>10</v>
      </c>
      <c r="G148" s="624">
        <v>100</v>
      </c>
      <c r="H148" s="625">
        <v>1</v>
      </c>
      <c r="I148" s="625">
        <v>10</v>
      </c>
      <c r="J148" s="623">
        <v>0.0235</v>
      </c>
      <c r="K148" s="623">
        <v>0.0091</v>
      </c>
      <c r="L148" s="623">
        <v>2</v>
      </c>
      <c r="M148" s="628">
        <f t="shared" si="3"/>
        <v>6.99069848729052</v>
      </c>
      <c r="N148" s="625">
        <f>AVERAGE(M148:M149)</f>
        <v>6.97950119138298</v>
      </c>
      <c r="O148" s="628">
        <f>(M148-M149)/N148*100</f>
        <v>0.320862353927638</v>
      </c>
    </row>
    <row r="149" customHeight="1" spans="4:15">
      <c r="D149" s="623">
        <v>10.3325</v>
      </c>
      <c r="E149" s="624">
        <v>250</v>
      </c>
      <c r="F149" s="625">
        <v>10</v>
      </c>
      <c r="G149" s="624">
        <v>100</v>
      </c>
      <c r="H149" s="625">
        <v>1</v>
      </c>
      <c r="I149" s="625">
        <v>10</v>
      </c>
      <c r="J149" s="623">
        <v>0.0235</v>
      </c>
      <c r="K149" s="623">
        <v>0.0091</v>
      </c>
      <c r="L149" s="623">
        <v>2</v>
      </c>
      <c r="M149" s="628">
        <f t="shared" si="3"/>
        <v>6.96830389547544</v>
      </c>
      <c r="N149" s="625"/>
      <c r="O149" s="628"/>
    </row>
    <row r="150" customHeight="1" spans="2:15">
      <c r="B150" s="623" t="s">
        <v>89</v>
      </c>
      <c r="D150" s="623">
        <v>10.2186</v>
      </c>
      <c r="E150" s="624">
        <v>250</v>
      </c>
      <c r="F150" s="625">
        <v>10</v>
      </c>
      <c r="G150" s="624">
        <v>100</v>
      </c>
      <c r="H150" s="625">
        <v>1</v>
      </c>
      <c r="I150" s="625">
        <v>10</v>
      </c>
      <c r="J150" s="623">
        <v>0.0516</v>
      </c>
      <c r="K150" s="623">
        <v>0.0091</v>
      </c>
      <c r="L150" s="623">
        <v>2</v>
      </c>
      <c r="M150" s="628">
        <f t="shared" si="3"/>
        <v>20.7954122873975</v>
      </c>
      <c r="N150" s="625">
        <f>AVERAGE(M150:M151)</f>
        <v>20.7785487261593</v>
      </c>
      <c r="O150" s="628">
        <f>(M150-M151)/N150*100</f>
        <v>0.162317026664976</v>
      </c>
    </row>
    <row r="151" customHeight="1" spans="4:15">
      <c r="D151" s="623">
        <v>10.2352</v>
      </c>
      <c r="E151" s="624">
        <v>250</v>
      </c>
      <c r="F151" s="625">
        <v>10</v>
      </c>
      <c r="G151" s="624">
        <v>100</v>
      </c>
      <c r="H151" s="625">
        <v>1</v>
      </c>
      <c r="I151" s="625">
        <v>10</v>
      </c>
      <c r="J151" s="623">
        <v>0.0516</v>
      </c>
      <c r="K151" s="623">
        <v>0.0091</v>
      </c>
      <c r="L151" s="623">
        <v>2</v>
      </c>
      <c r="M151" s="628">
        <f t="shared" si="3"/>
        <v>20.7616851649211</v>
      </c>
      <c r="N151" s="625"/>
      <c r="O151" s="628"/>
    </row>
    <row r="152" customHeight="1" spans="2:15">
      <c r="B152" s="623" t="s">
        <v>90</v>
      </c>
      <c r="D152" s="623">
        <v>10.1792</v>
      </c>
      <c r="E152" s="624">
        <v>250</v>
      </c>
      <c r="F152" s="625">
        <v>10</v>
      </c>
      <c r="G152" s="624">
        <v>100</v>
      </c>
      <c r="H152" s="625">
        <v>1</v>
      </c>
      <c r="I152" s="625">
        <v>10</v>
      </c>
      <c r="J152" s="623">
        <v>0.0448</v>
      </c>
      <c r="K152" s="623">
        <v>0.0091</v>
      </c>
      <c r="L152" s="623">
        <v>2</v>
      </c>
      <c r="M152" s="628">
        <f t="shared" si="3"/>
        <v>17.5357591952216</v>
      </c>
      <c r="N152" s="625">
        <f>AVERAGE(M152:M153)</f>
        <v>17.5180511696024</v>
      </c>
      <c r="O152" s="625">
        <f>(M152-M153)/N152*100</f>
        <v>0.202168899357187</v>
      </c>
    </row>
    <row r="153" customHeight="1" spans="4:15">
      <c r="D153" s="623">
        <v>10.1998</v>
      </c>
      <c r="E153" s="624">
        <v>250</v>
      </c>
      <c r="F153" s="625">
        <v>10</v>
      </c>
      <c r="G153" s="624">
        <v>100</v>
      </c>
      <c r="H153" s="625">
        <v>1</v>
      </c>
      <c r="I153" s="625">
        <v>10</v>
      </c>
      <c r="J153" s="623">
        <v>0.0448</v>
      </c>
      <c r="K153" s="623">
        <v>0.0091</v>
      </c>
      <c r="L153" s="623">
        <v>2</v>
      </c>
      <c r="M153" s="628">
        <f t="shared" si="3"/>
        <v>17.5003431439832</v>
      </c>
      <c r="N153" s="625"/>
      <c r="O153" s="625"/>
    </row>
    <row r="154" customHeight="1" spans="2:15">
      <c r="B154" s="623" t="s">
        <v>91</v>
      </c>
      <c r="D154" s="623">
        <v>10.053</v>
      </c>
      <c r="E154" s="624">
        <v>250</v>
      </c>
      <c r="F154" s="625">
        <v>10</v>
      </c>
      <c r="G154" s="624">
        <v>100</v>
      </c>
      <c r="H154" s="625">
        <v>1</v>
      </c>
      <c r="I154" s="625">
        <v>10</v>
      </c>
      <c r="J154" s="623">
        <v>0.0519</v>
      </c>
      <c r="K154" s="623">
        <v>0.0091</v>
      </c>
      <c r="L154" s="623">
        <v>2</v>
      </c>
      <c r="M154" s="628">
        <f t="shared" si="3"/>
        <v>21.2871779568288</v>
      </c>
      <c r="N154" s="625">
        <f>AVERAGE(M154:M155)</f>
        <v>21.239431843055</v>
      </c>
      <c r="O154" s="628">
        <f>(M154-M155)/N154*100</f>
        <v>0.449598785190004</v>
      </c>
    </row>
    <row r="155" customHeight="1" spans="4:15">
      <c r="D155" s="623">
        <v>10.0983</v>
      </c>
      <c r="E155" s="624">
        <v>250</v>
      </c>
      <c r="F155" s="625">
        <v>10</v>
      </c>
      <c r="G155" s="624">
        <v>100</v>
      </c>
      <c r="H155" s="625">
        <v>1</v>
      </c>
      <c r="I155" s="625">
        <v>10</v>
      </c>
      <c r="J155" s="623">
        <v>0.0519</v>
      </c>
      <c r="K155" s="623">
        <v>0.0091</v>
      </c>
      <c r="L155" s="623">
        <v>2</v>
      </c>
      <c r="M155" s="628">
        <f t="shared" si="3"/>
        <v>21.1916857292812</v>
      </c>
      <c r="N155" s="625"/>
      <c r="O155" s="628"/>
    </row>
    <row r="156" customHeight="1" spans="2:15">
      <c r="B156" s="623" t="s">
        <v>92</v>
      </c>
      <c r="D156" s="623">
        <v>10.0503</v>
      </c>
      <c r="E156" s="624">
        <v>250</v>
      </c>
      <c r="F156" s="625">
        <v>10</v>
      </c>
      <c r="G156" s="624">
        <v>100</v>
      </c>
      <c r="H156" s="625">
        <v>1</v>
      </c>
      <c r="I156" s="625">
        <v>10</v>
      </c>
      <c r="J156" s="623">
        <v>0.0595</v>
      </c>
      <c r="K156" s="623">
        <v>0.0091</v>
      </c>
      <c r="L156" s="623">
        <v>2</v>
      </c>
      <c r="M156" s="628">
        <f t="shared" si="3"/>
        <v>25.0738783916898</v>
      </c>
      <c r="N156" s="625">
        <f>AVERAGE(M156:M157)</f>
        <v>25.1207061364915</v>
      </c>
      <c r="O156" s="628">
        <f>(M156-M157)/N156*100</f>
        <v>-0.372821882850182</v>
      </c>
    </row>
    <row r="157" customHeight="1" spans="4:15">
      <c r="D157" s="623">
        <v>10.0129</v>
      </c>
      <c r="E157" s="624">
        <v>250</v>
      </c>
      <c r="F157" s="625">
        <v>10</v>
      </c>
      <c r="G157" s="624">
        <v>100</v>
      </c>
      <c r="H157" s="625">
        <v>1</v>
      </c>
      <c r="I157" s="625">
        <v>10</v>
      </c>
      <c r="J157" s="623">
        <v>0.0595</v>
      </c>
      <c r="K157" s="623">
        <v>0.0091</v>
      </c>
      <c r="L157" s="623">
        <v>2</v>
      </c>
      <c r="M157" s="628">
        <f t="shared" si="3"/>
        <v>25.1675338812931</v>
      </c>
      <c r="N157" s="625"/>
      <c r="O157" s="628"/>
    </row>
    <row r="158" customHeight="1" spans="2:15">
      <c r="B158" s="623" t="s">
        <v>93</v>
      </c>
      <c r="D158" s="623">
        <v>10.3249</v>
      </c>
      <c r="E158" s="624">
        <v>250</v>
      </c>
      <c r="F158" s="625">
        <v>10</v>
      </c>
      <c r="G158" s="624">
        <v>100</v>
      </c>
      <c r="H158" s="625">
        <v>1</v>
      </c>
      <c r="I158" s="625">
        <v>10</v>
      </c>
      <c r="J158" s="623">
        <v>0.0565</v>
      </c>
      <c r="K158" s="623">
        <v>0.0091</v>
      </c>
      <c r="L158" s="623">
        <v>2</v>
      </c>
      <c r="M158" s="628">
        <f t="shared" si="3"/>
        <v>22.9542174742613</v>
      </c>
      <c r="N158" s="625">
        <f>AVERAGE(M158:M159)</f>
        <v>22.9614473942868</v>
      </c>
      <c r="O158" s="628">
        <f>(M158-M159)/N158*100</f>
        <v>-0.0629744275382083</v>
      </c>
    </row>
    <row r="159" customHeight="1" spans="4:15">
      <c r="D159" s="623">
        <v>10.3184</v>
      </c>
      <c r="E159" s="624">
        <v>250</v>
      </c>
      <c r="F159" s="625">
        <v>10</v>
      </c>
      <c r="G159" s="624">
        <v>100</v>
      </c>
      <c r="H159" s="625">
        <v>1</v>
      </c>
      <c r="I159" s="625">
        <v>10</v>
      </c>
      <c r="J159" s="623">
        <v>0.0565</v>
      </c>
      <c r="K159" s="623">
        <v>0.0091</v>
      </c>
      <c r="L159" s="623">
        <v>2</v>
      </c>
      <c r="M159" s="628">
        <f t="shared" si="3"/>
        <v>22.9686773143123</v>
      </c>
      <c r="N159" s="625"/>
      <c r="O159" s="628"/>
    </row>
    <row r="160" customHeight="1" spans="2:15">
      <c r="B160" s="623" t="s">
        <v>94</v>
      </c>
      <c r="D160" s="623">
        <v>10.3063</v>
      </c>
      <c r="E160" s="624">
        <v>250</v>
      </c>
      <c r="F160" s="625">
        <v>10</v>
      </c>
      <c r="G160" s="624">
        <v>100</v>
      </c>
      <c r="H160" s="625">
        <v>1</v>
      </c>
      <c r="I160" s="625">
        <v>10</v>
      </c>
      <c r="J160" s="623">
        <v>0.0332</v>
      </c>
      <c r="K160" s="623">
        <v>0.0091</v>
      </c>
      <c r="L160" s="623">
        <v>1</v>
      </c>
      <c r="M160" s="628">
        <f t="shared" si="3"/>
        <v>5.84593889174583</v>
      </c>
      <c r="N160" s="625">
        <f>AVERAGE(M160:M161)</f>
        <v>5.84106892763782</v>
      </c>
      <c r="O160" s="628">
        <f>(M160-M161)/N160*100</f>
        <v>0.166749071731172</v>
      </c>
    </row>
    <row r="161" customHeight="1" spans="4:15">
      <c r="D161" s="623">
        <v>10.3235</v>
      </c>
      <c r="E161" s="624">
        <v>250</v>
      </c>
      <c r="F161" s="625">
        <v>10</v>
      </c>
      <c r="G161" s="624">
        <v>100</v>
      </c>
      <c r="H161" s="625">
        <v>1</v>
      </c>
      <c r="I161" s="625">
        <v>10</v>
      </c>
      <c r="J161" s="623">
        <v>0.0332</v>
      </c>
      <c r="K161" s="623">
        <v>0.0091</v>
      </c>
      <c r="L161" s="623">
        <v>1</v>
      </c>
      <c r="M161" s="628">
        <f t="shared" si="3"/>
        <v>5.83619896352981</v>
      </c>
      <c r="N161" s="625"/>
      <c r="O161" s="628"/>
    </row>
    <row r="162" customHeight="1" spans="1:15">
      <c r="A162" s="623">
        <v>11.7</v>
      </c>
      <c r="B162" s="623" t="s">
        <v>95</v>
      </c>
      <c r="D162" s="623">
        <v>10.3455</v>
      </c>
      <c r="E162" s="624">
        <v>250</v>
      </c>
      <c r="F162" s="625">
        <v>10</v>
      </c>
      <c r="G162" s="624">
        <v>100</v>
      </c>
      <c r="H162" s="625">
        <v>1</v>
      </c>
      <c r="I162" s="625">
        <v>10</v>
      </c>
      <c r="J162" s="623">
        <v>0.0495</v>
      </c>
      <c r="K162" s="623">
        <v>0.0091</v>
      </c>
      <c r="L162" s="623">
        <v>2</v>
      </c>
      <c r="M162" s="628">
        <f t="shared" si="3"/>
        <v>19.5253975158281</v>
      </c>
      <c r="N162" s="625">
        <f>AVERAGE(M162:M163)</f>
        <v>19.4859237879983</v>
      </c>
      <c r="O162" s="625">
        <f>(M162-M163)/N162*100</f>
        <v>0.40515120821878</v>
      </c>
    </row>
    <row r="163" customHeight="1" spans="4:15">
      <c r="D163" s="623">
        <v>10.3875</v>
      </c>
      <c r="E163" s="624">
        <v>250</v>
      </c>
      <c r="F163" s="625">
        <v>10</v>
      </c>
      <c r="G163" s="624">
        <v>100</v>
      </c>
      <c r="H163" s="625">
        <v>1</v>
      </c>
      <c r="I163" s="625">
        <v>10</v>
      </c>
      <c r="J163" s="623">
        <v>0.0495</v>
      </c>
      <c r="K163" s="623">
        <v>0.0091</v>
      </c>
      <c r="L163" s="623">
        <v>2</v>
      </c>
      <c r="M163" s="628">
        <f t="shared" si="3"/>
        <v>19.4464500601685</v>
      </c>
      <c r="N163" s="625"/>
      <c r="O163" s="625"/>
    </row>
    <row r="164" customHeight="1" spans="2:15">
      <c r="B164" s="623" t="s">
        <v>96</v>
      </c>
      <c r="D164" s="623">
        <v>10.2603</v>
      </c>
      <c r="E164" s="624">
        <v>250</v>
      </c>
      <c r="F164" s="625">
        <v>10</v>
      </c>
      <c r="G164" s="624">
        <v>100</v>
      </c>
      <c r="H164" s="625">
        <v>1</v>
      </c>
      <c r="I164" s="625">
        <v>10</v>
      </c>
      <c r="J164" s="623">
        <v>0.0437</v>
      </c>
      <c r="K164" s="623">
        <v>0.0091</v>
      </c>
      <c r="L164" s="623">
        <v>2</v>
      </c>
      <c r="M164" s="628">
        <f t="shared" si="3"/>
        <v>16.8611054257673</v>
      </c>
      <c r="N164" s="625">
        <f>AVERAGE(M164:M165)</f>
        <v>16.8025196895873</v>
      </c>
      <c r="O164" s="625">
        <f>(M164-M165)/N164*100</f>
        <v>0.697344651424794</v>
      </c>
    </row>
    <row r="165" customHeight="1" spans="4:15">
      <c r="D165" s="623">
        <v>10.3321</v>
      </c>
      <c r="E165" s="624">
        <v>250</v>
      </c>
      <c r="F165" s="625">
        <v>10</v>
      </c>
      <c r="G165" s="624">
        <v>100</v>
      </c>
      <c r="H165" s="625">
        <v>1</v>
      </c>
      <c r="I165" s="625">
        <v>10</v>
      </c>
      <c r="J165" s="623">
        <v>0.0437</v>
      </c>
      <c r="K165" s="623">
        <v>0.0091</v>
      </c>
      <c r="L165" s="623">
        <v>2</v>
      </c>
      <c r="M165" s="628">
        <f t="shared" si="3"/>
        <v>16.7439339534073</v>
      </c>
      <c r="N165" s="625"/>
      <c r="O165" s="625"/>
    </row>
    <row r="166" customHeight="1" spans="2:15">
      <c r="B166" s="623" t="s">
        <v>97</v>
      </c>
      <c r="D166" s="623">
        <v>10.45</v>
      </c>
      <c r="E166" s="624">
        <v>250</v>
      </c>
      <c r="F166" s="625">
        <v>10</v>
      </c>
      <c r="G166" s="624">
        <v>100</v>
      </c>
      <c r="H166" s="625">
        <v>1</v>
      </c>
      <c r="I166" s="625">
        <v>10</v>
      </c>
      <c r="J166" s="623">
        <v>0.0534</v>
      </c>
      <c r="K166" s="623">
        <v>0.0091</v>
      </c>
      <c r="L166" s="623">
        <v>2</v>
      </c>
      <c r="M166" s="628">
        <f t="shared" si="3"/>
        <v>21.1961722488038</v>
      </c>
      <c r="N166" s="625">
        <f>AVERAGE(M166:M167)</f>
        <v>21.2616844991058</v>
      </c>
      <c r="O166" s="625">
        <f>(M166-M167)/N166*100</f>
        <v>-0.61624703635091</v>
      </c>
    </row>
    <row r="167" customHeight="1" spans="4:15">
      <c r="D167" s="623">
        <v>10.3858</v>
      </c>
      <c r="E167" s="624">
        <v>250</v>
      </c>
      <c r="F167" s="625">
        <v>10</v>
      </c>
      <c r="G167" s="624">
        <v>100</v>
      </c>
      <c r="H167" s="625">
        <v>1</v>
      </c>
      <c r="I167" s="625">
        <v>10</v>
      </c>
      <c r="J167" s="623">
        <v>0.0534</v>
      </c>
      <c r="K167" s="623">
        <v>0.0091</v>
      </c>
      <c r="L167" s="623">
        <v>2</v>
      </c>
      <c r="M167" s="628">
        <f t="shared" si="3"/>
        <v>21.3271967494078</v>
      </c>
      <c r="N167" s="625"/>
      <c r="O167" s="625"/>
    </row>
    <row r="168" customHeight="1" spans="2:15">
      <c r="B168" s="623" t="s">
        <v>98</v>
      </c>
      <c r="D168" s="623">
        <v>10.7979</v>
      </c>
      <c r="E168" s="624">
        <v>250</v>
      </c>
      <c r="F168" s="625">
        <v>10</v>
      </c>
      <c r="G168" s="624">
        <v>100</v>
      </c>
      <c r="H168" s="625">
        <v>1</v>
      </c>
      <c r="I168" s="625">
        <v>10</v>
      </c>
      <c r="J168" s="623">
        <v>0.0589</v>
      </c>
      <c r="K168" s="623">
        <v>0.0091</v>
      </c>
      <c r="L168" s="623">
        <v>2</v>
      </c>
      <c r="M168" s="628">
        <f t="shared" si="3"/>
        <v>23.0600394521157</v>
      </c>
      <c r="N168" s="625">
        <f>AVERAGE(M168:M169)</f>
        <v>22.9884105814336</v>
      </c>
      <c r="O168" s="625">
        <f>(M168-M169)/N168*100</f>
        <v>0.623173754691107</v>
      </c>
    </row>
    <row r="169" customHeight="1" spans="4:15">
      <c r="D169" s="623">
        <v>10.8654</v>
      </c>
      <c r="E169" s="624">
        <v>250</v>
      </c>
      <c r="F169" s="625">
        <v>10</v>
      </c>
      <c r="G169" s="624">
        <v>100</v>
      </c>
      <c r="H169" s="625">
        <v>1</v>
      </c>
      <c r="I169" s="625">
        <v>10</v>
      </c>
      <c r="J169" s="623">
        <v>0.0589</v>
      </c>
      <c r="K169" s="623">
        <v>0.0091</v>
      </c>
      <c r="L169" s="623">
        <v>2</v>
      </c>
      <c r="M169" s="628">
        <f t="shared" si="3"/>
        <v>22.9167817107516</v>
      </c>
      <c r="N169" s="625"/>
      <c r="O169" s="625"/>
    </row>
    <row r="170" customHeight="1" spans="1:15">
      <c r="A170" s="623">
        <v>12.1</v>
      </c>
      <c r="B170" s="623" t="s">
        <v>99</v>
      </c>
      <c r="D170" s="623">
        <v>10.2222</v>
      </c>
      <c r="E170" s="624">
        <v>250</v>
      </c>
      <c r="F170" s="625">
        <v>10</v>
      </c>
      <c r="G170" s="624">
        <v>100</v>
      </c>
      <c r="H170" s="625">
        <v>1</v>
      </c>
      <c r="I170" s="625">
        <v>10</v>
      </c>
      <c r="J170" s="623">
        <v>0.0199</v>
      </c>
      <c r="K170" s="623">
        <v>0.0091</v>
      </c>
      <c r="L170" s="623">
        <v>1</v>
      </c>
      <c r="M170" s="628">
        <f t="shared" si="3"/>
        <v>2.64131008980454</v>
      </c>
      <c r="N170" s="625">
        <f>AVERAGE(M170:M171)</f>
        <v>2.63689352781555</v>
      </c>
      <c r="O170" s="625">
        <f>(M170-M171)/N170*100</f>
        <v>0.334982201018608</v>
      </c>
    </row>
    <row r="171" customHeight="1" spans="4:15">
      <c r="D171" s="623">
        <v>10.2565</v>
      </c>
      <c r="E171" s="624">
        <v>250</v>
      </c>
      <c r="F171" s="625">
        <v>10</v>
      </c>
      <c r="G171" s="624">
        <v>100</v>
      </c>
      <c r="H171" s="625">
        <v>1</v>
      </c>
      <c r="I171" s="625">
        <v>10</v>
      </c>
      <c r="J171" s="623">
        <v>0.0199</v>
      </c>
      <c r="K171" s="623">
        <v>0.0091</v>
      </c>
      <c r="L171" s="623">
        <v>1</v>
      </c>
      <c r="M171" s="628">
        <f t="shared" si="3"/>
        <v>2.63247696582655</v>
      </c>
      <c r="N171" s="625"/>
      <c r="O171" s="625"/>
    </row>
    <row r="172" customHeight="1" spans="2:15">
      <c r="B172" s="623" t="s">
        <v>100</v>
      </c>
      <c r="D172" s="623">
        <v>10.5975</v>
      </c>
      <c r="E172" s="624">
        <v>250</v>
      </c>
      <c r="F172" s="625">
        <v>10</v>
      </c>
      <c r="G172" s="624">
        <v>100</v>
      </c>
      <c r="H172" s="625">
        <v>1</v>
      </c>
      <c r="I172" s="625">
        <v>10</v>
      </c>
      <c r="J172" s="623">
        <v>0.0181</v>
      </c>
      <c r="K172" s="623">
        <v>0.0091</v>
      </c>
      <c r="L172" s="623">
        <v>1</v>
      </c>
      <c r="M172" s="628">
        <f t="shared" si="3"/>
        <v>2.12314225053079</v>
      </c>
      <c r="N172" s="625">
        <f>AVERAGE(M172:M173)</f>
        <v>2.12806402781372</v>
      </c>
      <c r="O172" s="625">
        <f>(M172-M173)/N172*100</f>
        <v>-0.462559135309031</v>
      </c>
    </row>
    <row r="173" customHeight="1" spans="4:15">
      <c r="D173" s="623">
        <v>10.6658</v>
      </c>
      <c r="E173" s="624">
        <v>250</v>
      </c>
      <c r="F173" s="625">
        <v>10</v>
      </c>
      <c r="G173" s="624">
        <v>100</v>
      </c>
      <c r="H173" s="625">
        <v>1</v>
      </c>
      <c r="I173" s="625">
        <v>10</v>
      </c>
      <c r="J173" s="623">
        <v>0.0182</v>
      </c>
      <c r="K173" s="623">
        <v>0.0091</v>
      </c>
      <c r="L173" s="623">
        <v>1</v>
      </c>
      <c r="M173" s="628">
        <f t="shared" si="3"/>
        <v>2.13298580509666</v>
      </c>
      <c r="N173" s="625"/>
      <c r="O173" s="625"/>
    </row>
    <row r="174" customHeight="1" spans="2:15">
      <c r="B174" s="623" t="s">
        <v>101</v>
      </c>
      <c r="D174" s="623">
        <v>10.3356</v>
      </c>
      <c r="E174" s="624">
        <v>250</v>
      </c>
      <c r="F174" s="625">
        <v>10</v>
      </c>
      <c r="G174" s="624">
        <v>100</v>
      </c>
      <c r="H174" s="625">
        <v>1</v>
      </c>
      <c r="I174" s="625">
        <v>10</v>
      </c>
      <c r="J174" s="623">
        <v>0.0168</v>
      </c>
      <c r="K174" s="623">
        <v>0.0091</v>
      </c>
      <c r="L174" s="623">
        <v>1</v>
      </c>
      <c r="M174" s="628">
        <f t="shared" si="3"/>
        <v>1.86249467858663</v>
      </c>
      <c r="N174" s="625">
        <f>AVERAGE(M174:M175)</f>
        <v>1.8468692578734</v>
      </c>
      <c r="O174" s="624">
        <f>(M174-M175)/N174*100</f>
        <v>1.6920981977064</v>
      </c>
    </row>
    <row r="175" customHeight="1" spans="4:15">
      <c r="D175" s="623">
        <v>10.6485</v>
      </c>
      <c r="E175" s="624">
        <v>250</v>
      </c>
      <c r="F175" s="625">
        <v>10</v>
      </c>
      <c r="G175" s="624">
        <v>100</v>
      </c>
      <c r="H175" s="625">
        <v>1</v>
      </c>
      <c r="I175" s="625">
        <v>10</v>
      </c>
      <c r="J175" s="623">
        <v>0.0169</v>
      </c>
      <c r="K175" s="623">
        <v>0.0091</v>
      </c>
      <c r="L175" s="623">
        <v>1</v>
      </c>
      <c r="M175" s="628">
        <f t="shared" si="3"/>
        <v>1.83124383716016</v>
      </c>
      <c r="N175" s="625"/>
      <c r="O175" s="624"/>
    </row>
    <row r="176" customHeight="1" spans="2:15">
      <c r="B176" s="623" t="s">
        <v>102</v>
      </c>
      <c r="D176" s="629">
        <v>10.478</v>
      </c>
      <c r="E176" s="624">
        <v>250</v>
      </c>
      <c r="F176" s="625">
        <v>10</v>
      </c>
      <c r="G176" s="624">
        <v>100</v>
      </c>
      <c r="H176" s="625">
        <v>1</v>
      </c>
      <c r="I176" s="625">
        <v>10</v>
      </c>
      <c r="J176" s="623">
        <v>0.0146</v>
      </c>
      <c r="K176" s="623">
        <v>0.0091</v>
      </c>
      <c r="L176" s="623">
        <v>1</v>
      </c>
      <c r="M176" s="628">
        <f t="shared" si="3"/>
        <v>1.31227333460584</v>
      </c>
      <c r="N176" s="625">
        <f>AVERAGE(M176:M177)</f>
        <v>1.32118189037809</v>
      </c>
      <c r="O176" s="624">
        <f>(M176-M177)/N176*100</f>
        <v>-1.34857370315594</v>
      </c>
    </row>
    <row r="177" customHeight="1" spans="4:15">
      <c r="D177" s="623">
        <v>10.5256</v>
      </c>
      <c r="E177" s="624">
        <v>250</v>
      </c>
      <c r="F177" s="625">
        <v>10</v>
      </c>
      <c r="G177" s="624">
        <v>100</v>
      </c>
      <c r="H177" s="625">
        <v>1</v>
      </c>
      <c r="I177" s="625">
        <v>10</v>
      </c>
      <c r="J177" s="623">
        <v>0.0147</v>
      </c>
      <c r="K177" s="623">
        <v>0.0091</v>
      </c>
      <c r="L177" s="623">
        <v>1</v>
      </c>
      <c r="M177" s="628">
        <f t="shared" si="3"/>
        <v>1.33009044615034</v>
      </c>
      <c r="N177" s="625"/>
      <c r="O177" s="624"/>
    </row>
    <row r="178" customHeight="1" spans="2:15">
      <c r="B178" s="623" t="s">
        <v>103</v>
      </c>
      <c r="D178" s="623">
        <v>10.0313</v>
      </c>
      <c r="E178" s="624">
        <v>250</v>
      </c>
      <c r="F178" s="625">
        <v>10</v>
      </c>
      <c r="G178" s="624">
        <v>100</v>
      </c>
      <c r="H178" s="625">
        <v>1</v>
      </c>
      <c r="I178" s="625">
        <v>10</v>
      </c>
      <c r="J178" s="623">
        <v>0.0371</v>
      </c>
      <c r="K178" s="623">
        <v>0.0091</v>
      </c>
      <c r="L178" s="623">
        <v>1</v>
      </c>
      <c r="M178" s="628">
        <f t="shared" si="3"/>
        <v>6.97815836431968</v>
      </c>
      <c r="N178" s="625">
        <f>AVERAGE(M178:M179)</f>
        <v>6.96619972896188</v>
      </c>
      <c r="O178" s="625">
        <f>(M178-M179)/N178*100</f>
        <v>0.343333117713496</v>
      </c>
    </row>
    <row r="179" customHeight="1" spans="4:15">
      <c r="D179" s="623">
        <v>10.0658</v>
      </c>
      <c r="E179" s="624">
        <v>250</v>
      </c>
      <c r="F179" s="625">
        <v>10</v>
      </c>
      <c r="G179" s="624">
        <v>100</v>
      </c>
      <c r="H179" s="625">
        <v>1</v>
      </c>
      <c r="I179" s="625">
        <v>10</v>
      </c>
      <c r="J179" s="623">
        <v>0.0371</v>
      </c>
      <c r="K179" s="623">
        <v>0.0091</v>
      </c>
      <c r="L179" s="623">
        <v>1</v>
      </c>
      <c r="M179" s="628">
        <f t="shared" si="3"/>
        <v>6.95424109360409</v>
      </c>
      <c r="N179" s="625"/>
      <c r="O179" s="625"/>
    </row>
    <row r="180" customHeight="1" spans="2:15">
      <c r="B180" s="623" t="s">
        <v>104</v>
      </c>
      <c r="D180" s="623">
        <v>10.2212</v>
      </c>
      <c r="E180" s="624">
        <v>250</v>
      </c>
      <c r="F180" s="625">
        <v>10</v>
      </c>
      <c r="G180" s="624">
        <v>100</v>
      </c>
      <c r="H180" s="625">
        <v>1</v>
      </c>
      <c r="I180" s="625">
        <v>10</v>
      </c>
      <c r="J180" s="623">
        <v>0.04</v>
      </c>
      <c r="K180" s="623">
        <v>0.0091</v>
      </c>
      <c r="L180" s="623">
        <v>1</v>
      </c>
      <c r="M180" s="628">
        <f t="shared" si="3"/>
        <v>7.55782099949125</v>
      </c>
      <c r="N180" s="625">
        <f>AVERAGE(M180:M181)</f>
        <v>7.51983059659793</v>
      </c>
      <c r="O180" s="624">
        <f>(M180-M181)/N180*100</f>
        <v>1.01040581713408</v>
      </c>
    </row>
    <row r="181" customHeight="1" spans="4:15">
      <c r="D181" s="629">
        <v>10.325</v>
      </c>
      <c r="E181" s="624">
        <v>250</v>
      </c>
      <c r="F181" s="625">
        <v>10</v>
      </c>
      <c r="G181" s="624">
        <v>100</v>
      </c>
      <c r="H181" s="625">
        <v>1</v>
      </c>
      <c r="I181" s="625">
        <v>10</v>
      </c>
      <c r="J181" s="623">
        <v>0.04</v>
      </c>
      <c r="K181" s="623">
        <v>0.0091</v>
      </c>
      <c r="L181" s="623">
        <v>1</v>
      </c>
      <c r="M181" s="628">
        <f t="shared" si="3"/>
        <v>7.4818401937046</v>
      </c>
      <c r="N181" s="625"/>
      <c r="O181" s="624"/>
    </row>
    <row r="182" customHeight="1" spans="2:15">
      <c r="B182" s="623" t="s">
        <v>105</v>
      </c>
      <c r="D182" s="623">
        <v>10.3845</v>
      </c>
      <c r="E182" s="624">
        <v>250</v>
      </c>
      <c r="F182" s="625">
        <v>10</v>
      </c>
      <c r="G182" s="624">
        <v>100</v>
      </c>
      <c r="H182" s="625">
        <v>1</v>
      </c>
      <c r="I182" s="625">
        <v>10</v>
      </c>
      <c r="J182" s="623">
        <v>0.0408</v>
      </c>
      <c r="K182" s="623">
        <v>0.0091</v>
      </c>
      <c r="L182" s="623">
        <v>1</v>
      </c>
      <c r="M182" s="628">
        <f t="shared" si="3"/>
        <v>7.63156627666234</v>
      </c>
      <c r="N182" s="625">
        <f>AVERAGE(M182:M183)</f>
        <v>7.57224140253935</v>
      </c>
      <c r="O182" s="624">
        <f>(M182-M183)/N182*100</f>
        <v>1.56690393159128</v>
      </c>
    </row>
    <row r="183" customHeight="1" spans="4:15">
      <c r="D183" s="623">
        <v>10.5485</v>
      </c>
      <c r="E183" s="624">
        <v>250</v>
      </c>
      <c r="F183" s="625">
        <v>10</v>
      </c>
      <c r="G183" s="624">
        <v>100</v>
      </c>
      <c r="H183" s="625">
        <v>1</v>
      </c>
      <c r="I183" s="625">
        <v>10</v>
      </c>
      <c r="J183" s="623">
        <v>0.0408</v>
      </c>
      <c r="K183" s="623">
        <v>0.0091</v>
      </c>
      <c r="L183" s="623">
        <v>1</v>
      </c>
      <c r="M183" s="628">
        <f t="shared" si="3"/>
        <v>7.51291652841636</v>
      </c>
      <c r="N183" s="625"/>
      <c r="O183" s="624"/>
    </row>
    <row r="184" customHeight="1" spans="1:15">
      <c r="A184" s="623">
        <v>12.5</v>
      </c>
      <c r="B184" s="626" t="s">
        <v>106</v>
      </c>
      <c r="D184" s="623">
        <v>2.9063</v>
      </c>
      <c r="E184" s="624">
        <v>250</v>
      </c>
      <c r="F184" s="625">
        <v>4</v>
      </c>
      <c r="G184" s="624">
        <v>100</v>
      </c>
      <c r="H184" s="625">
        <v>2</v>
      </c>
      <c r="I184" s="625">
        <v>10</v>
      </c>
      <c r="J184" s="623">
        <v>0.0101</v>
      </c>
      <c r="K184" s="623">
        <v>0.0091</v>
      </c>
      <c r="L184" s="623">
        <v>2</v>
      </c>
      <c r="M184" s="628">
        <f t="shared" si="3"/>
        <v>2.15050063654819</v>
      </c>
      <c r="N184" s="625">
        <f>AVERAGE(M184:M185)</f>
        <v>2.11269803090938</v>
      </c>
      <c r="O184" s="624">
        <f>(M184-M185)/N184*100</f>
        <v>3.57860944496072</v>
      </c>
    </row>
    <row r="185" customHeight="1" spans="4:15">
      <c r="D185" s="623">
        <v>3.0122</v>
      </c>
      <c r="E185" s="624">
        <v>250</v>
      </c>
      <c r="F185" s="625">
        <v>4</v>
      </c>
      <c r="G185" s="624">
        <v>100</v>
      </c>
      <c r="H185" s="625">
        <v>2</v>
      </c>
      <c r="I185" s="625">
        <v>10</v>
      </c>
      <c r="J185" s="623">
        <v>0.0101</v>
      </c>
      <c r="K185" s="623">
        <v>0.0091</v>
      </c>
      <c r="L185" s="623">
        <v>2</v>
      </c>
      <c r="M185" s="628">
        <f t="shared" si="3"/>
        <v>2.07489542527056</v>
      </c>
      <c r="N185" s="625"/>
      <c r="O185" s="624"/>
    </row>
    <row r="186" customHeight="1" spans="2:15">
      <c r="B186" s="626" t="s">
        <v>107</v>
      </c>
      <c r="D186" s="623">
        <v>3.3507</v>
      </c>
      <c r="E186" s="624">
        <v>250</v>
      </c>
      <c r="F186" s="625">
        <v>4</v>
      </c>
      <c r="G186" s="624">
        <v>100</v>
      </c>
      <c r="H186" s="625">
        <v>2</v>
      </c>
      <c r="I186" s="625">
        <v>10</v>
      </c>
      <c r="J186" s="623">
        <v>0.0092</v>
      </c>
      <c r="K186" s="623">
        <v>0.0091</v>
      </c>
      <c r="L186" s="623">
        <v>2</v>
      </c>
      <c r="M186" s="628">
        <f t="shared" si="3"/>
        <v>0.186528188139791</v>
      </c>
      <c r="N186" s="625">
        <f>AVERAGE(M186:M187)</f>
        <v>0.190461692900413</v>
      </c>
      <c r="O186" s="624">
        <f>(M186-M187)/N186*100</f>
        <v>-4.13049437996892</v>
      </c>
    </row>
    <row r="187" customHeight="1" spans="4:15">
      <c r="D187" s="623">
        <v>3.2151</v>
      </c>
      <c r="E187" s="624">
        <v>250</v>
      </c>
      <c r="F187" s="625">
        <v>4</v>
      </c>
      <c r="G187" s="624">
        <v>100</v>
      </c>
      <c r="H187" s="625">
        <v>2</v>
      </c>
      <c r="I187" s="625">
        <v>10</v>
      </c>
      <c r="J187" s="623">
        <v>0.0092</v>
      </c>
      <c r="K187" s="623">
        <v>0.0091</v>
      </c>
      <c r="L187" s="623">
        <v>2</v>
      </c>
      <c r="M187" s="628">
        <f t="shared" si="3"/>
        <v>0.194395197661036</v>
      </c>
      <c r="N187" s="625"/>
      <c r="O187" s="624"/>
    </row>
    <row r="188" customHeight="1" spans="2:15">
      <c r="B188" s="626" t="s">
        <v>108</v>
      </c>
      <c r="D188" s="623">
        <v>1.3233</v>
      </c>
      <c r="E188" s="624">
        <v>250</v>
      </c>
      <c r="F188" s="625">
        <v>4</v>
      </c>
      <c r="G188" s="624">
        <v>100</v>
      </c>
      <c r="H188" s="625">
        <v>2</v>
      </c>
      <c r="I188" s="625">
        <v>10</v>
      </c>
      <c r="J188" s="623">
        <v>0.0104</v>
      </c>
      <c r="K188" s="623">
        <v>0.0091</v>
      </c>
      <c r="L188" s="623">
        <v>2</v>
      </c>
      <c r="M188" s="628">
        <f t="shared" si="3"/>
        <v>6.13995314743444</v>
      </c>
      <c r="N188" s="625">
        <f>AVERAGE(M188:M189)</f>
        <v>6.15886039366856</v>
      </c>
      <c r="O188" s="625">
        <f>(M188-M189)/N188*100</f>
        <v>-0.613985218874364</v>
      </c>
    </row>
    <row r="189" customHeight="1" spans="4:15">
      <c r="D189" s="623">
        <v>1.3152</v>
      </c>
      <c r="E189" s="624">
        <v>250</v>
      </c>
      <c r="F189" s="625">
        <v>4</v>
      </c>
      <c r="G189" s="624">
        <v>100</v>
      </c>
      <c r="H189" s="625">
        <v>2</v>
      </c>
      <c r="I189" s="625">
        <v>10</v>
      </c>
      <c r="J189" s="623">
        <v>0.0104</v>
      </c>
      <c r="K189" s="623">
        <v>0.0091</v>
      </c>
      <c r="L189" s="623">
        <v>2</v>
      </c>
      <c r="M189" s="628">
        <f t="shared" si="3"/>
        <v>6.17776763990267</v>
      </c>
      <c r="N189" s="625"/>
      <c r="O189" s="625"/>
    </row>
    <row r="190" customHeight="1" spans="2:15">
      <c r="B190" s="626" t="s">
        <v>109</v>
      </c>
      <c r="D190" s="623">
        <v>3.115</v>
      </c>
      <c r="E190" s="624">
        <v>250</v>
      </c>
      <c r="F190" s="625">
        <v>4</v>
      </c>
      <c r="G190" s="624">
        <v>100</v>
      </c>
      <c r="H190" s="625">
        <v>2</v>
      </c>
      <c r="I190" s="625">
        <v>10</v>
      </c>
      <c r="J190" s="623">
        <v>0.0255</v>
      </c>
      <c r="K190" s="623">
        <v>0.0091</v>
      </c>
      <c r="L190" s="623">
        <v>2</v>
      </c>
      <c r="M190" s="628">
        <f t="shared" si="3"/>
        <v>32.9052969502408</v>
      </c>
      <c r="N190" s="625">
        <f>AVERAGE(M190:M191)</f>
        <v>32.7183587709183</v>
      </c>
      <c r="O190" s="624">
        <f>(M190-M191)/N190*100</f>
        <v>1.14271122602062</v>
      </c>
    </row>
    <row r="191" customHeight="1" spans="4:15">
      <c r="D191" s="623">
        <v>3.1508</v>
      </c>
      <c r="E191" s="624">
        <v>250</v>
      </c>
      <c r="F191" s="625">
        <v>4</v>
      </c>
      <c r="G191" s="624">
        <v>100</v>
      </c>
      <c r="H191" s="625">
        <v>2</v>
      </c>
      <c r="I191" s="625">
        <v>10</v>
      </c>
      <c r="J191" s="623">
        <v>0.0255</v>
      </c>
      <c r="K191" s="623">
        <v>0.0091</v>
      </c>
      <c r="L191" s="623">
        <v>2</v>
      </c>
      <c r="M191" s="628">
        <f t="shared" si="3"/>
        <v>32.5314205915958</v>
      </c>
      <c r="N191" s="625"/>
      <c r="O191" s="624"/>
    </row>
    <row r="192" customHeight="1" spans="2:15">
      <c r="B192" s="626" t="s">
        <v>110</v>
      </c>
      <c r="D192" s="623">
        <v>2.3331</v>
      </c>
      <c r="E192" s="624">
        <v>250</v>
      </c>
      <c r="F192" s="625">
        <v>4</v>
      </c>
      <c r="G192" s="624">
        <v>100</v>
      </c>
      <c r="H192" s="625">
        <v>2</v>
      </c>
      <c r="I192" s="625">
        <v>10</v>
      </c>
      <c r="J192" s="623">
        <v>0.0127</v>
      </c>
      <c r="K192" s="623">
        <v>0.0091</v>
      </c>
      <c r="L192" s="623">
        <v>2</v>
      </c>
      <c r="M192" s="628">
        <f t="shared" si="3"/>
        <v>9.64382152500964</v>
      </c>
      <c r="N192" s="625">
        <f>AVERAGE(M192:M193)</f>
        <v>9.81613965356404</v>
      </c>
      <c r="O192" s="624">
        <f>(M192-M193)/N192*100</f>
        <v>-3.51091436421919</v>
      </c>
    </row>
    <row r="193" customHeight="1" spans="4:15">
      <c r="D193" s="623">
        <v>2.2526</v>
      </c>
      <c r="E193" s="624">
        <v>250</v>
      </c>
      <c r="F193" s="625">
        <v>4</v>
      </c>
      <c r="G193" s="624">
        <v>100</v>
      </c>
      <c r="H193" s="625">
        <v>2</v>
      </c>
      <c r="I193" s="625">
        <v>10</v>
      </c>
      <c r="J193" s="623">
        <v>0.0127</v>
      </c>
      <c r="K193" s="623">
        <v>0.0091</v>
      </c>
      <c r="L193" s="623">
        <v>2</v>
      </c>
      <c r="M193" s="628">
        <f t="shared" si="3"/>
        <v>9.98845778211844</v>
      </c>
      <c r="N193" s="625"/>
      <c r="O193" s="624"/>
    </row>
    <row r="194" customHeight="1" spans="2:15">
      <c r="B194" s="626" t="s">
        <v>111</v>
      </c>
      <c r="D194" s="623">
        <v>3.233</v>
      </c>
      <c r="E194" s="624">
        <v>250</v>
      </c>
      <c r="F194" s="625">
        <v>10</v>
      </c>
      <c r="G194" s="624">
        <v>100</v>
      </c>
      <c r="H194" s="625">
        <v>2</v>
      </c>
      <c r="I194" s="625">
        <v>10</v>
      </c>
      <c r="J194" s="623">
        <v>0.0487</v>
      </c>
      <c r="K194" s="623">
        <v>0.0091</v>
      </c>
      <c r="L194" s="623">
        <v>2</v>
      </c>
      <c r="M194" s="628">
        <f t="shared" si="3"/>
        <v>30.6217135787195</v>
      </c>
      <c r="N194" s="625">
        <f>AVERAGE(M194:M195)</f>
        <v>31.2523723605168</v>
      </c>
      <c r="O194" s="624">
        <f>(M194-M195)/N194*100</f>
        <v>-4.03590981524429</v>
      </c>
    </row>
    <row r="195" customHeight="1" spans="4:15">
      <c r="D195" s="623">
        <v>3.1051</v>
      </c>
      <c r="E195" s="624">
        <v>250</v>
      </c>
      <c r="F195" s="625">
        <v>10</v>
      </c>
      <c r="G195" s="624">
        <v>100</v>
      </c>
      <c r="H195" s="625">
        <v>2</v>
      </c>
      <c r="I195" s="625">
        <v>10</v>
      </c>
      <c r="J195" s="623">
        <v>0.0487</v>
      </c>
      <c r="K195" s="623">
        <v>0.0091</v>
      </c>
      <c r="L195" s="623">
        <v>2</v>
      </c>
      <c r="M195" s="628">
        <f t="shared" si="3"/>
        <v>31.8830311423142</v>
      </c>
      <c r="N195" s="625"/>
      <c r="O195" s="624"/>
    </row>
    <row r="196" customHeight="1" spans="2:15">
      <c r="B196" s="626" t="s">
        <v>112</v>
      </c>
      <c r="D196" s="623">
        <v>1.23</v>
      </c>
      <c r="E196" s="624">
        <v>250</v>
      </c>
      <c r="F196" s="625">
        <v>10</v>
      </c>
      <c r="G196" s="624">
        <v>100</v>
      </c>
      <c r="H196" s="625">
        <v>2</v>
      </c>
      <c r="I196" s="625">
        <v>10</v>
      </c>
      <c r="J196" s="623">
        <v>0.0145</v>
      </c>
      <c r="K196" s="623">
        <v>0.0091</v>
      </c>
      <c r="L196" s="623">
        <v>2</v>
      </c>
      <c r="M196" s="628">
        <f t="shared" si="3"/>
        <v>10.9756097560976</v>
      </c>
      <c r="N196" s="625">
        <f>AVERAGE(M196:M197)</f>
        <v>10.8611530710117</v>
      </c>
      <c r="O196" s="624">
        <f>(M196-M197)/N196*100</f>
        <v>2.10763414045531</v>
      </c>
    </row>
    <row r="197" customHeight="1" spans="4:15">
      <c r="D197" s="623">
        <v>1.2562</v>
      </c>
      <c r="E197" s="624">
        <v>250</v>
      </c>
      <c r="F197" s="625">
        <v>10</v>
      </c>
      <c r="G197" s="624">
        <v>100</v>
      </c>
      <c r="H197" s="625">
        <v>2</v>
      </c>
      <c r="I197" s="625">
        <v>10</v>
      </c>
      <c r="J197" s="623">
        <v>0.0145</v>
      </c>
      <c r="K197" s="623">
        <v>0.0091</v>
      </c>
      <c r="L197" s="623">
        <v>2</v>
      </c>
      <c r="M197" s="628">
        <f t="shared" si="3"/>
        <v>10.7466963859258</v>
      </c>
      <c r="N197" s="625"/>
      <c r="O197" s="624"/>
    </row>
    <row r="198" customHeight="1" spans="2:15">
      <c r="B198" s="626" t="s">
        <v>113</v>
      </c>
      <c r="D198" s="623">
        <v>1.9285</v>
      </c>
      <c r="E198" s="624">
        <v>250</v>
      </c>
      <c r="F198" s="625">
        <v>10</v>
      </c>
      <c r="G198" s="624">
        <v>100</v>
      </c>
      <c r="H198" s="625">
        <v>2</v>
      </c>
      <c r="I198" s="625">
        <v>10</v>
      </c>
      <c r="J198" s="623">
        <v>0.0213</v>
      </c>
      <c r="K198" s="623">
        <v>0.0091</v>
      </c>
      <c r="L198" s="623">
        <v>2</v>
      </c>
      <c r="M198" s="628">
        <f t="shared" si="3"/>
        <v>15.8154005703915</v>
      </c>
      <c r="N198" s="625">
        <f>AVERAGE(M198:M199)</f>
        <v>15.7872083972139</v>
      </c>
      <c r="O198" s="625">
        <f>(M198-M199)/N198*100</f>
        <v>0.357152100209616</v>
      </c>
    </row>
    <row r="199" customHeight="1" spans="4:15">
      <c r="D199" s="623">
        <v>1.9354</v>
      </c>
      <c r="E199" s="624">
        <v>250</v>
      </c>
      <c r="F199" s="625">
        <v>10</v>
      </c>
      <c r="G199" s="624">
        <v>100</v>
      </c>
      <c r="H199" s="625">
        <v>2</v>
      </c>
      <c r="I199" s="625">
        <v>10</v>
      </c>
      <c r="J199" s="623">
        <v>0.0213</v>
      </c>
      <c r="K199" s="623">
        <v>0.0091</v>
      </c>
      <c r="L199" s="623">
        <v>2</v>
      </c>
      <c r="M199" s="628">
        <f t="shared" si="3"/>
        <v>15.7590162240364</v>
      </c>
      <c r="N199" s="625"/>
      <c r="O199" s="625"/>
    </row>
    <row r="200" customHeight="1" spans="2:15">
      <c r="B200" s="626" t="s">
        <v>114</v>
      </c>
      <c r="D200" s="623">
        <v>1.5561</v>
      </c>
      <c r="E200" s="624">
        <v>250</v>
      </c>
      <c r="F200" s="625">
        <v>10</v>
      </c>
      <c r="G200" s="624">
        <v>100</v>
      </c>
      <c r="H200" s="625">
        <v>2</v>
      </c>
      <c r="I200" s="625">
        <v>10</v>
      </c>
      <c r="J200" s="623">
        <v>0.028</v>
      </c>
      <c r="K200" s="623">
        <v>0.0091</v>
      </c>
      <c r="L200" s="623">
        <v>2</v>
      </c>
      <c r="M200" s="628">
        <f t="shared" si="3"/>
        <v>30.3643724696356</v>
      </c>
      <c r="N200" s="625">
        <f>AVERAGE(M200:M201)</f>
        <v>30.2318740931437</v>
      </c>
      <c r="O200" s="625">
        <f>(M200-M201)/N200*100</f>
        <v>0.876547554304389</v>
      </c>
    </row>
    <row r="201" customHeight="1" spans="4:15">
      <c r="D201" s="623">
        <v>1.5698</v>
      </c>
      <c r="E201" s="624">
        <v>250</v>
      </c>
      <c r="F201" s="625">
        <v>10</v>
      </c>
      <c r="G201" s="624">
        <v>100</v>
      </c>
      <c r="H201" s="625">
        <v>2</v>
      </c>
      <c r="I201" s="625">
        <v>10</v>
      </c>
      <c r="J201" s="623">
        <v>0.028</v>
      </c>
      <c r="K201" s="623">
        <v>0.0091</v>
      </c>
      <c r="L201" s="623">
        <v>2</v>
      </c>
      <c r="M201" s="628">
        <f t="shared" si="3"/>
        <v>30.0993757166518</v>
      </c>
      <c r="N201" s="625"/>
      <c r="O201" s="625"/>
    </row>
    <row r="202" customHeight="1" spans="2:15">
      <c r="B202" s="626" t="s">
        <v>115</v>
      </c>
      <c r="D202" s="623">
        <v>3.0288</v>
      </c>
      <c r="E202" s="624">
        <v>250</v>
      </c>
      <c r="F202" s="625">
        <v>10</v>
      </c>
      <c r="G202" s="624">
        <v>100</v>
      </c>
      <c r="H202" s="625">
        <v>2</v>
      </c>
      <c r="I202" s="625">
        <v>10</v>
      </c>
      <c r="J202" s="623">
        <v>0.0655</v>
      </c>
      <c r="K202" s="623">
        <v>0.0091</v>
      </c>
      <c r="L202" s="623">
        <v>2</v>
      </c>
      <c r="M202" s="628">
        <f t="shared" ref="M202:M245" si="4">L202*(J202-K202)*E202*G202*I202/D202/F202/H202/1000*100</f>
        <v>46.5530903328051</v>
      </c>
      <c r="N202" s="625">
        <f>AVERAGE(M202:M203)</f>
        <v>46.3822085119715</v>
      </c>
      <c r="O202" s="625">
        <f>(M202-M203)/N202*100</f>
        <v>0.736842105263185</v>
      </c>
    </row>
    <row r="203" customHeight="1" spans="4:15">
      <c r="D203" s="623">
        <v>3.0512</v>
      </c>
      <c r="E203" s="624">
        <v>250</v>
      </c>
      <c r="F203" s="625">
        <v>10</v>
      </c>
      <c r="G203" s="624">
        <v>100</v>
      </c>
      <c r="H203" s="625">
        <v>2</v>
      </c>
      <c r="I203" s="625">
        <v>10</v>
      </c>
      <c r="J203" s="623">
        <v>0.0655</v>
      </c>
      <c r="K203" s="623">
        <v>0.0091</v>
      </c>
      <c r="L203" s="623">
        <v>2</v>
      </c>
      <c r="M203" s="628">
        <f t="shared" si="4"/>
        <v>46.2113266911379</v>
      </c>
      <c r="N203" s="625"/>
      <c r="O203" s="625"/>
    </row>
    <row r="204" customHeight="1" spans="2:15">
      <c r="B204" s="626" t="s">
        <v>116</v>
      </c>
      <c r="D204" s="623">
        <v>3.3307</v>
      </c>
      <c r="E204" s="624">
        <v>250</v>
      </c>
      <c r="F204" s="625">
        <v>10</v>
      </c>
      <c r="G204" s="624">
        <v>100</v>
      </c>
      <c r="H204" s="625">
        <v>2</v>
      </c>
      <c r="I204" s="625">
        <v>10</v>
      </c>
      <c r="J204" s="623">
        <v>0.0149</v>
      </c>
      <c r="K204" s="623">
        <v>0.0091</v>
      </c>
      <c r="L204" s="623">
        <v>2</v>
      </c>
      <c r="M204" s="628">
        <f t="shared" si="4"/>
        <v>4.35343921698142</v>
      </c>
      <c r="N204" s="625">
        <f>AVERAGE(M204:M205)</f>
        <v>4.34361541816254</v>
      </c>
      <c r="O204" s="625">
        <f>(M204-M205)/N204*100</f>
        <v>0.452332809106568</v>
      </c>
    </row>
    <row r="205" customHeight="1" spans="4:15">
      <c r="D205" s="623">
        <v>3.3458</v>
      </c>
      <c r="E205" s="624">
        <v>250</v>
      </c>
      <c r="F205" s="625">
        <v>10</v>
      </c>
      <c r="G205" s="624">
        <v>100</v>
      </c>
      <c r="H205" s="625">
        <v>2</v>
      </c>
      <c r="I205" s="625">
        <v>10</v>
      </c>
      <c r="J205" s="623">
        <v>0.0149</v>
      </c>
      <c r="K205" s="623">
        <v>0.0091</v>
      </c>
      <c r="L205" s="623">
        <v>2</v>
      </c>
      <c r="M205" s="628">
        <f t="shared" si="4"/>
        <v>4.33379161934366</v>
      </c>
      <c r="N205" s="625"/>
      <c r="O205" s="625"/>
    </row>
    <row r="206" customHeight="1" spans="2:15">
      <c r="B206" s="626" t="s">
        <v>117</v>
      </c>
      <c r="D206" s="623">
        <v>3.2873</v>
      </c>
      <c r="E206" s="624">
        <v>250</v>
      </c>
      <c r="F206" s="625">
        <v>10</v>
      </c>
      <c r="G206" s="624">
        <v>100</v>
      </c>
      <c r="H206" s="625">
        <v>2</v>
      </c>
      <c r="I206" s="625">
        <v>10</v>
      </c>
      <c r="J206" s="623">
        <v>0.0306</v>
      </c>
      <c r="K206" s="623">
        <v>0.0091</v>
      </c>
      <c r="L206" s="623">
        <v>2</v>
      </c>
      <c r="M206" s="628">
        <f t="shared" si="4"/>
        <v>16.3508046116874</v>
      </c>
      <c r="N206" s="625">
        <f>AVERAGE(M206:M207)</f>
        <v>16.3131767191669</v>
      </c>
      <c r="O206" s="625">
        <f>(M206-M207)/N206*100</f>
        <v>0.461319008164133</v>
      </c>
    </row>
    <row r="207" customHeight="1" spans="4:15">
      <c r="D207" s="623">
        <v>3.3025</v>
      </c>
      <c r="E207" s="624">
        <v>250</v>
      </c>
      <c r="F207" s="625">
        <v>10</v>
      </c>
      <c r="G207" s="624">
        <v>100</v>
      </c>
      <c r="H207" s="625">
        <v>2</v>
      </c>
      <c r="I207" s="625">
        <v>10</v>
      </c>
      <c r="J207" s="623">
        <v>0.0306</v>
      </c>
      <c r="K207" s="623">
        <v>0.0091</v>
      </c>
      <c r="L207" s="623">
        <v>2</v>
      </c>
      <c r="M207" s="628">
        <f t="shared" si="4"/>
        <v>16.2755488266465</v>
      </c>
      <c r="N207" s="625"/>
      <c r="O207" s="625"/>
    </row>
    <row r="208" customHeight="1" spans="2:15">
      <c r="B208" s="626" t="s">
        <v>118</v>
      </c>
      <c r="D208" s="623">
        <v>3.078</v>
      </c>
      <c r="E208" s="624">
        <v>250</v>
      </c>
      <c r="F208" s="625">
        <v>10</v>
      </c>
      <c r="G208" s="624">
        <v>100</v>
      </c>
      <c r="H208" s="625">
        <v>2</v>
      </c>
      <c r="I208" s="625">
        <v>10</v>
      </c>
      <c r="J208" s="623">
        <v>0.0269</v>
      </c>
      <c r="K208" s="623">
        <v>0.0091</v>
      </c>
      <c r="L208" s="623">
        <v>2</v>
      </c>
      <c r="M208" s="628">
        <f t="shared" si="4"/>
        <v>14.4574398960364</v>
      </c>
      <c r="N208" s="625">
        <f>AVERAGE(M208:M209)</f>
        <v>14.4158767410927</v>
      </c>
      <c r="O208" s="625">
        <f>(M208-M209)/N208*100</f>
        <v>0.576630276329032</v>
      </c>
    </row>
    <row r="209" customHeight="1" spans="4:15">
      <c r="D209" s="623">
        <v>3.0958</v>
      </c>
      <c r="E209" s="624">
        <v>250</v>
      </c>
      <c r="F209" s="625">
        <v>10</v>
      </c>
      <c r="G209" s="624">
        <v>100</v>
      </c>
      <c r="H209" s="625">
        <v>2</v>
      </c>
      <c r="I209" s="625">
        <v>10</v>
      </c>
      <c r="J209" s="623">
        <v>0.0269</v>
      </c>
      <c r="K209" s="623">
        <v>0.0091</v>
      </c>
      <c r="L209" s="623">
        <v>2</v>
      </c>
      <c r="M209" s="628">
        <f t="shared" si="4"/>
        <v>14.374313586149</v>
      </c>
      <c r="N209" s="625"/>
      <c r="O209" s="625"/>
    </row>
    <row r="210" customHeight="1" spans="2:15">
      <c r="B210" s="626" t="s">
        <v>119</v>
      </c>
      <c r="D210" s="623">
        <v>2.9692</v>
      </c>
      <c r="E210" s="624">
        <v>250</v>
      </c>
      <c r="F210" s="625">
        <v>10</v>
      </c>
      <c r="G210" s="624">
        <v>100</v>
      </c>
      <c r="H210" s="625">
        <v>2</v>
      </c>
      <c r="I210" s="625">
        <v>10</v>
      </c>
      <c r="J210" s="623">
        <v>0.0276</v>
      </c>
      <c r="K210" s="623">
        <v>0.0091</v>
      </c>
      <c r="L210" s="623">
        <v>2</v>
      </c>
      <c r="M210" s="628">
        <f t="shared" si="4"/>
        <v>15.5765862858682</v>
      </c>
      <c r="N210" s="625">
        <f>AVERAGE(M210:M211)</f>
        <v>15.4963695403875</v>
      </c>
      <c r="O210" s="624">
        <f>(M210-M211)/N210*100</f>
        <v>1.03529727103683</v>
      </c>
    </row>
    <row r="211" customHeight="1" spans="4:15">
      <c r="D211" s="623">
        <v>3.0001</v>
      </c>
      <c r="E211" s="624">
        <v>250</v>
      </c>
      <c r="F211" s="625">
        <v>10</v>
      </c>
      <c r="G211" s="624">
        <v>100</v>
      </c>
      <c r="H211" s="625">
        <v>2</v>
      </c>
      <c r="I211" s="625">
        <v>10</v>
      </c>
      <c r="J211" s="623">
        <v>0.0276</v>
      </c>
      <c r="K211" s="623">
        <v>0.0091</v>
      </c>
      <c r="L211" s="623">
        <v>2</v>
      </c>
      <c r="M211" s="628">
        <f t="shared" si="4"/>
        <v>15.4161527949068</v>
      </c>
      <c r="N211" s="625"/>
      <c r="O211" s="624"/>
    </row>
    <row r="212" customHeight="1" spans="2:15">
      <c r="B212" s="626" t="s">
        <v>120</v>
      </c>
      <c r="D212" s="623">
        <v>3.1265</v>
      </c>
      <c r="E212" s="624">
        <v>250</v>
      </c>
      <c r="F212" s="625">
        <v>10</v>
      </c>
      <c r="G212" s="624">
        <v>100</v>
      </c>
      <c r="H212" s="625">
        <v>2</v>
      </c>
      <c r="I212" s="625">
        <v>10</v>
      </c>
      <c r="J212" s="623">
        <v>0.0125</v>
      </c>
      <c r="K212" s="623">
        <v>0.0091</v>
      </c>
      <c r="L212" s="623">
        <v>2</v>
      </c>
      <c r="M212" s="628">
        <f t="shared" si="4"/>
        <v>2.71869502638733</v>
      </c>
      <c r="N212" s="625">
        <f>AVERAGE(M212:M213)</f>
        <v>2.67656431158201</v>
      </c>
      <c r="O212" s="624">
        <f>(M212-M213)/N212*100</f>
        <v>3.14811899889815</v>
      </c>
    </row>
    <row r="213" customHeight="1" spans="4:15">
      <c r="D213" s="623">
        <v>3.2265</v>
      </c>
      <c r="E213" s="624">
        <v>250</v>
      </c>
      <c r="F213" s="625">
        <v>10</v>
      </c>
      <c r="G213" s="624">
        <v>100</v>
      </c>
      <c r="H213" s="625">
        <v>2</v>
      </c>
      <c r="I213" s="625">
        <v>10</v>
      </c>
      <c r="J213" s="623">
        <v>0.0125</v>
      </c>
      <c r="K213" s="623">
        <v>0.0091</v>
      </c>
      <c r="L213" s="623">
        <v>2</v>
      </c>
      <c r="M213" s="628">
        <f t="shared" si="4"/>
        <v>2.63443359677669</v>
      </c>
      <c r="N213" s="625"/>
      <c r="O213" s="624"/>
    </row>
    <row r="214" customHeight="1" spans="2:15">
      <c r="B214" s="626" t="s">
        <v>121</v>
      </c>
      <c r="D214" s="623">
        <v>3.2145</v>
      </c>
      <c r="E214" s="624">
        <v>250</v>
      </c>
      <c r="F214" s="625">
        <v>10</v>
      </c>
      <c r="G214" s="624">
        <v>100</v>
      </c>
      <c r="H214" s="625">
        <v>2</v>
      </c>
      <c r="I214" s="625">
        <v>10</v>
      </c>
      <c r="J214" s="623">
        <v>0.0188</v>
      </c>
      <c r="K214" s="623">
        <v>0.0091</v>
      </c>
      <c r="L214" s="623">
        <v>2</v>
      </c>
      <c r="M214" s="628">
        <f t="shared" si="4"/>
        <v>7.54394151501011</v>
      </c>
      <c r="N214" s="625">
        <f>AVERAGE(M214:M215)</f>
        <v>7.53644652514764</v>
      </c>
      <c r="O214" s="625">
        <f>(M214-M215)/N214*100</f>
        <v>0.198899835286054</v>
      </c>
    </row>
    <row r="215" customHeight="1" spans="4:15">
      <c r="D215" s="623">
        <v>3.2209</v>
      </c>
      <c r="E215" s="624">
        <v>250</v>
      </c>
      <c r="F215" s="625">
        <v>10</v>
      </c>
      <c r="G215" s="624">
        <v>100</v>
      </c>
      <c r="H215" s="625">
        <v>2</v>
      </c>
      <c r="I215" s="625">
        <v>10</v>
      </c>
      <c r="J215" s="623">
        <v>0.0188</v>
      </c>
      <c r="K215" s="623">
        <v>0.0091</v>
      </c>
      <c r="L215" s="623">
        <v>2</v>
      </c>
      <c r="M215" s="628">
        <f t="shared" si="4"/>
        <v>7.52895153528517</v>
      </c>
      <c r="N215" s="625"/>
      <c r="O215" s="625"/>
    </row>
    <row r="216" customHeight="1" spans="2:15">
      <c r="B216" s="626" t="s">
        <v>122</v>
      </c>
      <c r="D216" s="623">
        <v>3.3606</v>
      </c>
      <c r="E216" s="624">
        <v>250</v>
      </c>
      <c r="F216" s="625">
        <v>10</v>
      </c>
      <c r="G216" s="624">
        <v>100</v>
      </c>
      <c r="H216" s="625">
        <v>2</v>
      </c>
      <c r="I216" s="625">
        <v>10</v>
      </c>
      <c r="J216" s="623">
        <v>0.0151</v>
      </c>
      <c r="K216" s="623">
        <v>0.0091</v>
      </c>
      <c r="L216" s="623">
        <v>2</v>
      </c>
      <c r="M216" s="628">
        <f t="shared" si="4"/>
        <v>4.4634886627388</v>
      </c>
      <c r="N216" s="625">
        <f>AVERAGE(M216:M217)</f>
        <v>4.43219028841669</v>
      </c>
      <c r="O216" s="624">
        <f>(M216-M217)/N216*100</f>
        <v>1.41232087457528</v>
      </c>
    </row>
    <row r="217" customHeight="1" spans="4:15">
      <c r="D217" s="623">
        <v>3.4084</v>
      </c>
      <c r="E217" s="624">
        <v>250</v>
      </c>
      <c r="F217" s="625">
        <v>10</v>
      </c>
      <c r="G217" s="624">
        <v>100</v>
      </c>
      <c r="H217" s="625">
        <v>2</v>
      </c>
      <c r="I217" s="625">
        <v>10</v>
      </c>
      <c r="J217" s="623">
        <v>0.0151</v>
      </c>
      <c r="K217" s="623">
        <v>0.0091</v>
      </c>
      <c r="L217" s="623">
        <v>2</v>
      </c>
      <c r="M217" s="628">
        <f t="shared" si="4"/>
        <v>4.40089191409459</v>
      </c>
      <c r="N217" s="625"/>
      <c r="O217" s="624"/>
    </row>
    <row r="218" customHeight="1" spans="2:15">
      <c r="B218" s="626" t="s">
        <v>123</v>
      </c>
      <c r="D218" s="623">
        <v>3.0948</v>
      </c>
      <c r="E218" s="624">
        <v>250</v>
      </c>
      <c r="F218" s="625">
        <v>10</v>
      </c>
      <c r="G218" s="624">
        <v>100</v>
      </c>
      <c r="H218" s="625">
        <v>2</v>
      </c>
      <c r="I218" s="625">
        <v>10</v>
      </c>
      <c r="J218" s="623">
        <v>0.009</v>
      </c>
      <c r="K218" s="623">
        <v>0.0091</v>
      </c>
      <c r="L218" s="623">
        <v>2</v>
      </c>
      <c r="M218" s="628">
        <f t="shared" si="4"/>
        <v>-0.0807806643401844</v>
      </c>
      <c r="N218" s="625">
        <f>AVERAGE(M218:M219)</f>
        <v>-0.0806453882051307</v>
      </c>
      <c r="O218" s="624">
        <f>(M218-M219)/N218*100</f>
        <v>0.335483870967714</v>
      </c>
    </row>
    <row r="219" customHeight="1" spans="4:15">
      <c r="D219" s="623">
        <v>3.1052</v>
      </c>
      <c r="E219" s="624">
        <v>250</v>
      </c>
      <c r="F219" s="625">
        <v>10</v>
      </c>
      <c r="G219" s="624">
        <v>100</v>
      </c>
      <c r="H219" s="625">
        <v>2</v>
      </c>
      <c r="I219" s="625">
        <v>10</v>
      </c>
      <c r="J219" s="623">
        <v>0.009</v>
      </c>
      <c r="K219" s="623">
        <v>0.0091</v>
      </c>
      <c r="L219" s="623">
        <v>2</v>
      </c>
      <c r="M219" s="628">
        <f t="shared" si="4"/>
        <v>-0.0805101120700769</v>
      </c>
      <c r="N219" s="625"/>
      <c r="O219" s="624"/>
    </row>
    <row r="220" customHeight="1" spans="2:15">
      <c r="B220" s="626" t="s">
        <v>124</v>
      </c>
      <c r="D220" s="623">
        <v>3.2322</v>
      </c>
      <c r="E220" s="624">
        <v>250</v>
      </c>
      <c r="F220" s="625">
        <v>10</v>
      </c>
      <c r="G220" s="624">
        <v>100</v>
      </c>
      <c r="H220" s="625">
        <v>2</v>
      </c>
      <c r="I220" s="625">
        <v>10</v>
      </c>
      <c r="J220" s="623">
        <v>0.0209</v>
      </c>
      <c r="K220" s="623">
        <v>0.0091</v>
      </c>
      <c r="L220" s="623">
        <v>2</v>
      </c>
      <c r="M220" s="628">
        <f t="shared" si="4"/>
        <v>9.12691046346142</v>
      </c>
      <c r="N220" s="625">
        <f>AVERAGE(M220:M221)</f>
        <v>9.23354135128491</v>
      </c>
      <c r="O220" s="624">
        <f>(M220-M221)/N220*100</f>
        <v>-2.30964228710917</v>
      </c>
    </row>
    <row r="221" customHeight="1" spans="4:15">
      <c r="D221" s="623">
        <v>3.1584</v>
      </c>
      <c r="E221" s="624">
        <v>250</v>
      </c>
      <c r="F221" s="625">
        <v>10</v>
      </c>
      <c r="G221" s="624">
        <v>100</v>
      </c>
      <c r="H221" s="625">
        <v>2</v>
      </c>
      <c r="I221" s="625">
        <v>10</v>
      </c>
      <c r="J221" s="623">
        <v>0.0209</v>
      </c>
      <c r="K221" s="623">
        <v>0.0091</v>
      </c>
      <c r="L221" s="623">
        <v>2</v>
      </c>
      <c r="M221" s="628">
        <f t="shared" si="4"/>
        <v>9.34017223910841</v>
      </c>
      <c r="N221" s="625"/>
      <c r="O221" s="624"/>
    </row>
    <row r="222" customHeight="1" spans="2:15">
      <c r="B222" s="626" t="s">
        <v>125</v>
      </c>
      <c r="D222" s="623">
        <v>3.025</v>
      </c>
      <c r="E222" s="624">
        <v>250</v>
      </c>
      <c r="F222" s="625">
        <v>10</v>
      </c>
      <c r="G222" s="624">
        <v>100</v>
      </c>
      <c r="H222" s="625">
        <v>2</v>
      </c>
      <c r="I222" s="625">
        <v>10</v>
      </c>
      <c r="J222" s="623">
        <v>0.0089</v>
      </c>
      <c r="K222" s="623">
        <v>0.0091</v>
      </c>
      <c r="L222" s="623">
        <v>2</v>
      </c>
      <c r="M222" s="628">
        <f t="shared" si="4"/>
        <v>-0.165289256198348</v>
      </c>
      <c r="N222" s="625">
        <f>AVERAGE(M222:M223)</f>
        <v>-0.157911826654044</v>
      </c>
      <c r="O222" s="624">
        <f>(M222-M223)/N222*100</f>
        <v>9.34373276609155</v>
      </c>
    </row>
    <row r="223" customHeight="1" spans="4:15">
      <c r="D223" s="623">
        <v>3.3215</v>
      </c>
      <c r="E223" s="624">
        <v>250</v>
      </c>
      <c r="F223" s="625">
        <v>10</v>
      </c>
      <c r="G223" s="624">
        <v>100</v>
      </c>
      <c r="H223" s="625">
        <v>2</v>
      </c>
      <c r="I223" s="625">
        <v>10</v>
      </c>
      <c r="J223" s="623">
        <v>0.0089</v>
      </c>
      <c r="K223" s="623">
        <v>0.0091</v>
      </c>
      <c r="L223" s="623">
        <v>2</v>
      </c>
      <c r="M223" s="628">
        <f t="shared" si="4"/>
        <v>-0.15053439710974</v>
      </c>
      <c r="N223" s="625"/>
      <c r="O223" s="624"/>
    </row>
    <row r="224" customHeight="1" spans="2:15">
      <c r="B224" s="626" t="s">
        <v>126</v>
      </c>
      <c r="D224" s="623">
        <v>10.6035</v>
      </c>
      <c r="E224" s="624">
        <v>250</v>
      </c>
      <c r="F224" s="625">
        <v>10</v>
      </c>
      <c r="G224" s="624">
        <v>100</v>
      </c>
      <c r="H224" s="623">
        <v>1</v>
      </c>
      <c r="I224" s="623">
        <v>10</v>
      </c>
      <c r="J224" s="623">
        <v>0.0214</v>
      </c>
      <c r="K224" s="623">
        <v>0.0097</v>
      </c>
      <c r="L224" s="623">
        <v>1</v>
      </c>
      <c r="M224" s="628">
        <f t="shared" si="4"/>
        <v>2.75852312915547</v>
      </c>
      <c r="N224" s="625">
        <f>AVERAGE(M224:M225)</f>
        <v>2.76660895636464</v>
      </c>
      <c r="O224" s="625">
        <f>(M224-M225)/N224*100</f>
        <v>-0.584529822371038</v>
      </c>
    </row>
    <row r="225" customHeight="1" spans="4:15">
      <c r="D225" s="623">
        <v>10.5417</v>
      </c>
      <c r="E225" s="624">
        <v>250</v>
      </c>
      <c r="F225" s="625">
        <v>10</v>
      </c>
      <c r="G225" s="624">
        <v>100</v>
      </c>
      <c r="H225" s="623">
        <v>1</v>
      </c>
      <c r="I225" s="623">
        <v>10</v>
      </c>
      <c r="J225" s="623">
        <v>0.0214</v>
      </c>
      <c r="K225" s="623">
        <v>0.0097</v>
      </c>
      <c r="L225" s="623">
        <v>1</v>
      </c>
      <c r="M225" s="628">
        <f t="shared" si="4"/>
        <v>2.77469478357381</v>
      </c>
      <c r="N225" s="625"/>
      <c r="O225" s="625"/>
    </row>
    <row r="226" customHeight="1" spans="2:15">
      <c r="B226" s="626" t="s">
        <v>127</v>
      </c>
      <c r="D226" s="623">
        <v>10.0183</v>
      </c>
      <c r="E226" s="624">
        <v>250</v>
      </c>
      <c r="F226" s="625">
        <v>10</v>
      </c>
      <c r="G226" s="624">
        <v>100</v>
      </c>
      <c r="H226" s="623">
        <v>1</v>
      </c>
      <c r="I226" s="623">
        <v>10</v>
      </c>
      <c r="J226" s="623">
        <v>0.0164</v>
      </c>
      <c r="K226" s="623">
        <v>0.0097</v>
      </c>
      <c r="L226" s="623">
        <v>1</v>
      </c>
      <c r="M226" s="628">
        <f t="shared" si="4"/>
        <v>1.67194034916104</v>
      </c>
      <c r="N226" s="625">
        <f>AVERAGE(M226:M227)</f>
        <v>1.67242460654057</v>
      </c>
      <c r="O226" s="625">
        <f>(M226-M227)/N226*100</f>
        <v>-0.0579108173412675</v>
      </c>
    </row>
    <row r="227" customHeight="1" spans="4:15">
      <c r="D227" s="623">
        <v>10.0125</v>
      </c>
      <c r="E227" s="624">
        <v>250</v>
      </c>
      <c r="F227" s="625">
        <v>10</v>
      </c>
      <c r="G227" s="624">
        <v>100</v>
      </c>
      <c r="H227" s="623">
        <v>1</v>
      </c>
      <c r="I227" s="623">
        <v>10</v>
      </c>
      <c r="J227" s="623">
        <v>0.0164</v>
      </c>
      <c r="K227" s="623">
        <v>0.0097</v>
      </c>
      <c r="L227" s="623">
        <v>1</v>
      </c>
      <c r="M227" s="628">
        <f t="shared" si="4"/>
        <v>1.6729088639201</v>
      </c>
      <c r="N227" s="625"/>
      <c r="O227" s="625"/>
    </row>
    <row r="228" customHeight="1" spans="2:15">
      <c r="B228" s="626" t="s">
        <v>128</v>
      </c>
      <c r="D228" s="623">
        <v>10.4196</v>
      </c>
      <c r="E228" s="624">
        <v>250</v>
      </c>
      <c r="F228" s="625">
        <v>10</v>
      </c>
      <c r="G228" s="624">
        <v>100</v>
      </c>
      <c r="H228" s="623">
        <v>1</v>
      </c>
      <c r="I228" s="623">
        <v>10</v>
      </c>
      <c r="J228" s="623">
        <v>0.0198</v>
      </c>
      <c r="K228" s="623">
        <v>0.0097</v>
      </c>
      <c r="L228" s="623">
        <v>1</v>
      </c>
      <c r="M228" s="628">
        <f t="shared" si="4"/>
        <v>2.4233175937656</v>
      </c>
      <c r="N228" s="625">
        <f>AVERAGE(M228:M229)</f>
        <v>2.42377128092132</v>
      </c>
      <c r="O228" s="625">
        <f>(M228-M229)/N228*100</f>
        <v>-0.0374364659976329</v>
      </c>
    </row>
    <row r="229" customHeight="1" spans="4:15">
      <c r="D229" s="623">
        <v>10.4157</v>
      </c>
      <c r="E229" s="624">
        <v>250</v>
      </c>
      <c r="F229" s="625">
        <v>10</v>
      </c>
      <c r="G229" s="624">
        <v>100</v>
      </c>
      <c r="H229" s="623">
        <v>1</v>
      </c>
      <c r="I229" s="623">
        <v>10</v>
      </c>
      <c r="J229" s="623">
        <v>0.0198</v>
      </c>
      <c r="K229" s="623">
        <v>0.0097</v>
      </c>
      <c r="L229" s="623">
        <v>1</v>
      </c>
      <c r="M229" s="628">
        <f t="shared" si="4"/>
        <v>2.42422496807704</v>
      </c>
      <c r="N229" s="625"/>
      <c r="O229" s="625"/>
    </row>
    <row r="230" customHeight="1" spans="2:15">
      <c r="B230" s="626" t="s">
        <v>129</v>
      </c>
      <c r="D230" s="623">
        <v>10.9504</v>
      </c>
      <c r="E230" s="624">
        <v>250</v>
      </c>
      <c r="F230" s="625">
        <v>10</v>
      </c>
      <c r="G230" s="624">
        <v>100</v>
      </c>
      <c r="H230" s="623">
        <v>1</v>
      </c>
      <c r="I230" s="623">
        <v>10</v>
      </c>
      <c r="J230" s="623">
        <v>0.0237</v>
      </c>
      <c r="K230" s="623">
        <v>0.0097</v>
      </c>
      <c r="L230" s="623">
        <v>1</v>
      </c>
      <c r="M230" s="628">
        <f t="shared" si="4"/>
        <v>3.19623027469316</v>
      </c>
      <c r="N230" s="625">
        <f>AVERAGE(M230:M231)</f>
        <v>3.18971874619408</v>
      </c>
      <c r="O230" s="625">
        <f>(M230-M231)/N230*100</f>
        <v>0.408282298046072</v>
      </c>
    </row>
    <row r="231" customHeight="1" spans="4:15">
      <c r="D231" s="623">
        <v>10.9952</v>
      </c>
      <c r="E231" s="624">
        <v>250</v>
      </c>
      <c r="F231" s="625">
        <v>10</v>
      </c>
      <c r="G231" s="624">
        <v>100</v>
      </c>
      <c r="H231" s="623">
        <v>1</v>
      </c>
      <c r="I231" s="623">
        <v>10</v>
      </c>
      <c r="J231" s="623">
        <v>0.0237</v>
      </c>
      <c r="K231" s="623">
        <v>0.0097</v>
      </c>
      <c r="L231" s="623">
        <v>1</v>
      </c>
      <c r="M231" s="628">
        <f t="shared" si="4"/>
        <v>3.18320721769499</v>
      </c>
      <c r="N231" s="625"/>
      <c r="O231" s="625"/>
    </row>
    <row r="232" customHeight="1" spans="2:15">
      <c r="B232" s="626" t="s">
        <v>130</v>
      </c>
      <c r="D232" s="623">
        <v>10.3003</v>
      </c>
      <c r="E232" s="624">
        <v>250</v>
      </c>
      <c r="F232" s="625">
        <v>10</v>
      </c>
      <c r="G232" s="624">
        <v>100</v>
      </c>
      <c r="H232" s="623">
        <v>1</v>
      </c>
      <c r="I232" s="623">
        <v>10</v>
      </c>
      <c r="J232" s="623">
        <v>0.0184</v>
      </c>
      <c r="K232" s="623">
        <v>0.0097</v>
      </c>
      <c r="L232" s="623">
        <v>1</v>
      </c>
      <c r="M232" s="628">
        <f t="shared" si="4"/>
        <v>2.11158898284516</v>
      </c>
      <c r="N232" s="625">
        <f>AVERAGE(M232:M233)</f>
        <v>2.10736241545828</v>
      </c>
      <c r="O232" s="625">
        <f>(M232-M233)/N232*100</f>
        <v>0.401123922100569</v>
      </c>
    </row>
    <row r="233" customHeight="1" spans="4:15">
      <c r="D233" s="623">
        <v>10.3417</v>
      </c>
      <c r="E233" s="624">
        <v>250</v>
      </c>
      <c r="F233" s="625">
        <v>10</v>
      </c>
      <c r="G233" s="624">
        <v>100</v>
      </c>
      <c r="H233" s="623">
        <v>1</v>
      </c>
      <c r="I233" s="623">
        <v>10</v>
      </c>
      <c r="J233" s="623">
        <v>0.0184</v>
      </c>
      <c r="K233" s="623">
        <v>0.0097</v>
      </c>
      <c r="L233" s="623">
        <v>1</v>
      </c>
      <c r="M233" s="628">
        <f t="shared" si="4"/>
        <v>2.1031358480714</v>
      </c>
      <c r="N233" s="625"/>
      <c r="O233" s="625"/>
    </row>
    <row r="234" customHeight="1" spans="2:15">
      <c r="B234" s="626" t="s">
        <v>130</v>
      </c>
      <c r="D234" s="623">
        <v>10.3218</v>
      </c>
      <c r="E234" s="624">
        <v>250</v>
      </c>
      <c r="F234" s="625">
        <v>10</v>
      </c>
      <c r="G234" s="624">
        <v>100</v>
      </c>
      <c r="H234" s="623">
        <v>1</v>
      </c>
      <c r="I234" s="623">
        <v>10</v>
      </c>
      <c r="J234" s="623">
        <v>0.0207</v>
      </c>
      <c r="K234" s="623">
        <v>0.0097</v>
      </c>
      <c r="L234" s="623">
        <v>1</v>
      </c>
      <c r="M234" s="628">
        <f t="shared" si="4"/>
        <v>2.66426398496386</v>
      </c>
      <c r="N234" s="625">
        <f>AVERAGE(M234:M235)</f>
        <v>2.21854170853119</v>
      </c>
      <c r="O234" s="625">
        <f>(M234-M235)/N234*100</f>
        <v>40.1815548221329</v>
      </c>
    </row>
    <row r="235" customHeight="1" spans="4:15">
      <c r="D235" s="623">
        <v>10.0123</v>
      </c>
      <c r="E235" s="624">
        <v>250</v>
      </c>
      <c r="F235" s="625">
        <v>10</v>
      </c>
      <c r="G235" s="624">
        <v>100</v>
      </c>
      <c r="H235" s="623">
        <v>1</v>
      </c>
      <c r="I235" s="623">
        <v>10</v>
      </c>
      <c r="J235" s="623">
        <v>0.0168</v>
      </c>
      <c r="K235" s="623">
        <v>0.0097</v>
      </c>
      <c r="L235" s="623">
        <v>1</v>
      </c>
      <c r="M235" s="628">
        <f t="shared" si="4"/>
        <v>1.77281943209852</v>
      </c>
      <c r="N235" s="625"/>
      <c r="O235" s="625"/>
    </row>
    <row r="236" customHeight="1" spans="2:15">
      <c r="B236" s="630" t="s">
        <v>131</v>
      </c>
      <c r="D236" s="623">
        <v>10.3218</v>
      </c>
      <c r="E236" s="624">
        <v>250</v>
      </c>
      <c r="F236" s="625">
        <v>10</v>
      </c>
      <c r="G236" s="624">
        <v>100</v>
      </c>
      <c r="H236" s="623">
        <v>1</v>
      </c>
      <c r="I236" s="623">
        <v>10</v>
      </c>
      <c r="J236" s="623">
        <v>0.016</v>
      </c>
      <c r="K236" s="623">
        <v>0.0094</v>
      </c>
      <c r="L236" s="623">
        <v>1</v>
      </c>
      <c r="M236" s="628">
        <f t="shared" si="4"/>
        <v>1.59855839097832</v>
      </c>
      <c r="N236" s="625">
        <f>AVERAGE(M236:M237)</f>
        <v>1.59569580343016</v>
      </c>
      <c r="O236" s="625">
        <f>(M236-M237)/N236*100</f>
        <v>0.358788629011576</v>
      </c>
    </row>
    <row r="237" customHeight="1" spans="4:15">
      <c r="D237" s="623">
        <v>10.3589</v>
      </c>
      <c r="E237" s="624">
        <v>250</v>
      </c>
      <c r="F237" s="625">
        <v>10</v>
      </c>
      <c r="G237" s="624">
        <v>100</v>
      </c>
      <c r="H237" s="623">
        <v>1</v>
      </c>
      <c r="I237" s="623">
        <v>10</v>
      </c>
      <c r="J237" s="623">
        <v>0.016</v>
      </c>
      <c r="K237" s="623">
        <v>0.0094</v>
      </c>
      <c r="L237" s="623">
        <v>1</v>
      </c>
      <c r="M237" s="628">
        <f t="shared" si="4"/>
        <v>1.592833215882</v>
      </c>
      <c r="N237" s="625"/>
      <c r="O237" s="625"/>
    </row>
    <row r="238" customHeight="1" spans="2:15">
      <c r="B238" s="630" t="s">
        <v>132</v>
      </c>
      <c r="D238" s="623">
        <v>10.0123</v>
      </c>
      <c r="E238" s="624">
        <v>250</v>
      </c>
      <c r="F238" s="625">
        <v>10</v>
      </c>
      <c r="G238" s="624">
        <v>100</v>
      </c>
      <c r="H238" s="623">
        <v>1</v>
      </c>
      <c r="I238" s="623">
        <v>10</v>
      </c>
      <c r="J238" s="623">
        <v>0.0167</v>
      </c>
      <c r="K238" s="623">
        <v>0.0094</v>
      </c>
      <c r="L238" s="623">
        <v>1</v>
      </c>
      <c r="M238" s="628">
        <f t="shared" si="4"/>
        <v>1.82275800765059</v>
      </c>
      <c r="N238" s="625">
        <f>AVERAGE(M238:M239)</f>
        <v>1.80126695108542</v>
      </c>
      <c r="O238" s="625">
        <f>(M238-M239)/N238*100</f>
        <v>2.3862156081001</v>
      </c>
    </row>
    <row r="239" customHeight="1" spans="4:15">
      <c r="D239" s="623">
        <v>10.2541</v>
      </c>
      <c r="E239" s="624">
        <v>250</v>
      </c>
      <c r="F239" s="625">
        <v>10</v>
      </c>
      <c r="G239" s="624">
        <v>100</v>
      </c>
      <c r="H239" s="623">
        <v>1</v>
      </c>
      <c r="I239" s="623">
        <v>10</v>
      </c>
      <c r="J239" s="623">
        <v>0.0167</v>
      </c>
      <c r="K239" s="623">
        <v>0.0094</v>
      </c>
      <c r="L239" s="623">
        <v>1</v>
      </c>
      <c r="M239" s="628">
        <f t="shared" si="4"/>
        <v>1.77977589452024</v>
      </c>
      <c r="N239" s="625"/>
      <c r="O239" s="625"/>
    </row>
    <row r="240" customHeight="1" spans="2:15">
      <c r="B240" s="630" t="s">
        <v>133</v>
      </c>
      <c r="D240" s="623">
        <v>10.0117</v>
      </c>
      <c r="E240" s="624">
        <v>250</v>
      </c>
      <c r="F240" s="625">
        <v>10</v>
      </c>
      <c r="G240" s="624">
        <v>100</v>
      </c>
      <c r="H240" s="623">
        <v>1</v>
      </c>
      <c r="I240" s="623">
        <v>10</v>
      </c>
      <c r="J240" s="623">
        <v>0.0202</v>
      </c>
      <c r="K240" s="623">
        <v>0.0094</v>
      </c>
      <c r="L240" s="623">
        <v>1</v>
      </c>
      <c r="M240" s="628">
        <f t="shared" si="4"/>
        <v>2.6968446917107</v>
      </c>
      <c r="N240" s="625">
        <f>AVERAGE(M240:M241)</f>
        <v>2.69629271067893</v>
      </c>
      <c r="O240" s="625">
        <f>(M240-M241)/N240*100</f>
        <v>0.0409437024091843</v>
      </c>
    </row>
    <row r="241" customHeight="1" spans="4:15">
      <c r="D241" s="623">
        <v>10.0158</v>
      </c>
      <c r="E241" s="624">
        <v>250</v>
      </c>
      <c r="F241" s="625">
        <v>10</v>
      </c>
      <c r="G241" s="624">
        <v>100</v>
      </c>
      <c r="H241" s="623">
        <v>1</v>
      </c>
      <c r="I241" s="623">
        <v>10</v>
      </c>
      <c r="J241" s="623">
        <v>0.0202</v>
      </c>
      <c r="K241" s="623">
        <v>0.0094</v>
      </c>
      <c r="L241" s="623">
        <v>1</v>
      </c>
      <c r="M241" s="628">
        <f t="shared" si="4"/>
        <v>2.69574072964716</v>
      </c>
      <c r="N241" s="625"/>
      <c r="O241" s="625"/>
    </row>
    <row r="242" customHeight="1" spans="2:15">
      <c r="B242" s="630" t="s">
        <v>134</v>
      </c>
      <c r="D242" s="623">
        <v>10.9185</v>
      </c>
      <c r="E242" s="624">
        <v>250</v>
      </c>
      <c r="F242" s="625">
        <v>10</v>
      </c>
      <c r="G242" s="624">
        <v>100</v>
      </c>
      <c r="H242" s="623">
        <v>1</v>
      </c>
      <c r="I242" s="623">
        <v>10</v>
      </c>
      <c r="J242" s="623">
        <v>0.009</v>
      </c>
      <c r="K242" s="623">
        <v>0.0094</v>
      </c>
      <c r="L242" s="623">
        <v>1</v>
      </c>
      <c r="M242" s="628">
        <f t="shared" si="4"/>
        <v>-0.0915876722993088</v>
      </c>
      <c r="N242" s="625">
        <f t="shared" ref="N242:N246" si="5">AVERAGE(M242:M243)</f>
        <v>-0.0918708400385536</v>
      </c>
      <c r="O242" s="625">
        <f t="shared" ref="O242:O246" si="6">(M242-M243)/N242*100</f>
        <v>-0.616447480236478</v>
      </c>
    </row>
    <row r="243" customHeight="1" spans="4:15">
      <c r="D243" s="623">
        <v>10.8514</v>
      </c>
      <c r="E243" s="624">
        <v>250</v>
      </c>
      <c r="F243" s="625">
        <v>10</v>
      </c>
      <c r="G243" s="624">
        <v>100</v>
      </c>
      <c r="H243" s="623">
        <v>1</v>
      </c>
      <c r="I243" s="623">
        <v>10</v>
      </c>
      <c r="J243" s="623">
        <v>0.009</v>
      </c>
      <c r="K243" s="623">
        <v>0.0094</v>
      </c>
      <c r="L243" s="623">
        <v>1</v>
      </c>
      <c r="M243" s="628">
        <f t="shared" si="4"/>
        <v>-0.0921540077777985</v>
      </c>
      <c r="N243" s="625"/>
      <c r="O243" s="625"/>
    </row>
    <row r="244" customHeight="1" spans="2:15">
      <c r="B244" s="630" t="s">
        <v>135</v>
      </c>
      <c r="D244" s="623">
        <v>10.2684</v>
      </c>
      <c r="E244" s="624">
        <v>250</v>
      </c>
      <c r="F244" s="625">
        <v>10</v>
      </c>
      <c r="G244" s="624">
        <v>100</v>
      </c>
      <c r="H244" s="623">
        <v>1</v>
      </c>
      <c r="I244" s="623">
        <v>10</v>
      </c>
      <c r="J244" s="623">
        <v>0.0191</v>
      </c>
      <c r="K244" s="623">
        <v>0.0094</v>
      </c>
      <c r="L244" s="623">
        <v>1</v>
      </c>
      <c r="M244" s="628">
        <f t="shared" si="4"/>
        <v>2.36161427291496</v>
      </c>
      <c r="N244" s="625">
        <f t="shared" si="5"/>
        <v>2.36936949064416</v>
      </c>
      <c r="O244" s="625">
        <f t="shared" si="6"/>
        <v>-0.654622907893581</v>
      </c>
    </row>
    <row r="245" customHeight="1" spans="4:15">
      <c r="D245" s="623">
        <v>10.2014</v>
      </c>
      <c r="E245" s="624">
        <v>250</v>
      </c>
      <c r="F245" s="625">
        <v>10</v>
      </c>
      <c r="G245" s="624">
        <v>100</v>
      </c>
      <c r="H245" s="623">
        <v>1</v>
      </c>
      <c r="I245" s="623">
        <v>10</v>
      </c>
      <c r="J245" s="623">
        <v>0.0191</v>
      </c>
      <c r="K245" s="623">
        <v>0.0094</v>
      </c>
      <c r="L245" s="623">
        <v>1</v>
      </c>
      <c r="M245" s="628">
        <f t="shared" si="4"/>
        <v>2.37712470837336</v>
      </c>
      <c r="N245" s="625"/>
      <c r="O245" s="625"/>
    </row>
    <row r="246" customHeight="1" spans="1:15">
      <c r="A246" s="623">
        <v>7.15</v>
      </c>
      <c r="B246" s="630" t="s">
        <v>136</v>
      </c>
      <c r="D246" s="623">
        <v>11.2525</v>
      </c>
      <c r="E246" s="624">
        <v>250</v>
      </c>
      <c r="F246" s="625">
        <v>10</v>
      </c>
      <c r="G246" s="624">
        <v>100</v>
      </c>
      <c r="H246" s="623">
        <v>1</v>
      </c>
      <c r="I246" s="623">
        <v>10</v>
      </c>
      <c r="J246" s="632">
        <v>0.0095</v>
      </c>
      <c r="K246" s="623">
        <v>0.0091</v>
      </c>
      <c r="L246" s="623">
        <v>1</v>
      </c>
      <c r="M246" s="628">
        <f t="shared" ref="M246:M253" si="7">L246*(J246-K246)*E246*G246*I246/D246/F246/H246/1000*100</f>
        <v>0.0888691401910685</v>
      </c>
      <c r="N246" s="625">
        <f t="shared" si="5"/>
        <v>0.0860452934563491</v>
      </c>
      <c r="O246" s="625">
        <f t="shared" si="6"/>
        <v>6.56362857580793</v>
      </c>
    </row>
    <row r="247" customHeight="1" spans="4:15">
      <c r="D247" s="623">
        <v>9.0121</v>
      </c>
      <c r="E247" s="624">
        <v>250</v>
      </c>
      <c r="F247" s="625">
        <v>10</v>
      </c>
      <c r="G247" s="624">
        <v>100</v>
      </c>
      <c r="H247" s="623">
        <v>1</v>
      </c>
      <c r="I247" s="623">
        <v>10</v>
      </c>
      <c r="J247" s="623">
        <v>0.0094</v>
      </c>
      <c r="K247" s="623">
        <v>0.0091</v>
      </c>
      <c r="L247" s="623">
        <v>1</v>
      </c>
      <c r="M247" s="628">
        <f t="shared" si="7"/>
        <v>0.0832214467216298</v>
      </c>
      <c r="N247" s="625"/>
      <c r="O247" s="625"/>
    </row>
    <row r="248" customHeight="1" spans="2:15">
      <c r="B248" s="630" t="s">
        <v>137</v>
      </c>
      <c r="D248" s="623">
        <v>10.0042</v>
      </c>
      <c r="E248" s="624">
        <v>250</v>
      </c>
      <c r="F248" s="625">
        <v>10</v>
      </c>
      <c r="G248" s="624">
        <v>100</v>
      </c>
      <c r="H248" s="623">
        <v>1</v>
      </c>
      <c r="I248" s="623">
        <v>10</v>
      </c>
      <c r="J248" s="623">
        <v>0.0093</v>
      </c>
      <c r="K248" s="623">
        <v>0.0091</v>
      </c>
      <c r="L248" s="623">
        <v>1</v>
      </c>
      <c r="M248" s="628">
        <f t="shared" si="7"/>
        <v>0.0499790088162969</v>
      </c>
      <c r="N248" s="625">
        <f>AVERAGE(M248:M249)</f>
        <v>0.0499860048980797</v>
      </c>
      <c r="O248" s="625">
        <f>(M248-M249)/N248*100</f>
        <v>-0.0279921621945884</v>
      </c>
    </row>
    <row r="249" customHeight="1" spans="4:15">
      <c r="D249" s="623">
        <v>10.0014</v>
      </c>
      <c r="E249" s="624">
        <v>250</v>
      </c>
      <c r="F249" s="625">
        <v>10</v>
      </c>
      <c r="G249" s="624">
        <v>100</v>
      </c>
      <c r="H249" s="623">
        <v>1</v>
      </c>
      <c r="I249" s="623">
        <v>10</v>
      </c>
      <c r="J249" s="623">
        <v>0.0093</v>
      </c>
      <c r="K249" s="623">
        <v>0.0091</v>
      </c>
      <c r="L249" s="623">
        <v>1</v>
      </c>
      <c r="M249" s="628">
        <f t="shared" si="7"/>
        <v>0.0499930009798625</v>
      </c>
      <c r="N249" s="625"/>
      <c r="O249" s="625"/>
    </row>
    <row r="250" customHeight="1" spans="2:15">
      <c r="B250" s="630" t="s">
        <v>138</v>
      </c>
      <c r="D250" s="623">
        <v>9.9818</v>
      </c>
      <c r="E250" s="624">
        <v>250</v>
      </c>
      <c r="F250" s="625">
        <v>10</v>
      </c>
      <c r="G250" s="624">
        <v>100</v>
      </c>
      <c r="H250" s="623">
        <v>1</v>
      </c>
      <c r="I250" s="623">
        <v>10</v>
      </c>
      <c r="J250" s="623">
        <v>0.0098</v>
      </c>
      <c r="K250" s="623">
        <v>0.0091</v>
      </c>
      <c r="L250" s="623">
        <v>1</v>
      </c>
      <c r="M250" s="628">
        <f t="shared" si="7"/>
        <v>0.175319080726923</v>
      </c>
      <c r="N250" s="625">
        <f>AVERAGE(M250:M251)</f>
        <v>0.17889375684401</v>
      </c>
      <c r="O250" s="625">
        <f>(M250-M251)/N250*100</f>
        <v>-3.99642355345512</v>
      </c>
    </row>
    <row r="251" customHeight="1" spans="4:15">
      <c r="D251" s="623">
        <v>9.5907</v>
      </c>
      <c r="E251" s="624">
        <v>250</v>
      </c>
      <c r="F251" s="625">
        <v>10</v>
      </c>
      <c r="G251" s="624">
        <v>100</v>
      </c>
      <c r="H251" s="623">
        <v>1</v>
      </c>
      <c r="I251" s="623">
        <v>10</v>
      </c>
      <c r="J251" s="623">
        <v>0.0098</v>
      </c>
      <c r="K251" s="623">
        <v>0.0091</v>
      </c>
      <c r="L251" s="623">
        <v>1</v>
      </c>
      <c r="M251" s="628">
        <f t="shared" si="7"/>
        <v>0.182468432961098</v>
      </c>
      <c r="N251" s="625"/>
      <c r="O251" s="625"/>
    </row>
    <row r="252" customHeight="1" spans="2:15">
      <c r="B252" s="630" t="s">
        <v>139</v>
      </c>
      <c r="D252" s="631">
        <v>9.3521</v>
      </c>
      <c r="E252" s="624">
        <v>250</v>
      </c>
      <c r="F252" s="625">
        <v>10</v>
      </c>
      <c r="G252" s="624">
        <v>100</v>
      </c>
      <c r="H252" s="623">
        <v>1</v>
      </c>
      <c r="I252" s="623">
        <v>10</v>
      </c>
      <c r="J252" s="623">
        <v>0.0096</v>
      </c>
      <c r="K252" s="623">
        <v>0.0091</v>
      </c>
      <c r="L252" s="623">
        <v>1</v>
      </c>
      <c r="M252" s="628">
        <f t="shared" si="7"/>
        <v>0.133659819719635</v>
      </c>
      <c r="N252" s="625">
        <f>AVERAGE(M252:M253)</f>
        <v>0.137235917839165</v>
      </c>
      <c r="O252" s="625">
        <f>(M252-M253)/N252*100</f>
        <v>-5.21160666367415</v>
      </c>
    </row>
    <row r="253" customHeight="1" spans="4:15">
      <c r="D253" s="631">
        <v>10.6525</v>
      </c>
      <c r="E253" s="624">
        <v>250</v>
      </c>
      <c r="F253" s="625">
        <v>10</v>
      </c>
      <c r="G253" s="624">
        <v>100</v>
      </c>
      <c r="H253" s="623">
        <v>1</v>
      </c>
      <c r="I253" s="623">
        <v>10</v>
      </c>
      <c r="J253" s="623">
        <v>0.0097</v>
      </c>
      <c r="K253" s="623">
        <v>0.0091</v>
      </c>
      <c r="L253" s="623">
        <v>1</v>
      </c>
      <c r="M253" s="628">
        <f t="shared" si="7"/>
        <v>0.140812015958695</v>
      </c>
      <c r="N253" s="625"/>
      <c r="O253" s="625"/>
    </row>
    <row r="254" customHeight="1" spans="2:15">
      <c r="B254" s="626"/>
      <c r="M254" s="623">
        <v>11.6</v>
      </c>
      <c r="N254" s="625">
        <f>AVERAGE(M254:M255)</f>
        <v>11.45</v>
      </c>
      <c r="O254" s="625">
        <f>(M254-M255)/N254*100</f>
        <v>2.62008733624453</v>
      </c>
    </row>
    <row r="255" customHeight="1" spans="13:15">
      <c r="M255" s="623">
        <v>11.3</v>
      </c>
      <c r="N255" s="625"/>
      <c r="O255" s="625"/>
    </row>
    <row r="256" customHeight="1" spans="2:2">
      <c r="B256" s="626"/>
    </row>
    <row r="258" customHeight="1" spans="2:2">
      <c r="B258" s="626"/>
    </row>
  </sheetData>
  <mergeCells count="402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</mergeCells>
  <pageMargins left="0.7" right="0.7" top="0.75" bottom="0.75" header="0.3" footer="0.3"/>
  <pageSetup paperSize="9" scale="1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O440"/>
  <sheetViews>
    <sheetView workbookViewId="0">
      <pane ySplit="2" topLeftCell="A421" activePane="bottomLeft" state="frozen"/>
      <selection/>
      <selection pane="bottomLeft" activeCell="I433" sqref="I433:I440"/>
    </sheetView>
  </sheetViews>
  <sheetFormatPr defaultColWidth="11.625" defaultRowHeight="20.25"/>
  <cols>
    <col min="1" max="1" width="11.625" style="508"/>
    <col min="2" max="2" width="17.125" style="563" customWidth="1"/>
    <col min="3" max="3" width="15.875" style="563" customWidth="1"/>
    <col min="4" max="4" width="11.625" style="557" customWidth="1"/>
    <col min="5" max="5" width="15.875" style="29" customWidth="1"/>
    <col min="6" max="6" width="11.625" style="508" customWidth="1"/>
    <col min="7" max="7" width="11.625" style="564" customWidth="1"/>
    <col min="8" max="8" width="20.125" style="564" customWidth="1"/>
    <col min="9" max="9" width="11.625" style="565" customWidth="1"/>
    <col min="10" max="10" width="11.625" style="557" customWidth="1"/>
    <col min="11" max="11" width="11.625" style="508" customWidth="1"/>
    <col min="12" max="12" width="13.5" style="566" customWidth="1"/>
    <col min="13" max="13" width="11.625" style="567" customWidth="1"/>
    <col min="14" max="14" width="11.625" style="568" customWidth="1"/>
    <col min="15" max="15" width="11.625" style="557" customWidth="1"/>
    <col min="16" max="16384" width="11.625" style="508"/>
  </cols>
  <sheetData>
    <row r="2" s="560" customFormat="1" spans="2:15">
      <c r="B2" s="569" t="s">
        <v>2</v>
      </c>
      <c r="C2" s="569" t="s">
        <v>2</v>
      </c>
      <c r="D2" s="570" t="s">
        <v>140</v>
      </c>
      <c r="E2" s="571" t="s">
        <v>141</v>
      </c>
      <c r="F2" s="560" t="s">
        <v>142</v>
      </c>
      <c r="G2" s="572" t="s">
        <v>143</v>
      </c>
      <c r="H2" s="572" t="s">
        <v>144</v>
      </c>
      <c r="I2" s="575" t="s">
        <v>145</v>
      </c>
      <c r="J2" s="570" t="s">
        <v>146</v>
      </c>
      <c r="K2" s="560" t="s">
        <v>147</v>
      </c>
      <c r="L2" s="576"/>
      <c r="M2" s="577"/>
      <c r="N2" s="578"/>
      <c r="O2" s="570"/>
    </row>
    <row r="3" spans="1:12">
      <c r="A3" s="573"/>
      <c r="B3" s="37" t="s">
        <v>148</v>
      </c>
      <c r="C3" s="38" t="s">
        <v>149</v>
      </c>
      <c r="D3" s="39">
        <v>11.45</v>
      </c>
      <c r="E3" s="40">
        <v>2.5337</v>
      </c>
      <c r="F3" s="39">
        <v>4</v>
      </c>
      <c r="G3" s="564">
        <v>9.8</v>
      </c>
      <c r="H3" s="564">
        <f t="shared" ref="H3:H4" si="0">ROUND(D3*100*F3*250/E3/G3/1000,2)</f>
        <v>46.11</v>
      </c>
      <c r="I3" s="579">
        <f t="shared" ref="I3" si="1">(H3+H4)/2</f>
        <v>46.055</v>
      </c>
      <c r="J3" s="580">
        <f t="shared" ref="J3" si="2">(H3-H4)*100/I3</f>
        <v>0.238844859407229</v>
      </c>
      <c r="K3" s="573">
        <f t="shared" ref="K3" si="3">H3-H4</f>
        <v>0.109999999999999</v>
      </c>
      <c r="L3" s="581" t="s">
        <v>150</v>
      </c>
    </row>
    <row r="4" spans="1:12">
      <c r="A4" s="574"/>
      <c r="B4" s="41"/>
      <c r="C4" s="42"/>
      <c r="D4" s="39">
        <v>11.45</v>
      </c>
      <c r="E4" s="40">
        <v>2.5401</v>
      </c>
      <c r="F4" s="39">
        <v>4</v>
      </c>
      <c r="G4" s="564">
        <v>9.8</v>
      </c>
      <c r="H4" s="564">
        <f t="shared" si="0"/>
        <v>46</v>
      </c>
      <c r="I4" s="582"/>
      <c r="J4" s="583"/>
      <c r="K4" s="574"/>
      <c r="L4" s="584"/>
    </row>
    <row r="6" spans="1:12">
      <c r="A6" s="573"/>
      <c r="B6" s="37" t="s">
        <v>151</v>
      </c>
      <c r="C6" s="38" t="s">
        <v>152</v>
      </c>
      <c r="D6" s="39">
        <v>11.4</v>
      </c>
      <c r="E6" s="40">
        <v>3.7278</v>
      </c>
      <c r="F6" s="39">
        <v>2</v>
      </c>
      <c r="G6" s="564">
        <v>6.8</v>
      </c>
      <c r="H6" s="564">
        <f t="shared" ref="H6:H7" si="4">ROUND(D6*100*F6*250/E6/G6/1000,2)</f>
        <v>22.49</v>
      </c>
      <c r="I6" s="579">
        <f t="shared" ref="I6" si="5">(H6+H7)/2</f>
        <v>22.825</v>
      </c>
      <c r="J6" s="580">
        <f t="shared" ref="J6" si="6">(H6-H7)*100/I6</f>
        <v>-2.93537787513692</v>
      </c>
      <c r="K6" s="573">
        <f t="shared" ref="K6" si="7">H6-H7</f>
        <v>-0.670000000000002</v>
      </c>
      <c r="L6" s="581" t="s">
        <v>150</v>
      </c>
    </row>
    <row r="7" spans="1:12">
      <c r="A7" s="574"/>
      <c r="B7" s="41"/>
      <c r="C7" s="42"/>
      <c r="D7" s="39">
        <v>11.4</v>
      </c>
      <c r="E7" s="40">
        <v>3.1147</v>
      </c>
      <c r="F7" s="39">
        <v>2</v>
      </c>
      <c r="G7" s="564">
        <v>7.9</v>
      </c>
      <c r="H7" s="564">
        <f t="shared" si="4"/>
        <v>23.16</v>
      </c>
      <c r="I7" s="582"/>
      <c r="J7" s="583"/>
      <c r="K7" s="574"/>
      <c r="L7" s="584"/>
    </row>
    <row r="8" spans="1:12">
      <c r="A8" s="573"/>
      <c r="B8" s="37" t="s">
        <v>153</v>
      </c>
      <c r="C8" s="38" t="s">
        <v>154</v>
      </c>
      <c r="D8" s="39">
        <v>11.6</v>
      </c>
      <c r="E8" s="40">
        <v>3.069</v>
      </c>
      <c r="F8" s="39">
        <v>1</v>
      </c>
      <c r="G8" s="564">
        <v>5.9</v>
      </c>
      <c r="H8" s="564">
        <f t="shared" ref="H8:H9" si="8">ROUND(D8*100*F8*250/E8/G8/1000,2)</f>
        <v>16.02</v>
      </c>
      <c r="I8" s="579">
        <f t="shared" ref="I8" si="9">(H8+H9)/2</f>
        <v>15.89</v>
      </c>
      <c r="J8" s="580">
        <f t="shared" ref="J8" si="10">(H8-H9)*100/I8</f>
        <v>1.63624921334172</v>
      </c>
      <c r="K8" s="573">
        <f t="shared" ref="K8" si="11">H8-H9</f>
        <v>0.26</v>
      </c>
      <c r="L8" s="581" t="s">
        <v>150</v>
      </c>
    </row>
    <row r="9" spans="1:12">
      <c r="A9" s="574"/>
      <c r="B9" s="41"/>
      <c r="C9" s="42"/>
      <c r="D9" s="39">
        <v>11.6</v>
      </c>
      <c r="E9" s="40">
        <v>3.0664</v>
      </c>
      <c r="F9" s="39">
        <v>1</v>
      </c>
      <c r="G9" s="564">
        <v>6</v>
      </c>
      <c r="H9" s="564">
        <f t="shared" si="8"/>
        <v>15.76</v>
      </c>
      <c r="I9" s="582"/>
      <c r="J9" s="583"/>
      <c r="K9" s="574"/>
      <c r="L9" s="584"/>
    </row>
    <row r="11" spans="1:12">
      <c r="A11" s="573"/>
      <c r="B11" s="37"/>
      <c r="C11" s="38"/>
      <c r="D11" s="39"/>
      <c r="E11" s="40"/>
      <c r="F11" s="39"/>
      <c r="I11" s="579"/>
      <c r="J11" s="580"/>
      <c r="K11" s="573"/>
      <c r="L11" s="581"/>
    </row>
    <row r="12" spans="1:12">
      <c r="A12" s="574"/>
      <c r="B12" s="41"/>
      <c r="C12" s="42"/>
      <c r="D12" s="39"/>
      <c r="E12" s="40"/>
      <c r="F12" s="39"/>
      <c r="I12" s="582"/>
      <c r="J12" s="583"/>
      <c r="K12" s="574"/>
      <c r="L12" s="584"/>
    </row>
    <row r="13" spans="1:12">
      <c r="A13" s="573"/>
      <c r="B13" s="37" t="s">
        <v>155</v>
      </c>
      <c r="C13" s="38" t="s">
        <v>156</v>
      </c>
      <c r="D13" s="39">
        <v>11.4</v>
      </c>
      <c r="E13" s="40">
        <v>2.6071</v>
      </c>
      <c r="F13" s="39">
        <v>1</v>
      </c>
      <c r="G13" s="564">
        <v>6.3</v>
      </c>
      <c r="H13" s="564">
        <f t="shared" ref="H13:H16" si="12">ROUND(D13*100*F13*250/E13/G13/1000,2)</f>
        <v>17.35</v>
      </c>
      <c r="I13" s="579">
        <f t="shared" ref="I13" si="13">(H13+H14)/2</f>
        <v>17.21</v>
      </c>
      <c r="J13" s="580">
        <f t="shared" ref="J13" si="14">(H13-H14)*100/I13</f>
        <v>1.62696106914585</v>
      </c>
      <c r="K13" s="573">
        <f t="shared" ref="K13" si="15">H13-H14</f>
        <v>0.280000000000001</v>
      </c>
      <c r="L13" s="581" t="s">
        <v>150</v>
      </c>
    </row>
    <row r="14" spans="1:12">
      <c r="A14" s="574"/>
      <c r="B14" s="41"/>
      <c r="C14" s="42"/>
      <c r="D14" s="39">
        <v>11.4</v>
      </c>
      <c r="E14" s="40">
        <v>2.714</v>
      </c>
      <c r="F14" s="39">
        <v>1</v>
      </c>
      <c r="G14" s="564">
        <v>6.15</v>
      </c>
      <c r="H14" s="564">
        <f t="shared" si="12"/>
        <v>17.07</v>
      </c>
      <c r="I14" s="582"/>
      <c r="J14" s="583"/>
      <c r="K14" s="574"/>
      <c r="L14" s="584"/>
    </row>
    <row r="15" spans="1:12">
      <c r="A15" s="573"/>
      <c r="B15" s="37" t="s">
        <v>157</v>
      </c>
      <c r="C15" s="38" t="s">
        <v>158</v>
      </c>
      <c r="D15" s="39">
        <v>11.4</v>
      </c>
      <c r="E15" s="40">
        <v>3.4994</v>
      </c>
      <c r="F15" s="39">
        <v>2</v>
      </c>
      <c r="G15" s="564">
        <v>7.1</v>
      </c>
      <c r="H15" s="564">
        <f t="shared" si="12"/>
        <v>22.94</v>
      </c>
      <c r="I15" s="579">
        <f t="shared" ref="I15" si="16">(H15+H16)/2</f>
        <v>23.345</v>
      </c>
      <c r="J15" s="580">
        <f t="shared" ref="J15" si="17">(H15-H16)*100/I15</f>
        <v>-3.46969372456628</v>
      </c>
      <c r="K15" s="573">
        <f t="shared" ref="K15" si="18">H15-H16</f>
        <v>-0.809999999999999</v>
      </c>
      <c r="L15" s="581" t="s">
        <v>150</v>
      </c>
    </row>
    <row r="16" spans="1:12">
      <c r="A16" s="574"/>
      <c r="B16" s="41"/>
      <c r="C16" s="42"/>
      <c r="D16" s="39">
        <v>11.4</v>
      </c>
      <c r="E16" s="40">
        <v>3.0193</v>
      </c>
      <c r="F16" s="39">
        <v>2</v>
      </c>
      <c r="G16" s="564">
        <v>7.95</v>
      </c>
      <c r="H16" s="564">
        <f t="shared" si="12"/>
        <v>23.75</v>
      </c>
      <c r="I16" s="582"/>
      <c r="J16" s="583"/>
      <c r="K16" s="574"/>
      <c r="L16" s="584"/>
    </row>
    <row r="17" spans="1:12">
      <c r="A17" s="573"/>
      <c r="B17" s="37" t="s">
        <v>159</v>
      </c>
      <c r="C17" s="38" t="s">
        <v>160</v>
      </c>
      <c r="D17" s="39">
        <v>11.3</v>
      </c>
      <c r="E17" s="40">
        <v>3.4402</v>
      </c>
      <c r="F17" s="39">
        <v>1</v>
      </c>
      <c r="G17" s="564">
        <v>11.4</v>
      </c>
      <c r="H17" s="564">
        <f t="shared" ref="H17:H18" si="19">ROUND(D17*100*F17*250/E17/G17/1000,2)</f>
        <v>7.2</v>
      </c>
      <c r="I17" s="579">
        <f t="shared" ref="I17" si="20">(H17+H18)/2</f>
        <v>7.195</v>
      </c>
      <c r="J17" s="580">
        <f t="shared" ref="J17" si="21">(H17-H18)*100/I17</f>
        <v>0.138985406532311</v>
      </c>
      <c r="K17" s="573">
        <f t="shared" ref="K17" si="22">H17-H18</f>
        <v>0.00999999999999979</v>
      </c>
      <c r="L17" s="581" t="s">
        <v>150</v>
      </c>
    </row>
    <row r="18" spans="1:12">
      <c r="A18" s="574"/>
      <c r="B18" s="41"/>
      <c r="C18" s="42"/>
      <c r="D18" s="39">
        <v>11.3</v>
      </c>
      <c r="E18" s="40">
        <v>3.4461</v>
      </c>
      <c r="F18" s="39">
        <v>1</v>
      </c>
      <c r="G18" s="564">
        <v>11.4</v>
      </c>
      <c r="H18" s="564">
        <f t="shared" si="19"/>
        <v>7.19</v>
      </c>
      <c r="I18" s="582"/>
      <c r="J18" s="583"/>
      <c r="K18" s="574"/>
      <c r="L18" s="584"/>
    </row>
    <row r="19" spans="1:12">
      <c r="A19" s="573"/>
      <c r="B19" s="37" t="s">
        <v>161</v>
      </c>
      <c r="C19" s="38" t="s">
        <v>162</v>
      </c>
      <c r="D19" s="39">
        <v>11.3</v>
      </c>
      <c r="E19" s="40">
        <v>3.2809</v>
      </c>
      <c r="F19" s="39">
        <v>2</v>
      </c>
      <c r="G19" s="564">
        <v>5.8</v>
      </c>
      <c r="H19" s="564">
        <f t="shared" ref="H19:H20" si="23">ROUND(D19*100*F19*250/E19/G19/1000,2)</f>
        <v>29.69</v>
      </c>
      <c r="I19" s="579">
        <f t="shared" ref="I19:K21" si="24">(H19+H20)/2</f>
        <v>29.945</v>
      </c>
      <c r="J19" s="580">
        <f t="shared" ref="J19" si="25">(H19-H20)*100/I19</f>
        <v>-1.70312239105025</v>
      </c>
      <c r="K19" s="573">
        <f t="shared" ref="K19" si="26">H19-H20</f>
        <v>-0.509999999999998</v>
      </c>
      <c r="L19" s="581" t="s">
        <v>150</v>
      </c>
    </row>
    <row r="20" spans="1:12">
      <c r="A20" s="574"/>
      <c r="B20" s="41"/>
      <c r="C20" s="42"/>
      <c r="D20" s="39">
        <v>11.3</v>
      </c>
      <c r="E20" s="40">
        <v>2.528</v>
      </c>
      <c r="F20" s="39">
        <v>2</v>
      </c>
      <c r="G20" s="564">
        <v>7.4</v>
      </c>
      <c r="H20" s="564">
        <f t="shared" si="23"/>
        <v>30.2</v>
      </c>
      <c r="I20" s="582"/>
      <c r="J20" s="583"/>
      <c r="K20" s="574"/>
      <c r="L20" s="584"/>
    </row>
    <row r="21" spans="1:12">
      <c r="A21" s="573"/>
      <c r="B21" s="37" t="s">
        <v>163</v>
      </c>
      <c r="C21" s="38"/>
      <c r="D21" s="39">
        <v>11.3</v>
      </c>
      <c r="E21" s="40">
        <v>9.9009</v>
      </c>
      <c r="F21" s="39">
        <v>2</v>
      </c>
      <c r="G21" s="564">
        <v>8.8</v>
      </c>
      <c r="H21" s="564">
        <f>ROUND(D21*100*F21*100/E21/G21/1000,2)</f>
        <v>2.59</v>
      </c>
      <c r="I21" s="579">
        <f t="shared" si="24"/>
        <v>2.6</v>
      </c>
      <c r="J21" s="579">
        <f t="shared" si="24"/>
        <v>1.3</v>
      </c>
      <c r="K21" s="579">
        <f t="shared" si="24"/>
        <v>0.65</v>
      </c>
      <c r="L21" s="581"/>
    </row>
    <row r="22" spans="1:12">
      <c r="A22" s="574"/>
      <c r="B22" s="41"/>
      <c r="C22" s="42"/>
      <c r="D22" s="39">
        <v>11.3</v>
      </c>
      <c r="E22" s="40">
        <v>9.8898</v>
      </c>
      <c r="F22" s="39">
        <v>2</v>
      </c>
      <c r="G22" s="564">
        <v>8.75</v>
      </c>
      <c r="H22" s="564">
        <f>ROUND(D22*100*F22*100/E22/G22/1000,2)</f>
        <v>2.61</v>
      </c>
      <c r="I22" s="582"/>
      <c r="J22" s="582"/>
      <c r="K22" s="582"/>
      <c r="L22" s="584"/>
    </row>
    <row r="23" spans="1:12">
      <c r="A23" s="573"/>
      <c r="B23" s="37" t="s">
        <v>164</v>
      </c>
      <c r="C23" s="38"/>
      <c r="D23" s="39"/>
      <c r="E23" s="40"/>
      <c r="F23" s="39"/>
      <c r="I23" s="579"/>
      <c r="J23" s="580"/>
      <c r="K23" s="573"/>
      <c r="L23" s="581"/>
    </row>
    <row r="24" spans="1:12">
      <c r="A24" s="574"/>
      <c r="B24" s="41"/>
      <c r="C24" s="42"/>
      <c r="D24" s="39"/>
      <c r="E24" s="40"/>
      <c r="F24" s="39"/>
      <c r="I24" s="582"/>
      <c r="J24" s="583"/>
      <c r="K24" s="574"/>
      <c r="L24" s="584"/>
    </row>
    <row r="25" ht="15.75" customHeight="1" spans="1:12">
      <c r="A25" s="573"/>
      <c r="B25" s="37" t="s">
        <v>165</v>
      </c>
      <c r="C25" s="38" t="s">
        <v>166</v>
      </c>
      <c r="D25" s="39">
        <v>10.8</v>
      </c>
      <c r="E25" s="40">
        <v>10</v>
      </c>
      <c r="F25" s="39">
        <v>10</v>
      </c>
      <c r="G25" s="564">
        <v>13.4</v>
      </c>
      <c r="H25" s="564">
        <f>ROUND(D25*100*F25*100/E25/G25/1000,2)</f>
        <v>8.06</v>
      </c>
      <c r="I25" s="579">
        <f t="shared" ref="I25" si="27">(H25+H26)/2</f>
        <v>7.955</v>
      </c>
      <c r="J25" s="580">
        <f t="shared" ref="J25" si="28">(H25-H26)*100/I25</f>
        <v>2.63984915147707</v>
      </c>
      <c r="K25" s="573">
        <f t="shared" ref="K25" si="29">H25-H26</f>
        <v>0.210000000000001</v>
      </c>
      <c r="L25" s="581" t="s">
        <v>167</v>
      </c>
    </row>
    <row r="26" spans="1:12">
      <c r="A26" s="574"/>
      <c r="B26" s="41"/>
      <c r="C26" s="42"/>
      <c r="D26" s="39">
        <v>10.8</v>
      </c>
      <c r="E26" s="40">
        <v>10</v>
      </c>
      <c r="F26" s="39">
        <v>10</v>
      </c>
      <c r="G26" s="564">
        <v>13.75</v>
      </c>
      <c r="H26" s="564">
        <f t="shared" ref="H26:H29" si="30">ROUND(D26*100*F26*100/E26/G26/1000,2)</f>
        <v>7.85</v>
      </c>
      <c r="I26" s="582"/>
      <c r="J26" s="583"/>
      <c r="K26" s="574"/>
      <c r="L26" s="584"/>
    </row>
    <row r="27" customHeight="1" spans="1:12">
      <c r="A27" s="573"/>
      <c r="B27" s="37" t="s">
        <v>168</v>
      </c>
      <c r="C27" s="38" t="s">
        <v>166</v>
      </c>
      <c r="D27" s="39">
        <v>10.8</v>
      </c>
      <c r="E27" s="40">
        <v>10</v>
      </c>
      <c r="F27" s="39">
        <v>10</v>
      </c>
      <c r="G27" s="564">
        <v>12.8</v>
      </c>
      <c r="H27" s="564">
        <f t="shared" si="30"/>
        <v>8.44</v>
      </c>
      <c r="I27" s="579">
        <f t="shared" ref="I27" si="31">(H27+H28)/2</f>
        <v>8.505</v>
      </c>
      <c r="J27" s="580">
        <f t="shared" ref="J27" si="32">(H27-H28)*100/I27</f>
        <v>-1.52851263962376</v>
      </c>
      <c r="K27" s="573">
        <f t="shared" ref="K27" si="33">H27-H28</f>
        <v>-0.130000000000001</v>
      </c>
      <c r="L27" s="581" t="s">
        <v>167</v>
      </c>
    </row>
    <row r="28" spans="1:12">
      <c r="A28" s="574"/>
      <c r="B28" s="41"/>
      <c r="C28" s="42"/>
      <c r="D28" s="39">
        <v>10.8</v>
      </c>
      <c r="E28" s="40">
        <v>10</v>
      </c>
      <c r="F28" s="39">
        <v>10</v>
      </c>
      <c r="G28" s="564">
        <v>12.6</v>
      </c>
      <c r="H28" s="564">
        <f t="shared" si="30"/>
        <v>8.57</v>
      </c>
      <c r="I28" s="582"/>
      <c r="J28" s="583"/>
      <c r="K28" s="574"/>
      <c r="L28" s="584"/>
    </row>
    <row r="29" spans="1:12">
      <c r="A29" s="573"/>
      <c r="B29" s="37" t="s">
        <v>165</v>
      </c>
      <c r="C29" s="38" t="s">
        <v>166</v>
      </c>
      <c r="D29" s="39">
        <v>11.2</v>
      </c>
      <c r="E29" s="40">
        <v>10</v>
      </c>
      <c r="F29" s="39">
        <v>10</v>
      </c>
      <c r="G29" s="564">
        <v>13.95</v>
      </c>
      <c r="H29" s="564">
        <f t="shared" si="30"/>
        <v>8.03</v>
      </c>
      <c r="I29" s="579">
        <f t="shared" ref="I29" si="34">(H29+H30)/2</f>
        <v>7.96</v>
      </c>
      <c r="J29" s="580">
        <f t="shared" ref="J29" si="35">(H29-H30)*100/I29</f>
        <v>1.75879396984924</v>
      </c>
      <c r="K29" s="573">
        <f t="shared" ref="K29" si="36">H29-H30</f>
        <v>0.14</v>
      </c>
      <c r="L29" s="581" t="s">
        <v>167</v>
      </c>
    </row>
    <row r="30" spans="1:12">
      <c r="A30" s="574"/>
      <c r="B30" s="41"/>
      <c r="C30" s="42"/>
      <c r="D30" s="39">
        <v>11.2</v>
      </c>
      <c r="E30" s="40">
        <v>10</v>
      </c>
      <c r="F30" s="39">
        <v>10</v>
      </c>
      <c r="G30" s="564">
        <v>14.2</v>
      </c>
      <c r="H30" s="564">
        <f t="shared" ref="H30:H32" si="37">ROUND(D30*100*F30*100/E30/G30/1000,2)</f>
        <v>7.89</v>
      </c>
      <c r="I30" s="582"/>
      <c r="J30" s="583"/>
      <c r="K30" s="574"/>
      <c r="L30" s="584"/>
    </row>
    <row r="31" spans="1:12">
      <c r="A31" s="573"/>
      <c r="B31" s="37" t="s">
        <v>168</v>
      </c>
      <c r="C31" s="38" t="s">
        <v>166</v>
      </c>
      <c r="D31" s="39">
        <v>11.2</v>
      </c>
      <c r="E31" s="40">
        <v>10</v>
      </c>
      <c r="F31" s="39">
        <v>10</v>
      </c>
      <c r="G31" s="564">
        <v>13.2</v>
      </c>
      <c r="H31" s="564">
        <f t="shared" si="37"/>
        <v>8.48</v>
      </c>
      <c r="I31" s="579">
        <f t="shared" ref="I31" si="38">(H31+H32)/2</f>
        <v>8.515</v>
      </c>
      <c r="J31" s="580">
        <f t="shared" ref="J31" si="39">(H31-H32)*100/I31</f>
        <v>-0.822078684674108</v>
      </c>
      <c r="K31" s="573">
        <f t="shared" ref="K31" si="40">H31-H32</f>
        <v>-0.0700000000000003</v>
      </c>
      <c r="L31" s="581" t="s">
        <v>167</v>
      </c>
    </row>
    <row r="32" spans="1:12">
      <c r="A32" s="574"/>
      <c r="B32" s="41"/>
      <c r="C32" s="42"/>
      <c r="D32" s="39">
        <v>11.2</v>
      </c>
      <c r="E32" s="40">
        <v>10</v>
      </c>
      <c r="F32" s="39">
        <v>10</v>
      </c>
      <c r="G32" s="564">
        <v>13.1</v>
      </c>
      <c r="H32" s="564">
        <f t="shared" si="37"/>
        <v>8.55</v>
      </c>
      <c r="I32" s="582"/>
      <c r="J32" s="583"/>
      <c r="K32" s="574"/>
      <c r="L32" s="584"/>
    </row>
    <row r="33" ht="33" customHeight="1" spans="1:12">
      <c r="A33" s="573"/>
      <c r="B33" s="37" t="s">
        <v>169</v>
      </c>
      <c r="C33" s="38"/>
      <c r="D33" s="39">
        <v>11.3</v>
      </c>
      <c r="E33" s="303">
        <v>3.7081</v>
      </c>
      <c r="F33" s="305">
        <v>4</v>
      </c>
      <c r="G33" s="564">
        <v>9.3</v>
      </c>
      <c r="H33" s="564">
        <f t="shared" ref="H33:H42" si="41">ROUND(D33*100*F33*250/E33/G33/1000,2)</f>
        <v>32.77</v>
      </c>
      <c r="I33" s="579">
        <f t="shared" ref="I33" si="42">(H33+H34)/2</f>
        <v>32.135</v>
      </c>
      <c r="J33" s="580">
        <f t="shared" ref="J33" si="43">(H33-H34)*100/I33</f>
        <v>3.95207717442042</v>
      </c>
      <c r="K33" s="573">
        <f t="shared" ref="K33" si="44">H33-H34</f>
        <v>1.27</v>
      </c>
      <c r="L33" s="581" t="s">
        <v>150</v>
      </c>
    </row>
    <row r="34" spans="1:12">
      <c r="A34" s="574"/>
      <c r="B34" s="41"/>
      <c r="C34" s="42"/>
      <c r="D34" s="39">
        <v>11.3</v>
      </c>
      <c r="E34" s="303">
        <v>3.7955</v>
      </c>
      <c r="F34" s="305">
        <v>4</v>
      </c>
      <c r="G34" s="564">
        <v>9.45</v>
      </c>
      <c r="H34" s="564">
        <f t="shared" si="41"/>
        <v>31.5</v>
      </c>
      <c r="I34" s="582"/>
      <c r="J34" s="583"/>
      <c r="K34" s="574"/>
      <c r="L34" s="584"/>
    </row>
    <row r="35" spans="1:12">
      <c r="A35" s="573"/>
      <c r="B35" s="37" t="s">
        <v>170</v>
      </c>
      <c r="C35" s="38"/>
      <c r="D35" s="39">
        <v>11.3</v>
      </c>
      <c r="E35" s="303">
        <v>4.4049</v>
      </c>
      <c r="F35" s="305">
        <v>5</v>
      </c>
      <c r="G35" s="564">
        <v>7.5</v>
      </c>
      <c r="H35" s="564">
        <f t="shared" si="41"/>
        <v>42.76</v>
      </c>
      <c r="I35" s="579">
        <f t="shared" ref="I35" si="45">(H35+H36)/2</f>
        <v>42.225</v>
      </c>
      <c r="J35" s="580">
        <f t="shared" ref="J35" si="46">(H35-H36)*100/I35</f>
        <v>2.53404381290705</v>
      </c>
      <c r="K35" s="573">
        <f t="shared" ref="K35" si="47">H35-H36</f>
        <v>1.07</v>
      </c>
      <c r="L35" s="581" t="s">
        <v>150</v>
      </c>
    </row>
    <row r="36" spans="1:12">
      <c r="A36" s="574"/>
      <c r="B36" s="41"/>
      <c r="C36" s="42"/>
      <c r="D36" s="39">
        <v>11.3</v>
      </c>
      <c r="E36" s="303">
        <v>4.4582</v>
      </c>
      <c r="F36" s="305">
        <v>5</v>
      </c>
      <c r="G36" s="564">
        <v>7.6</v>
      </c>
      <c r="H36" s="564">
        <f t="shared" si="41"/>
        <v>41.69</v>
      </c>
      <c r="I36" s="582"/>
      <c r="J36" s="583"/>
      <c r="K36" s="574"/>
      <c r="L36" s="584"/>
    </row>
    <row r="37" spans="1:12">
      <c r="A37" s="573"/>
      <c r="B37" s="37" t="s">
        <v>171</v>
      </c>
      <c r="C37" s="38"/>
      <c r="D37" s="39">
        <v>11.3</v>
      </c>
      <c r="E37" s="303">
        <v>3.5002</v>
      </c>
      <c r="F37" s="305">
        <v>1</v>
      </c>
      <c r="G37" s="564">
        <v>8.95</v>
      </c>
      <c r="H37" s="564">
        <f t="shared" si="41"/>
        <v>9.02</v>
      </c>
      <c r="I37" s="579">
        <f t="shared" ref="I37" si="48">(H37+H38)/2</f>
        <v>9.05</v>
      </c>
      <c r="J37" s="580">
        <f t="shared" ref="J37:J45" si="49">(H37-H38)*100/I37</f>
        <v>-0.66298342541437</v>
      </c>
      <c r="K37" s="573">
        <f t="shared" ref="K37" si="50">H37-H38</f>
        <v>-0.0600000000000005</v>
      </c>
      <c r="L37" s="581" t="s">
        <v>150</v>
      </c>
    </row>
    <row r="38" spans="1:12">
      <c r="A38" s="574"/>
      <c r="B38" s="41"/>
      <c r="C38" s="42"/>
      <c r="D38" s="39">
        <v>11.3</v>
      </c>
      <c r="E38" s="303">
        <v>3.6588</v>
      </c>
      <c r="F38" s="305">
        <v>1</v>
      </c>
      <c r="G38" s="564">
        <v>8.5</v>
      </c>
      <c r="H38" s="564">
        <f t="shared" si="41"/>
        <v>9.08</v>
      </c>
      <c r="I38" s="582"/>
      <c r="J38" s="583"/>
      <c r="K38" s="574"/>
      <c r="L38" s="584"/>
    </row>
    <row r="39" spans="1:12">
      <c r="A39" s="573"/>
      <c r="B39" s="37" t="s">
        <v>172</v>
      </c>
      <c r="C39" s="38"/>
      <c r="D39" s="39">
        <v>11.3</v>
      </c>
      <c r="E39" s="303">
        <v>4.3579</v>
      </c>
      <c r="F39" s="305">
        <v>1</v>
      </c>
      <c r="G39" s="564">
        <v>9.25</v>
      </c>
      <c r="H39" s="564">
        <f t="shared" si="41"/>
        <v>7.01</v>
      </c>
      <c r="I39" s="579">
        <f t="shared" ref="I39" si="51">(H39+H40)/2</f>
        <v>7.11</v>
      </c>
      <c r="J39" s="580">
        <f t="shared" si="49"/>
        <v>-2.81293952180028</v>
      </c>
      <c r="K39" s="573">
        <f t="shared" ref="K39" si="52">H39-H40</f>
        <v>-0.2</v>
      </c>
      <c r="L39" s="581" t="s">
        <v>150</v>
      </c>
    </row>
    <row r="40" spans="1:12">
      <c r="A40" s="574"/>
      <c r="B40" s="41"/>
      <c r="C40" s="42"/>
      <c r="D40" s="39">
        <v>11.3</v>
      </c>
      <c r="E40" s="303">
        <v>4.1012</v>
      </c>
      <c r="F40" s="305">
        <v>1</v>
      </c>
      <c r="G40" s="564">
        <v>9.55</v>
      </c>
      <c r="H40" s="564">
        <f t="shared" si="41"/>
        <v>7.21</v>
      </c>
      <c r="I40" s="582"/>
      <c r="J40" s="583"/>
      <c r="K40" s="574"/>
      <c r="L40" s="584"/>
    </row>
    <row r="41" spans="1:12">
      <c r="A41" s="573"/>
      <c r="B41" s="37" t="s">
        <v>173</v>
      </c>
      <c r="C41" s="38"/>
      <c r="D41" s="39">
        <v>11.3</v>
      </c>
      <c r="E41" s="303">
        <v>4.3035</v>
      </c>
      <c r="F41" s="305">
        <v>1</v>
      </c>
      <c r="G41" s="564">
        <v>9.9</v>
      </c>
      <c r="H41" s="564">
        <f t="shared" si="41"/>
        <v>6.63</v>
      </c>
      <c r="I41" s="579">
        <f t="shared" ref="I41" si="53">(H41+H42)/2</f>
        <v>6.695</v>
      </c>
      <c r="J41" s="580">
        <f t="shared" si="49"/>
        <v>-1.94174757281553</v>
      </c>
      <c r="K41" s="573">
        <f t="shared" ref="K41" si="54">H41-H42</f>
        <v>-0.13</v>
      </c>
      <c r="L41" s="581" t="s">
        <v>150</v>
      </c>
    </row>
    <row r="42" spans="1:12">
      <c r="A42" s="574"/>
      <c r="B42" s="41"/>
      <c r="C42" s="42"/>
      <c r="D42" s="39">
        <v>11.3</v>
      </c>
      <c r="E42" s="303">
        <v>4.2189</v>
      </c>
      <c r="F42" s="305">
        <v>1</v>
      </c>
      <c r="G42" s="564">
        <v>9.9</v>
      </c>
      <c r="H42" s="564">
        <f t="shared" si="41"/>
        <v>6.76</v>
      </c>
      <c r="I42" s="582"/>
      <c r="J42" s="583"/>
      <c r="K42" s="574"/>
      <c r="L42" s="584"/>
    </row>
    <row r="43" spans="1:12">
      <c r="A43" s="573"/>
      <c r="B43" s="37" t="s">
        <v>174</v>
      </c>
      <c r="C43" s="38"/>
      <c r="D43" s="39">
        <v>10.8</v>
      </c>
      <c r="E43" s="303">
        <v>3.1191</v>
      </c>
      <c r="F43" s="305">
        <v>1</v>
      </c>
      <c r="G43" s="564">
        <v>6</v>
      </c>
      <c r="H43" s="564">
        <f>ROUND(D43*100*F43*100/E43/G43/1000,2)</f>
        <v>5.77</v>
      </c>
      <c r="I43" s="579">
        <f t="shared" ref="I43" si="55">(H43+H44)/2</f>
        <v>6.265</v>
      </c>
      <c r="J43" s="580">
        <f t="shared" si="49"/>
        <v>-15.8020750199521</v>
      </c>
      <c r="K43" s="573">
        <f t="shared" ref="K43" si="56">H43-H44</f>
        <v>-0.99</v>
      </c>
      <c r="L43" s="581" t="s">
        <v>150</v>
      </c>
    </row>
    <row r="44" spans="1:12">
      <c r="A44" s="574"/>
      <c r="B44" s="41"/>
      <c r="C44" s="42"/>
      <c r="D44" s="39">
        <v>11.3</v>
      </c>
      <c r="E44" s="303">
        <v>4.2189</v>
      </c>
      <c r="F44" s="305">
        <v>1</v>
      </c>
      <c r="G44" s="564">
        <v>9.9</v>
      </c>
      <c r="H44" s="564">
        <f t="shared" ref="H44:H46" si="57">ROUND(D44*100*F44*250/E44/G44/1000,2)</f>
        <v>6.76</v>
      </c>
      <c r="I44" s="582"/>
      <c r="J44" s="583"/>
      <c r="K44" s="574"/>
      <c r="L44" s="584"/>
    </row>
    <row r="45" spans="1:12">
      <c r="A45" s="573"/>
      <c r="B45" s="37" t="s">
        <v>175</v>
      </c>
      <c r="C45" s="38" t="s">
        <v>176</v>
      </c>
      <c r="D45" s="39">
        <v>11.4</v>
      </c>
      <c r="E45" s="303">
        <v>2.7992</v>
      </c>
      <c r="F45" s="305">
        <v>2</v>
      </c>
      <c r="G45" s="564">
        <v>8.1</v>
      </c>
      <c r="H45" s="564">
        <f t="shared" si="57"/>
        <v>25.14</v>
      </c>
      <c r="I45" s="579">
        <f t="shared" ref="I45" si="58">(H45+H46)/2</f>
        <v>24.34</v>
      </c>
      <c r="J45" s="580">
        <f t="shared" si="49"/>
        <v>6.5735414954807</v>
      </c>
      <c r="K45" s="573">
        <f t="shared" ref="K45" si="59">H45-H46</f>
        <v>1.6</v>
      </c>
      <c r="L45" s="581" t="s">
        <v>150</v>
      </c>
    </row>
    <row r="46" spans="1:12">
      <c r="A46" s="574"/>
      <c r="B46" s="41"/>
      <c r="C46" s="42"/>
      <c r="D46" s="39">
        <v>11.4</v>
      </c>
      <c r="E46" s="303">
        <v>2.7514</v>
      </c>
      <c r="F46" s="305">
        <v>2</v>
      </c>
      <c r="G46" s="564">
        <v>8.8</v>
      </c>
      <c r="H46" s="564">
        <f t="shared" si="57"/>
        <v>23.54</v>
      </c>
      <c r="I46" s="582"/>
      <c r="J46" s="583"/>
      <c r="K46" s="574"/>
      <c r="L46" s="584"/>
    </row>
    <row r="47" spans="1:12">
      <c r="A47" s="573"/>
      <c r="B47" s="37" t="s">
        <v>177</v>
      </c>
      <c r="C47" s="38"/>
      <c r="D47" s="39">
        <v>10.8</v>
      </c>
      <c r="E47" s="303">
        <v>3.138</v>
      </c>
      <c r="F47" s="305">
        <v>2</v>
      </c>
      <c r="G47" s="564">
        <v>7</v>
      </c>
      <c r="H47" s="564">
        <f t="shared" ref="H47:H48" si="60">ROUND(D47*100*F47*250/E47/G47/1000,2)</f>
        <v>24.58</v>
      </c>
      <c r="I47" s="579">
        <f t="shared" ref="I47" si="61">(H47+H48)/2</f>
        <v>24.185</v>
      </c>
      <c r="J47" s="580">
        <f t="shared" ref="J47" si="62">(H47-H48)*100/I47</f>
        <v>3.26648749224726</v>
      </c>
      <c r="K47" s="573">
        <f t="shared" ref="K47" si="63">H47-H48</f>
        <v>0.789999999999999</v>
      </c>
      <c r="L47" s="581" t="s">
        <v>150</v>
      </c>
    </row>
    <row r="48" spans="1:12">
      <c r="A48" s="574"/>
      <c r="B48" s="41"/>
      <c r="C48" s="42"/>
      <c r="D48" s="39">
        <v>10.8</v>
      </c>
      <c r="E48" s="303">
        <v>2.7514</v>
      </c>
      <c r="F48" s="305">
        <v>2</v>
      </c>
      <c r="G48" s="564">
        <v>8.25</v>
      </c>
      <c r="H48" s="564">
        <f t="shared" si="60"/>
        <v>23.79</v>
      </c>
      <c r="I48" s="582"/>
      <c r="J48" s="583"/>
      <c r="K48" s="574"/>
      <c r="L48" s="584"/>
    </row>
    <row r="49" spans="1:12">
      <c r="A49" s="573"/>
      <c r="B49" s="37" t="s">
        <v>175</v>
      </c>
      <c r="C49" s="38" t="s">
        <v>176</v>
      </c>
      <c r="D49" s="39">
        <v>11.4</v>
      </c>
      <c r="E49" s="303">
        <v>2.2815</v>
      </c>
      <c r="F49" s="305">
        <v>2</v>
      </c>
      <c r="G49" s="564">
        <v>6.6</v>
      </c>
      <c r="H49" s="564">
        <f t="shared" ref="H49:H52" si="64">ROUND(D49*100*F49*250/E49/G49/1000,2)</f>
        <v>37.85</v>
      </c>
      <c r="I49" s="579">
        <f t="shared" ref="I49" si="65">(H49+H50)/2</f>
        <v>37.85</v>
      </c>
      <c r="J49" s="580">
        <f t="shared" ref="J49" si="66">(H49-H50)*100/I49</f>
        <v>0</v>
      </c>
      <c r="K49" s="573">
        <f t="shared" ref="K49" si="67">H49-H50</f>
        <v>0</v>
      </c>
      <c r="L49" s="581" t="s">
        <v>150</v>
      </c>
    </row>
    <row r="50" spans="1:12">
      <c r="A50" s="574"/>
      <c r="B50" s="41"/>
      <c r="C50" s="42"/>
      <c r="D50" s="39">
        <v>11.4</v>
      </c>
      <c r="E50" s="303">
        <v>2.2815</v>
      </c>
      <c r="F50" s="305">
        <v>2</v>
      </c>
      <c r="G50" s="564">
        <v>6.6</v>
      </c>
      <c r="H50" s="564">
        <f t="shared" si="64"/>
        <v>37.85</v>
      </c>
      <c r="I50" s="582"/>
      <c r="J50" s="583"/>
      <c r="K50" s="574"/>
      <c r="L50" s="584"/>
    </row>
    <row r="51" spans="1:12">
      <c r="A51" s="573"/>
      <c r="B51" s="37" t="s">
        <v>178</v>
      </c>
      <c r="C51" s="344" t="s">
        <v>179</v>
      </c>
      <c r="D51" s="39">
        <v>11.4</v>
      </c>
      <c r="E51" s="303">
        <v>1.7796</v>
      </c>
      <c r="F51" s="305">
        <v>4</v>
      </c>
      <c r="G51" s="564">
        <v>11.6</v>
      </c>
      <c r="H51" s="564">
        <f t="shared" si="64"/>
        <v>55.22</v>
      </c>
      <c r="I51" s="579">
        <f t="shared" ref="I51" si="68">(H51+H52)/2</f>
        <v>55.555</v>
      </c>
      <c r="J51" s="580">
        <f t="shared" ref="J51" si="69">(H51-H52)*100/I51</f>
        <v>-1.2060120601206</v>
      </c>
      <c r="K51" s="573">
        <f t="shared" ref="K51" si="70">H51-H52</f>
        <v>-0.670000000000002</v>
      </c>
      <c r="L51" s="581" t="s">
        <v>150</v>
      </c>
    </row>
    <row r="52" spans="1:12">
      <c r="A52" s="574"/>
      <c r="B52" s="41"/>
      <c r="C52" s="362"/>
      <c r="D52" s="39">
        <v>11.4</v>
      </c>
      <c r="E52" s="303">
        <v>1.8052</v>
      </c>
      <c r="F52" s="305">
        <v>4</v>
      </c>
      <c r="G52" s="564">
        <v>11.3</v>
      </c>
      <c r="H52" s="564">
        <f t="shared" si="64"/>
        <v>55.89</v>
      </c>
      <c r="I52" s="582"/>
      <c r="J52" s="583"/>
      <c r="K52" s="574"/>
      <c r="L52" s="584"/>
    </row>
    <row r="53" spans="1:12">
      <c r="A53" s="573"/>
      <c r="B53" s="37" t="s">
        <v>180</v>
      </c>
      <c r="C53" s="344" t="s">
        <v>179</v>
      </c>
      <c r="D53" s="39">
        <v>11.4</v>
      </c>
      <c r="E53" s="303">
        <v>1.165</v>
      </c>
      <c r="F53" s="305">
        <v>2</v>
      </c>
      <c r="G53" s="564">
        <v>8.5</v>
      </c>
      <c r="H53" s="564">
        <f t="shared" ref="H53:H54" si="71">ROUND(D53*100*F53*250/E53/G53/1000,2)</f>
        <v>57.56</v>
      </c>
      <c r="I53" s="579">
        <f t="shared" ref="I53" si="72">(H53+H54)/2</f>
        <v>57.81</v>
      </c>
      <c r="J53" s="580">
        <f t="shared" ref="J53" si="73">(H53-H54)*100/I53</f>
        <v>-0.864902266043937</v>
      </c>
      <c r="K53" s="573">
        <f t="shared" ref="K53" si="74">H53-H54</f>
        <v>-0.5</v>
      </c>
      <c r="L53" s="581" t="s">
        <v>150</v>
      </c>
    </row>
    <row r="54" spans="1:12">
      <c r="A54" s="574"/>
      <c r="B54" s="41"/>
      <c r="C54" s="362"/>
      <c r="D54" s="39">
        <v>11.4</v>
      </c>
      <c r="E54" s="303">
        <v>1.122</v>
      </c>
      <c r="F54" s="305">
        <v>2</v>
      </c>
      <c r="G54" s="564">
        <v>8.75</v>
      </c>
      <c r="H54" s="564">
        <f t="shared" si="71"/>
        <v>58.06</v>
      </c>
      <c r="I54" s="582"/>
      <c r="J54" s="583"/>
      <c r="K54" s="574"/>
      <c r="L54" s="584"/>
    </row>
    <row r="55" spans="1:12">
      <c r="A55" s="573"/>
      <c r="B55" s="37" t="s">
        <v>181</v>
      </c>
      <c r="C55" s="344" t="s">
        <v>182</v>
      </c>
      <c r="D55" s="39">
        <v>11.4</v>
      </c>
      <c r="E55" s="303">
        <v>2.5647</v>
      </c>
      <c r="F55" s="305">
        <v>2</v>
      </c>
      <c r="G55" s="564">
        <v>8.2</v>
      </c>
      <c r="H55" s="564">
        <f t="shared" ref="H55:H58" si="75">ROUND(D55*100*F55*250/E55/G55/1000,2)</f>
        <v>27.1</v>
      </c>
      <c r="I55" s="579">
        <f t="shared" ref="I55" si="76">(H55+H56)/2</f>
        <v>25.805</v>
      </c>
      <c r="J55" s="580">
        <f t="shared" ref="J55" si="77">(H55-H56)*100/I55</f>
        <v>10.0368145708196</v>
      </c>
      <c r="K55" s="573">
        <f t="shared" ref="K55" si="78">H55-H56</f>
        <v>2.59</v>
      </c>
      <c r="L55" s="581" t="s">
        <v>150</v>
      </c>
    </row>
    <row r="56" spans="1:12">
      <c r="A56" s="574"/>
      <c r="B56" s="41"/>
      <c r="C56" s="362"/>
      <c r="D56" s="39">
        <v>11.4</v>
      </c>
      <c r="E56" s="303">
        <v>2.6581</v>
      </c>
      <c r="F56" s="305">
        <v>2</v>
      </c>
      <c r="G56" s="564">
        <v>8.75</v>
      </c>
      <c r="H56" s="564">
        <f t="shared" si="75"/>
        <v>24.51</v>
      </c>
      <c r="I56" s="582"/>
      <c r="J56" s="583"/>
      <c r="K56" s="574"/>
      <c r="L56" s="584"/>
    </row>
    <row r="57" spans="1:12">
      <c r="A57" s="573"/>
      <c r="B57" s="37" t="s">
        <v>175</v>
      </c>
      <c r="C57" s="38" t="s">
        <v>176</v>
      </c>
      <c r="D57" s="39">
        <v>11.4</v>
      </c>
      <c r="E57" s="303">
        <v>1.3337</v>
      </c>
      <c r="F57" s="305">
        <v>1</v>
      </c>
      <c r="G57" s="564">
        <v>5.25</v>
      </c>
      <c r="H57" s="564">
        <f t="shared" si="75"/>
        <v>40.7</v>
      </c>
      <c r="I57" s="579">
        <f t="shared" ref="I57" si="79">(H57+H58)/2</f>
        <v>40.29</v>
      </c>
      <c r="J57" s="580">
        <f t="shared" ref="J57" si="80">(H57-H58)*100/I57</f>
        <v>2.03524447753785</v>
      </c>
      <c r="K57" s="573">
        <f t="shared" ref="K57" si="81">H57-H58</f>
        <v>0.82</v>
      </c>
      <c r="L57" s="581" t="s">
        <v>150</v>
      </c>
    </row>
    <row r="58" spans="1:12">
      <c r="A58" s="574"/>
      <c r="B58" s="41"/>
      <c r="C58" s="42"/>
      <c r="D58" s="39">
        <v>11.4</v>
      </c>
      <c r="E58" s="303">
        <v>1.2994</v>
      </c>
      <c r="F58" s="305">
        <v>1</v>
      </c>
      <c r="G58" s="564">
        <v>5.5</v>
      </c>
      <c r="H58" s="564">
        <f t="shared" si="75"/>
        <v>39.88</v>
      </c>
      <c r="I58" s="582"/>
      <c r="J58" s="583"/>
      <c r="K58" s="574"/>
      <c r="L58" s="584"/>
    </row>
    <row r="59" spans="1:12">
      <c r="A59" s="573"/>
      <c r="B59" s="37" t="s">
        <v>183</v>
      </c>
      <c r="C59" s="38" t="s">
        <v>184</v>
      </c>
      <c r="D59" s="39">
        <v>11.3</v>
      </c>
      <c r="E59" s="303">
        <v>5.317</v>
      </c>
      <c r="F59" s="305">
        <v>4</v>
      </c>
      <c r="G59" s="564">
        <v>8.9</v>
      </c>
      <c r="H59" s="564">
        <f t="shared" ref="H59:H60" si="82">ROUND(D59*100*F59*250/E59/G59/1000,2)</f>
        <v>23.88</v>
      </c>
      <c r="I59" s="579">
        <f t="shared" ref="I59" si="83">(H59+H60)/2</f>
        <v>23.895</v>
      </c>
      <c r="J59" s="580">
        <f t="shared" ref="J59" si="84">(H59-H60)*100/I59</f>
        <v>-0.125549278091656</v>
      </c>
      <c r="K59" s="573">
        <f t="shared" ref="K59" si="85">H59-H60</f>
        <v>-0.0300000000000011</v>
      </c>
      <c r="L59" s="581" t="s">
        <v>150</v>
      </c>
    </row>
    <row r="60" spans="1:12">
      <c r="A60" s="574"/>
      <c r="B60" s="41"/>
      <c r="C60" s="42"/>
      <c r="D60" s="39">
        <v>11.3</v>
      </c>
      <c r="E60" s="303">
        <v>2.5682</v>
      </c>
      <c r="F60" s="305">
        <v>2</v>
      </c>
      <c r="G60" s="564">
        <v>9.2</v>
      </c>
      <c r="H60" s="564">
        <f t="shared" si="82"/>
        <v>23.91</v>
      </c>
      <c r="I60" s="582"/>
      <c r="J60" s="583"/>
      <c r="K60" s="574"/>
      <c r="L60" s="584"/>
    </row>
    <row r="61" spans="1:12">
      <c r="A61" s="573"/>
      <c r="B61" s="37" t="s">
        <v>185</v>
      </c>
      <c r="C61" s="38" t="s">
        <v>186</v>
      </c>
      <c r="D61" s="39">
        <v>11.3</v>
      </c>
      <c r="E61" s="303">
        <v>2.3468</v>
      </c>
      <c r="F61" s="305">
        <v>5</v>
      </c>
      <c r="G61" s="564">
        <v>13.5</v>
      </c>
      <c r="H61" s="564">
        <f t="shared" ref="H61:H62" si="86">ROUND(D61*100*F61*250/E61/G61/1000,2)</f>
        <v>44.58</v>
      </c>
      <c r="I61" s="579">
        <f t="shared" ref="I61" si="87">(H61+H62)/2</f>
        <v>44.03</v>
      </c>
      <c r="J61" s="580">
        <f t="shared" ref="J61" si="88">(H61-H62)*100/I61</f>
        <v>2.49829661594368</v>
      </c>
      <c r="K61" s="573">
        <f t="shared" ref="K61" si="89">H61-H62</f>
        <v>1.1</v>
      </c>
      <c r="L61" s="581" t="s">
        <v>150</v>
      </c>
    </row>
    <row r="62" spans="1:12">
      <c r="A62" s="574"/>
      <c r="B62" s="41"/>
      <c r="C62" s="42"/>
      <c r="D62" s="39">
        <v>11.3</v>
      </c>
      <c r="E62" s="303">
        <v>2.5682</v>
      </c>
      <c r="F62" s="305">
        <v>5</v>
      </c>
      <c r="G62" s="564">
        <v>12.65</v>
      </c>
      <c r="H62" s="564">
        <f t="shared" si="86"/>
        <v>43.48</v>
      </c>
      <c r="I62" s="582"/>
      <c r="J62" s="583"/>
      <c r="K62" s="574"/>
      <c r="L62" s="584"/>
    </row>
    <row r="63" spans="1:12">
      <c r="A63" s="573"/>
      <c r="B63" s="37" t="s">
        <v>185</v>
      </c>
      <c r="C63" s="38" t="s">
        <v>186</v>
      </c>
      <c r="D63" s="39">
        <v>11.3</v>
      </c>
      <c r="E63" s="303">
        <v>2.3468</v>
      </c>
      <c r="F63" s="305">
        <v>5</v>
      </c>
      <c r="G63" s="564">
        <v>13.5</v>
      </c>
      <c r="H63" s="564">
        <f t="shared" ref="H63:H66" si="90">ROUND(D63*100*F63*250/E63/G63/1000,2)</f>
        <v>44.58</v>
      </c>
      <c r="I63" s="579">
        <f t="shared" ref="I63" si="91">(H63+H64)/2</f>
        <v>44.03</v>
      </c>
      <c r="J63" s="580">
        <f t="shared" ref="J63" si="92">(H63-H64)*100/I63</f>
        <v>2.49829661594368</v>
      </c>
      <c r="K63" s="573">
        <f t="shared" ref="K63" si="93">H63-H64</f>
        <v>1.1</v>
      </c>
      <c r="L63" s="581" t="s">
        <v>150</v>
      </c>
    </row>
    <row r="64" spans="1:12">
      <c r="A64" s="574"/>
      <c r="B64" s="41"/>
      <c r="C64" s="42"/>
      <c r="D64" s="39">
        <v>11.3</v>
      </c>
      <c r="E64" s="303">
        <v>2.5682</v>
      </c>
      <c r="F64" s="305">
        <v>5</v>
      </c>
      <c r="G64" s="564">
        <v>12.65</v>
      </c>
      <c r="H64" s="564">
        <f t="shared" si="90"/>
        <v>43.48</v>
      </c>
      <c r="I64" s="582"/>
      <c r="J64" s="583"/>
      <c r="K64" s="574"/>
      <c r="L64" s="584"/>
    </row>
    <row r="65" spans="1:12">
      <c r="A65" s="573"/>
      <c r="B65" s="37" t="s">
        <v>187</v>
      </c>
      <c r="C65" s="38" t="s">
        <v>184</v>
      </c>
      <c r="D65" s="39">
        <v>11.3</v>
      </c>
      <c r="E65" s="303">
        <v>2.4465</v>
      </c>
      <c r="F65" s="305">
        <v>2</v>
      </c>
      <c r="G65" s="564">
        <v>9.8</v>
      </c>
      <c r="H65" s="564">
        <f t="shared" si="90"/>
        <v>23.57</v>
      </c>
      <c r="I65" s="579">
        <f t="shared" ref="I65" si="94">(H65+H66)/2</f>
        <v>23.435</v>
      </c>
      <c r="J65" s="580">
        <f t="shared" ref="J65" si="95">(H65-H66)*100/I65</f>
        <v>1.1521228931086</v>
      </c>
      <c r="K65" s="573">
        <f t="shared" ref="K65" si="96">H65-H66</f>
        <v>0.27</v>
      </c>
      <c r="L65" s="581" t="s">
        <v>150</v>
      </c>
    </row>
    <row r="66" spans="1:12">
      <c r="A66" s="574"/>
      <c r="B66" s="41"/>
      <c r="C66" s="42"/>
      <c r="D66" s="39">
        <v>11.3</v>
      </c>
      <c r="E66" s="303">
        <v>2.5254</v>
      </c>
      <c r="F66" s="305">
        <v>2</v>
      </c>
      <c r="G66" s="564">
        <v>9.6</v>
      </c>
      <c r="H66" s="564">
        <f t="shared" si="90"/>
        <v>23.3</v>
      </c>
      <c r="I66" s="582"/>
      <c r="J66" s="583"/>
      <c r="K66" s="574"/>
      <c r="L66" s="584"/>
    </row>
    <row r="67" spans="1:12">
      <c r="A67" s="573"/>
      <c r="B67" s="37" t="s">
        <v>188</v>
      </c>
      <c r="C67" s="38" t="s">
        <v>184</v>
      </c>
      <c r="D67" s="39">
        <v>11.3</v>
      </c>
      <c r="E67" s="303">
        <v>2.4403</v>
      </c>
      <c r="F67" s="305">
        <v>2</v>
      </c>
      <c r="G67" s="564">
        <v>9.2</v>
      </c>
      <c r="H67" s="564">
        <f t="shared" ref="H67:H68" si="97">ROUND(D67*100*F67*250/E67/G67/1000,2)</f>
        <v>25.17</v>
      </c>
      <c r="I67" s="579">
        <f t="shared" ref="I67" si="98">(H67+H68)/2</f>
        <v>25.045</v>
      </c>
      <c r="J67" s="580">
        <f t="shared" ref="J67" si="99">(H67-H68)*100/I67</f>
        <v>0.998203234178479</v>
      </c>
      <c r="K67" s="573">
        <f t="shared" ref="K67" si="100">H67-H68</f>
        <v>0.25</v>
      </c>
      <c r="L67" s="581" t="s">
        <v>150</v>
      </c>
    </row>
    <row r="68" spans="1:12">
      <c r="A68" s="574"/>
      <c r="B68" s="41"/>
      <c r="C68" s="42"/>
      <c r="D68" s="39">
        <v>11.3</v>
      </c>
      <c r="E68" s="303">
        <v>2.4512</v>
      </c>
      <c r="F68" s="305">
        <v>2</v>
      </c>
      <c r="G68" s="564">
        <v>9.25</v>
      </c>
      <c r="H68" s="564">
        <f t="shared" si="97"/>
        <v>24.92</v>
      </c>
      <c r="I68" s="582"/>
      <c r="J68" s="583"/>
      <c r="K68" s="574"/>
      <c r="L68" s="584"/>
    </row>
    <row r="69" spans="1:12">
      <c r="A69" s="573"/>
      <c r="B69" s="37" t="s">
        <v>189</v>
      </c>
      <c r="C69" s="38" t="s">
        <v>184</v>
      </c>
      <c r="D69" s="39">
        <v>11</v>
      </c>
      <c r="E69" s="303">
        <v>5.0221</v>
      </c>
      <c r="F69" s="305">
        <v>4</v>
      </c>
      <c r="G69" s="564">
        <v>8.65</v>
      </c>
      <c r="H69" s="564">
        <f t="shared" ref="H69:H70" si="101">ROUND(D69*100*F69*250/E69/G69/1000,2)</f>
        <v>25.32</v>
      </c>
      <c r="I69" s="579">
        <f t="shared" ref="I69" si="102">(H69+H70)/2</f>
        <v>25.165</v>
      </c>
      <c r="J69" s="580">
        <f t="shared" ref="J69" si="103">(H69-H70)*100/I69</f>
        <v>1.2318696602424</v>
      </c>
      <c r="K69" s="573">
        <f t="shared" ref="K69" si="104">H69-H70</f>
        <v>0.309999999999999</v>
      </c>
      <c r="L69" s="581" t="s">
        <v>150</v>
      </c>
    </row>
    <row r="70" spans="1:12">
      <c r="A70" s="574"/>
      <c r="B70" s="41"/>
      <c r="C70" s="42"/>
      <c r="D70" s="39">
        <v>11</v>
      </c>
      <c r="E70" s="303">
        <v>4.8598</v>
      </c>
      <c r="F70" s="305">
        <v>4</v>
      </c>
      <c r="G70" s="564">
        <v>9.05</v>
      </c>
      <c r="H70" s="564">
        <f t="shared" si="101"/>
        <v>25.01</v>
      </c>
      <c r="I70" s="582"/>
      <c r="J70" s="583"/>
      <c r="K70" s="574"/>
      <c r="L70" s="584"/>
    </row>
    <row r="72" spans="1:12">
      <c r="A72" s="573"/>
      <c r="B72" s="37" t="s">
        <v>190</v>
      </c>
      <c r="C72" s="38" t="s">
        <v>191</v>
      </c>
      <c r="D72" s="39">
        <v>11.1</v>
      </c>
      <c r="E72" s="303">
        <v>0.9046</v>
      </c>
      <c r="F72" s="305">
        <v>1</v>
      </c>
      <c r="G72" s="564">
        <v>5.2</v>
      </c>
      <c r="H72" s="564">
        <f t="shared" ref="H72:H79" si="105">ROUND(D72*100*F72*250/E72/G72/1000,2)</f>
        <v>58.99</v>
      </c>
      <c r="I72" s="579">
        <f t="shared" ref="I72" si="106">(H72+H73)/2</f>
        <v>57.87</v>
      </c>
      <c r="J72" s="580">
        <f t="shared" ref="J72" si="107">(H72-H73)*100/I72</f>
        <v>3.87074477276655</v>
      </c>
      <c r="K72" s="573">
        <f t="shared" ref="K72" si="108">H72-H73</f>
        <v>2.24</v>
      </c>
      <c r="L72" s="581" t="s">
        <v>150</v>
      </c>
    </row>
    <row r="73" spans="1:12">
      <c r="A73" s="574"/>
      <c r="B73" s="41"/>
      <c r="C73" s="42"/>
      <c r="D73" s="39">
        <v>11.1</v>
      </c>
      <c r="E73" s="303">
        <v>0.8655</v>
      </c>
      <c r="F73" s="305">
        <v>1</v>
      </c>
      <c r="G73" s="564">
        <v>5.65</v>
      </c>
      <c r="H73" s="564">
        <f t="shared" si="105"/>
        <v>56.75</v>
      </c>
      <c r="I73" s="582"/>
      <c r="J73" s="583"/>
      <c r="K73" s="574"/>
      <c r="L73" s="584"/>
    </row>
    <row r="74" spans="1:12">
      <c r="A74" s="573"/>
      <c r="B74" s="37" t="s">
        <v>192</v>
      </c>
      <c r="C74" s="38" t="s">
        <v>191</v>
      </c>
      <c r="D74" s="39">
        <v>11.1</v>
      </c>
      <c r="E74" s="303">
        <v>1.0262</v>
      </c>
      <c r="F74" s="305">
        <v>2</v>
      </c>
      <c r="G74" s="564">
        <v>9.7</v>
      </c>
      <c r="H74" s="564">
        <f t="shared" si="105"/>
        <v>55.76</v>
      </c>
      <c r="I74" s="579">
        <f t="shared" ref="I74" si="109">(H74+H75)/2</f>
        <v>56.16</v>
      </c>
      <c r="J74" s="580">
        <f t="shared" ref="J74" si="110">(H74-H75)*100/I74</f>
        <v>-1.42450142450143</v>
      </c>
      <c r="K74" s="573">
        <f t="shared" ref="K74" si="111">H74-H75</f>
        <v>-0.800000000000004</v>
      </c>
      <c r="L74" s="581" t="s">
        <v>150</v>
      </c>
    </row>
    <row r="75" spans="1:12">
      <c r="A75" s="574"/>
      <c r="B75" s="41"/>
      <c r="C75" s="42"/>
      <c r="D75" s="39">
        <v>11.1</v>
      </c>
      <c r="E75" s="303">
        <v>1.1025</v>
      </c>
      <c r="F75" s="305">
        <v>2</v>
      </c>
      <c r="G75" s="564">
        <v>8.9</v>
      </c>
      <c r="H75" s="564">
        <f t="shared" si="105"/>
        <v>56.56</v>
      </c>
      <c r="I75" s="582"/>
      <c r="J75" s="583"/>
      <c r="K75" s="574"/>
      <c r="L75" s="584"/>
    </row>
    <row r="76" spans="1:12">
      <c r="A76" s="573"/>
      <c r="B76" s="37" t="s">
        <v>193</v>
      </c>
      <c r="C76" s="38" t="s">
        <v>191</v>
      </c>
      <c r="D76" s="39">
        <v>11.1</v>
      </c>
      <c r="E76" s="303">
        <v>1.0607</v>
      </c>
      <c r="F76" s="305">
        <v>2</v>
      </c>
      <c r="G76" s="564">
        <v>8.75</v>
      </c>
      <c r="H76" s="564">
        <f t="shared" si="105"/>
        <v>59.8</v>
      </c>
      <c r="I76" s="579">
        <f t="shared" ref="I76" si="112">(H76+H77)/2</f>
        <v>59.77</v>
      </c>
      <c r="J76" s="580">
        <f t="shared" ref="J76" si="113">(H76-H77)*100/I76</f>
        <v>0.100384808432316</v>
      </c>
      <c r="K76" s="573">
        <f t="shared" ref="K76" si="114">H76-H77</f>
        <v>0.0599999999999952</v>
      </c>
      <c r="L76" s="581" t="s">
        <v>150</v>
      </c>
    </row>
    <row r="77" spans="1:12">
      <c r="A77" s="574"/>
      <c r="B77" s="41"/>
      <c r="C77" s="42"/>
      <c r="D77" s="39">
        <v>11.1</v>
      </c>
      <c r="E77" s="303">
        <v>1.1541</v>
      </c>
      <c r="F77" s="305">
        <v>2</v>
      </c>
      <c r="G77" s="564">
        <v>8.05</v>
      </c>
      <c r="H77" s="564">
        <f t="shared" si="105"/>
        <v>59.74</v>
      </c>
      <c r="I77" s="582"/>
      <c r="J77" s="583"/>
      <c r="K77" s="574"/>
      <c r="L77" s="584"/>
    </row>
    <row r="78" spans="1:12">
      <c r="A78" s="573"/>
      <c r="B78" s="37" t="s">
        <v>194</v>
      </c>
      <c r="C78" s="38" t="s">
        <v>191</v>
      </c>
      <c r="D78" s="39">
        <v>11.1</v>
      </c>
      <c r="E78" s="303">
        <v>1.0127</v>
      </c>
      <c r="F78" s="305">
        <v>2</v>
      </c>
      <c r="G78" s="564">
        <v>9</v>
      </c>
      <c r="H78" s="564">
        <f t="shared" si="105"/>
        <v>60.89</v>
      </c>
      <c r="I78" s="579">
        <f t="shared" ref="I78" si="115">(H78+H79)/2</f>
        <v>60.415</v>
      </c>
      <c r="J78" s="580">
        <f t="shared" ref="J78" si="116">(H78-H79)*100/I78</f>
        <v>1.57245717123231</v>
      </c>
      <c r="K78" s="573">
        <f t="shared" ref="K78" si="117">H78-H79</f>
        <v>0.950000000000003</v>
      </c>
      <c r="L78" s="581" t="s">
        <v>150</v>
      </c>
    </row>
    <row r="79" spans="1:12">
      <c r="A79" s="574"/>
      <c r="B79" s="41"/>
      <c r="C79" s="42"/>
      <c r="D79" s="39">
        <v>11.1</v>
      </c>
      <c r="E79" s="303">
        <v>1.0958</v>
      </c>
      <c r="F79" s="305">
        <v>2</v>
      </c>
      <c r="G79" s="564">
        <v>8.45</v>
      </c>
      <c r="H79" s="564">
        <f t="shared" si="105"/>
        <v>59.94</v>
      </c>
      <c r="I79" s="582"/>
      <c r="J79" s="583"/>
      <c r="K79" s="574"/>
      <c r="L79" s="584"/>
    </row>
    <row r="80" spans="1:12">
      <c r="A80" s="573"/>
      <c r="B80" s="37" t="s">
        <v>195</v>
      </c>
      <c r="C80" s="38" t="s">
        <v>196</v>
      </c>
      <c r="D80" s="39">
        <v>11.1</v>
      </c>
      <c r="E80" s="303">
        <v>2.5643</v>
      </c>
      <c r="F80" s="305">
        <v>1</v>
      </c>
      <c r="G80" s="564">
        <v>12.95</v>
      </c>
      <c r="H80" s="564">
        <f t="shared" ref="H80:H84" si="118">ROUND(D80*100*F80*250/E80/G80/1000,2)</f>
        <v>8.36</v>
      </c>
      <c r="I80" s="579">
        <f t="shared" ref="I80" si="119">(H80+H81)/2</f>
        <v>8.48</v>
      </c>
      <c r="J80" s="580">
        <f t="shared" ref="J80" si="120">(H80-H81)*100/I80</f>
        <v>-2.83018867924529</v>
      </c>
      <c r="K80" s="573">
        <f t="shared" ref="K80" si="121">H80-H81</f>
        <v>-0.24</v>
      </c>
      <c r="L80" s="581" t="s">
        <v>150</v>
      </c>
    </row>
    <row r="81" spans="1:12">
      <c r="A81" s="574"/>
      <c r="B81" s="41"/>
      <c r="C81" s="42"/>
      <c r="D81" s="39">
        <v>11.1</v>
      </c>
      <c r="E81" s="303">
        <v>2.6021</v>
      </c>
      <c r="F81" s="305">
        <v>1</v>
      </c>
      <c r="G81" s="564">
        <v>12.4</v>
      </c>
      <c r="H81" s="564">
        <f t="shared" si="118"/>
        <v>8.6</v>
      </c>
      <c r="I81" s="582"/>
      <c r="J81" s="583"/>
      <c r="K81" s="574"/>
      <c r="L81" s="584"/>
    </row>
    <row r="82" spans="1:12">
      <c r="A82" s="573"/>
      <c r="B82" s="37" t="s">
        <v>197</v>
      </c>
      <c r="C82" s="38" t="s">
        <v>198</v>
      </c>
      <c r="D82" s="39">
        <v>11.1</v>
      </c>
      <c r="E82" s="303">
        <v>2.1584</v>
      </c>
      <c r="F82" s="305">
        <v>1</v>
      </c>
      <c r="G82" s="564">
        <v>9.8</v>
      </c>
      <c r="H82" s="564">
        <f t="shared" si="118"/>
        <v>13.12</v>
      </c>
      <c r="I82" s="579">
        <f t="shared" ref="I82" si="122">(H82+H83)/2</f>
        <v>13.345</v>
      </c>
      <c r="J82" s="580">
        <f t="shared" ref="J82" si="123">(H82-H83)*100/I82</f>
        <v>-3.37204945672537</v>
      </c>
      <c r="K82" s="573">
        <f t="shared" ref="K82" si="124">H82-H83</f>
        <v>-0.450000000000001</v>
      </c>
      <c r="L82" s="581" t="s">
        <v>150</v>
      </c>
    </row>
    <row r="83" spans="1:12">
      <c r="A83" s="574"/>
      <c r="B83" s="41"/>
      <c r="C83" s="42"/>
      <c r="D83" s="39">
        <v>11.1</v>
      </c>
      <c r="E83" s="303">
        <v>2.3102</v>
      </c>
      <c r="F83" s="305">
        <v>1</v>
      </c>
      <c r="G83" s="564">
        <v>8.85</v>
      </c>
      <c r="H83" s="564">
        <f t="shared" si="118"/>
        <v>13.57</v>
      </c>
      <c r="I83" s="582"/>
      <c r="J83" s="583"/>
      <c r="K83" s="574"/>
      <c r="L83" s="584"/>
    </row>
    <row r="84" s="413" customFormat="1" spans="1:15">
      <c r="A84" s="585"/>
      <c r="B84" s="125" t="s">
        <v>199</v>
      </c>
      <c r="C84" s="126" t="s">
        <v>166</v>
      </c>
      <c r="D84" s="127">
        <v>11.1</v>
      </c>
      <c r="E84" s="128">
        <v>9.0001</v>
      </c>
      <c r="F84" s="127">
        <v>1</v>
      </c>
      <c r="G84" s="474">
        <v>6.9</v>
      </c>
      <c r="H84" s="474">
        <f t="shared" si="118"/>
        <v>4.47</v>
      </c>
      <c r="I84" s="469">
        <f t="shared" ref="I84" si="125">(H84+H85)/2</f>
        <v>4.405</v>
      </c>
      <c r="J84" s="591">
        <f t="shared" ref="J84" si="126">(H84-H85)*100/I84</f>
        <v>2.95119182746878</v>
      </c>
      <c r="K84" s="585">
        <f t="shared" ref="K84" si="127">H84-H85</f>
        <v>0.13</v>
      </c>
      <c r="L84" s="592" t="s">
        <v>150</v>
      </c>
      <c r="M84" s="593"/>
      <c r="N84" s="594"/>
      <c r="O84" s="595"/>
    </row>
    <row r="85" s="413" customFormat="1" spans="1:15">
      <c r="A85" s="586"/>
      <c r="B85" s="130"/>
      <c r="C85" s="131"/>
      <c r="D85" s="127">
        <v>11.1</v>
      </c>
      <c r="E85" s="128">
        <v>9.3254</v>
      </c>
      <c r="F85" s="127">
        <v>1</v>
      </c>
      <c r="G85" s="474">
        <v>6.85</v>
      </c>
      <c r="H85" s="474">
        <f t="shared" ref="H85:H99" si="128">ROUND(D85*100*F85*250/E85/G85/1000,2)</f>
        <v>4.34</v>
      </c>
      <c r="I85" s="470"/>
      <c r="J85" s="596"/>
      <c r="K85" s="586"/>
      <c r="L85" s="597"/>
      <c r="M85" s="593"/>
      <c r="N85" s="594"/>
      <c r="O85" s="595"/>
    </row>
    <row r="86" spans="1:12">
      <c r="A86" s="573"/>
      <c r="B86" s="37" t="s">
        <v>200</v>
      </c>
      <c r="C86" s="38" t="s">
        <v>201</v>
      </c>
      <c r="D86" s="39">
        <v>11.1</v>
      </c>
      <c r="E86" s="303">
        <v>2.5573</v>
      </c>
      <c r="F86" s="305">
        <v>1</v>
      </c>
      <c r="G86" s="564">
        <v>5.2</v>
      </c>
      <c r="H86" s="564">
        <f t="shared" si="128"/>
        <v>20.87</v>
      </c>
      <c r="I86" s="579">
        <f t="shared" ref="I86" si="129">(H86+H87)/2</f>
        <v>20.96</v>
      </c>
      <c r="J86" s="580">
        <f t="shared" ref="J86" si="130">(H86-H87)*100/I86</f>
        <v>-0.858778625954197</v>
      </c>
      <c r="K86" s="573">
        <f t="shared" ref="K86" si="131">H86-H87</f>
        <v>-0.18</v>
      </c>
      <c r="L86" s="581" t="s">
        <v>150</v>
      </c>
    </row>
    <row r="87" spans="1:12">
      <c r="A87" s="574"/>
      <c r="B87" s="41"/>
      <c r="C87" s="42"/>
      <c r="D87" s="39">
        <v>11.1</v>
      </c>
      <c r="E87" s="303">
        <v>2.1259</v>
      </c>
      <c r="F87" s="305">
        <v>1</v>
      </c>
      <c r="G87" s="564">
        <v>6.2</v>
      </c>
      <c r="H87" s="564">
        <f t="shared" si="128"/>
        <v>21.05</v>
      </c>
      <c r="I87" s="582"/>
      <c r="J87" s="583"/>
      <c r="K87" s="574"/>
      <c r="L87" s="584"/>
    </row>
    <row r="88" spans="1:13">
      <c r="A88" s="573"/>
      <c r="B88" s="125" t="s">
        <v>202</v>
      </c>
      <c r="C88" s="126"/>
      <c r="D88" s="127">
        <v>11.1</v>
      </c>
      <c r="E88" s="128">
        <v>2.4272</v>
      </c>
      <c r="F88" s="127">
        <v>1</v>
      </c>
      <c r="G88" s="474">
        <v>8.8</v>
      </c>
      <c r="H88" s="474">
        <f t="shared" si="128"/>
        <v>12.99</v>
      </c>
      <c r="I88" s="469">
        <f t="shared" ref="I88" si="132">(H88+H89)/2</f>
        <v>13.055</v>
      </c>
      <c r="J88" s="591">
        <f t="shared" ref="J88" si="133">(H88-H89)*100/I88</f>
        <v>-0.99578705476828</v>
      </c>
      <c r="K88" s="585">
        <f t="shared" ref="K88" si="134">H88-H89</f>
        <v>-0.129999999999999</v>
      </c>
      <c r="L88" s="592" t="s">
        <v>150</v>
      </c>
      <c r="M88" s="593"/>
    </row>
    <row r="89" spans="1:13">
      <c r="A89" s="574"/>
      <c r="B89" s="130"/>
      <c r="C89" s="131"/>
      <c r="D89" s="127">
        <v>11.1</v>
      </c>
      <c r="E89" s="128">
        <v>2.5325</v>
      </c>
      <c r="F89" s="127">
        <v>1</v>
      </c>
      <c r="G89" s="474">
        <v>8.35</v>
      </c>
      <c r="H89" s="474">
        <f t="shared" si="128"/>
        <v>13.12</v>
      </c>
      <c r="I89" s="470"/>
      <c r="J89" s="596"/>
      <c r="K89" s="586"/>
      <c r="L89" s="597"/>
      <c r="M89" s="593"/>
    </row>
    <row r="90" spans="1:13">
      <c r="A90" s="573"/>
      <c r="B90" s="125" t="s">
        <v>203</v>
      </c>
      <c r="C90" s="126"/>
      <c r="D90" s="127">
        <v>11.1</v>
      </c>
      <c r="E90" s="128">
        <v>2.0014</v>
      </c>
      <c r="F90" s="127">
        <v>1</v>
      </c>
      <c r="G90" s="474">
        <v>10.1</v>
      </c>
      <c r="H90" s="474">
        <f t="shared" si="128"/>
        <v>13.73</v>
      </c>
      <c r="I90" s="469">
        <f t="shared" ref="I90" si="135">(H90+H91)/2</f>
        <v>13.795</v>
      </c>
      <c r="J90" s="591">
        <f t="shared" ref="J90" si="136">(H90-H91)*100/I90</f>
        <v>-0.942370424066684</v>
      </c>
      <c r="K90" s="585">
        <f t="shared" ref="K90" si="137">H90-H91</f>
        <v>-0.129999999999999</v>
      </c>
      <c r="L90" s="592" t="s">
        <v>150</v>
      </c>
      <c r="M90" s="593"/>
    </row>
    <row r="91" spans="1:13">
      <c r="A91" s="574"/>
      <c r="B91" s="130"/>
      <c r="C91" s="131"/>
      <c r="D91" s="127">
        <v>11.1</v>
      </c>
      <c r="E91" s="128">
        <v>2.0125</v>
      </c>
      <c r="F91" s="127">
        <v>1</v>
      </c>
      <c r="G91" s="474">
        <v>9.95</v>
      </c>
      <c r="H91" s="474">
        <f t="shared" si="128"/>
        <v>13.86</v>
      </c>
      <c r="I91" s="470"/>
      <c r="J91" s="596"/>
      <c r="K91" s="586"/>
      <c r="L91" s="597"/>
      <c r="M91" s="593"/>
    </row>
    <row r="92" spans="1:13">
      <c r="A92" s="573"/>
      <c r="B92" s="125" t="s">
        <v>204</v>
      </c>
      <c r="C92" s="126"/>
      <c r="D92" s="127">
        <v>11.1</v>
      </c>
      <c r="E92" s="128">
        <v>2.5734</v>
      </c>
      <c r="F92" s="127">
        <v>1</v>
      </c>
      <c r="G92" s="474">
        <v>9.05</v>
      </c>
      <c r="H92" s="474">
        <f t="shared" ref="H92:H93" si="138">ROUND(D92*100*F92*250/E92/G92/1000,2)</f>
        <v>11.92</v>
      </c>
      <c r="I92" s="469">
        <f t="shared" ref="I92" si="139">(H92+H93)/2</f>
        <v>12.005</v>
      </c>
      <c r="J92" s="591">
        <f t="shared" ref="J92" si="140">(H92-H93)*100/I92</f>
        <v>-1.41607663473553</v>
      </c>
      <c r="K92" s="585">
        <f t="shared" ref="K92" si="141">H92-H93</f>
        <v>-0.17</v>
      </c>
      <c r="L92" s="592" t="s">
        <v>150</v>
      </c>
      <c r="M92" s="593"/>
    </row>
    <row r="93" spans="1:13">
      <c r="A93" s="574"/>
      <c r="B93" s="130"/>
      <c r="C93" s="131"/>
      <c r="D93" s="127">
        <v>11.1</v>
      </c>
      <c r="E93" s="128">
        <v>2.6525</v>
      </c>
      <c r="F93" s="127">
        <v>1</v>
      </c>
      <c r="G93" s="474">
        <v>8.65</v>
      </c>
      <c r="H93" s="474">
        <f t="shared" si="138"/>
        <v>12.09</v>
      </c>
      <c r="I93" s="470"/>
      <c r="J93" s="596"/>
      <c r="K93" s="586"/>
      <c r="L93" s="597"/>
      <c r="M93" s="593"/>
    </row>
    <row r="94" spans="1:13">
      <c r="A94" s="573"/>
      <c r="B94" s="125" t="s">
        <v>205</v>
      </c>
      <c r="C94" s="126"/>
      <c r="D94" s="127">
        <v>11.1</v>
      </c>
      <c r="E94" s="128">
        <v>1.7007</v>
      </c>
      <c r="F94" s="127">
        <v>1</v>
      </c>
      <c r="G94" s="474">
        <v>11.95</v>
      </c>
      <c r="H94" s="474">
        <f t="shared" si="128"/>
        <v>13.65</v>
      </c>
      <c r="I94" s="469">
        <f t="shared" ref="I94" si="142">(H94+H95)/2</f>
        <v>13.455</v>
      </c>
      <c r="J94" s="591">
        <f t="shared" ref="J94" si="143">(H94-H95)*100/I94</f>
        <v>2.89855072463768</v>
      </c>
      <c r="K94" s="585">
        <f t="shared" ref="K94" si="144">H94-H95</f>
        <v>0.390000000000001</v>
      </c>
      <c r="L94" s="592" t="s">
        <v>150</v>
      </c>
      <c r="M94" s="593"/>
    </row>
    <row r="95" spans="1:13">
      <c r="A95" s="574"/>
      <c r="B95" s="130"/>
      <c r="C95" s="131"/>
      <c r="D95" s="127">
        <v>11.1</v>
      </c>
      <c r="E95" s="128">
        <v>1.8598</v>
      </c>
      <c r="F95" s="127">
        <v>1</v>
      </c>
      <c r="G95" s="474">
        <v>11.25</v>
      </c>
      <c r="H95" s="474">
        <f t="shared" si="128"/>
        <v>13.26</v>
      </c>
      <c r="I95" s="470"/>
      <c r="J95" s="596"/>
      <c r="K95" s="586"/>
      <c r="L95" s="597"/>
      <c r="M95" s="593"/>
    </row>
    <row r="96" spans="1:13">
      <c r="A96" s="573"/>
      <c r="B96" s="125" t="s">
        <v>206</v>
      </c>
      <c r="C96" s="126"/>
      <c r="D96" s="127">
        <v>11.1</v>
      </c>
      <c r="E96" s="128">
        <v>1.8386</v>
      </c>
      <c r="F96" s="127">
        <v>1</v>
      </c>
      <c r="G96" s="474">
        <v>12.8</v>
      </c>
      <c r="H96" s="474">
        <f t="shared" si="128"/>
        <v>11.79</v>
      </c>
      <c r="I96" s="469">
        <f t="shared" ref="I96" si="145">(H96+H97)/2</f>
        <v>11.845</v>
      </c>
      <c r="J96" s="591">
        <f t="shared" ref="J96" si="146">(H96-H97)*100/I96</f>
        <v>-0.928661882650918</v>
      </c>
      <c r="K96" s="585">
        <f t="shared" ref="K96" si="147">H96-H97</f>
        <v>-0.110000000000001</v>
      </c>
      <c r="L96" s="592" t="s">
        <v>150</v>
      </c>
      <c r="M96" s="593"/>
    </row>
    <row r="97" spans="1:13">
      <c r="A97" s="574"/>
      <c r="B97" s="130"/>
      <c r="C97" s="131"/>
      <c r="D97" s="127">
        <v>11.1</v>
      </c>
      <c r="E97" s="128">
        <v>1.9029</v>
      </c>
      <c r="F97" s="127">
        <v>1</v>
      </c>
      <c r="G97" s="474">
        <v>12.25</v>
      </c>
      <c r="H97" s="474">
        <f t="shared" si="128"/>
        <v>11.9</v>
      </c>
      <c r="I97" s="470"/>
      <c r="J97" s="596"/>
      <c r="K97" s="586"/>
      <c r="L97" s="597"/>
      <c r="M97" s="593"/>
    </row>
    <row r="98" spans="1:13">
      <c r="A98" s="573"/>
      <c r="B98" s="125" t="s">
        <v>207</v>
      </c>
      <c r="C98" s="126"/>
      <c r="D98" s="127">
        <v>11.1</v>
      </c>
      <c r="E98" s="128">
        <v>2.4866</v>
      </c>
      <c r="F98" s="127">
        <v>1</v>
      </c>
      <c r="G98" s="474">
        <v>8.2</v>
      </c>
      <c r="H98" s="474">
        <f t="shared" si="128"/>
        <v>13.61</v>
      </c>
      <c r="I98" s="469">
        <f t="shared" ref="I98" si="148">(H98+H99)/2</f>
        <v>13.585</v>
      </c>
      <c r="J98" s="591">
        <f t="shared" ref="J98" si="149">(H98-H99)*100/I98</f>
        <v>0.368052999631939</v>
      </c>
      <c r="K98" s="585">
        <f t="shared" ref="K98" si="150">H98-H99</f>
        <v>0.0499999999999989</v>
      </c>
      <c r="L98" s="592" t="s">
        <v>150</v>
      </c>
      <c r="M98" s="593"/>
    </row>
    <row r="99" spans="1:13">
      <c r="A99" s="574"/>
      <c r="B99" s="130"/>
      <c r="C99" s="131"/>
      <c r="D99" s="127">
        <v>11.1</v>
      </c>
      <c r="E99" s="128">
        <v>2.3654</v>
      </c>
      <c r="F99" s="127">
        <v>1</v>
      </c>
      <c r="G99" s="474">
        <v>8.65</v>
      </c>
      <c r="H99" s="474">
        <f t="shared" si="128"/>
        <v>13.56</v>
      </c>
      <c r="I99" s="470"/>
      <c r="J99" s="596"/>
      <c r="K99" s="586"/>
      <c r="L99" s="597"/>
      <c r="M99" s="593"/>
    </row>
    <row r="100" spans="1:13">
      <c r="A100" s="573"/>
      <c r="B100" s="125" t="s">
        <v>208</v>
      </c>
      <c r="C100" s="126"/>
      <c r="D100" s="127">
        <v>11.1</v>
      </c>
      <c r="E100" s="128">
        <v>2.5526</v>
      </c>
      <c r="F100" s="127">
        <v>1</v>
      </c>
      <c r="G100" s="474">
        <v>9.05</v>
      </c>
      <c r="H100" s="474">
        <f t="shared" ref="H100:H101" si="151">ROUND(D100*100*F100*250/E100/G100/1000,2)</f>
        <v>12.01</v>
      </c>
      <c r="I100" s="469">
        <f t="shared" ref="I100" si="152">(H100+H101)/2</f>
        <v>12.06</v>
      </c>
      <c r="J100" s="591">
        <f t="shared" ref="J100" si="153">(H100-H101)*100/I100</f>
        <v>-0.829187396351573</v>
      </c>
      <c r="K100" s="585">
        <f t="shared" ref="K100" si="154">H100-H101</f>
        <v>-0.0999999999999996</v>
      </c>
      <c r="L100" s="592" t="s">
        <v>150</v>
      </c>
      <c r="M100" s="593"/>
    </row>
    <row r="101" spans="1:13">
      <c r="A101" s="574"/>
      <c r="B101" s="130"/>
      <c r="C101" s="131"/>
      <c r="D101" s="127">
        <v>11.1</v>
      </c>
      <c r="E101" s="128">
        <v>2.5902</v>
      </c>
      <c r="F101" s="127">
        <v>1</v>
      </c>
      <c r="G101" s="474">
        <v>8.85</v>
      </c>
      <c r="H101" s="474">
        <f t="shared" si="151"/>
        <v>12.11</v>
      </c>
      <c r="I101" s="470"/>
      <c r="J101" s="596"/>
      <c r="K101" s="586"/>
      <c r="L101" s="597"/>
      <c r="M101" s="593"/>
    </row>
    <row r="102" spans="1:12">
      <c r="A102" s="573"/>
      <c r="B102" s="37" t="s">
        <v>209</v>
      </c>
      <c r="C102" s="38"/>
      <c r="D102" s="39">
        <v>11.1</v>
      </c>
      <c r="E102" s="303">
        <v>0.9421</v>
      </c>
      <c r="F102" s="305">
        <v>1</v>
      </c>
      <c r="G102" s="564">
        <v>6.9</v>
      </c>
      <c r="H102" s="564">
        <f t="shared" ref="H102:H105" si="155">ROUND(D102*100*F102*250/E102/G102/1000,2)</f>
        <v>42.69</v>
      </c>
      <c r="I102" s="579">
        <f t="shared" ref="I102" si="156">(H102+H103)/2</f>
        <v>43.325</v>
      </c>
      <c r="J102" s="580">
        <f t="shared" ref="J102" si="157">(H102-H103)*100/I102</f>
        <v>-2.93133294864398</v>
      </c>
      <c r="K102" s="573">
        <f t="shared" ref="K102" si="158">H102-H103</f>
        <v>-1.27</v>
      </c>
      <c r="L102" s="581" t="s">
        <v>150</v>
      </c>
    </row>
    <row r="103" spans="1:12">
      <c r="A103" s="574"/>
      <c r="B103" s="41"/>
      <c r="C103" s="42"/>
      <c r="D103" s="39">
        <v>11.1</v>
      </c>
      <c r="E103" s="303">
        <v>0.9017</v>
      </c>
      <c r="F103" s="305">
        <v>1</v>
      </c>
      <c r="G103" s="564">
        <v>7</v>
      </c>
      <c r="H103" s="564">
        <f t="shared" si="155"/>
        <v>43.96</v>
      </c>
      <c r="I103" s="582"/>
      <c r="J103" s="583"/>
      <c r="K103" s="574"/>
      <c r="L103" s="584"/>
    </row>
    <row r="104" spans="1:12">
      <c r="A104" s="573"/>
      <c r="B104" s="37" t="s">
        <v>210</v>
      </c>
      <c r="C104" s="38"/>
      <c r="D104" s="39">
        <v>11.1</v>
      </c>
      <c r="E104" s="303">
        <v>1.2205</v>
      </c>
      <c r="F104" s="305">
        <v>1</v>
      </c>
      <c r="G104" s="564">
        <v>5.3</v>
      </c>
      <c r="H104" s="564">
        <f t="shared" si="155"/>
        <v>42.9</v>
      </c>
      <c r="I104" s="579">
        <f t="shared" ref="I104" si="159">(H104+H105)/2</f>
        <v>43.185</v>
      </c>
      <c r="J104" s="580">
        <f t="shared" ref="J104" si="160">(H104-H105)*100/I104</f>
        <v>-1.31990274400834</v>
      </c>
      <c r="K104" s="573">
        <f t="shared" ref="K104" si="161">H104-H105</f>
        <v>-0.57</v>
      </c>
      <c r="L104" s="581" t="s">
        <v>150</v>
      </c>
    </row>
    <row r="105" spans="1:12">
      <c r="A105" s="574"/>
      <c r="B105" s="41"/>
      <c r="C105" s="42"/>
      <c r="D105" s="39">
        <v>11.1</v>
      </c>
      <c r="E105" s="303">
        <v>1.1102</v>
      </c>
      <c r="F105" s="305">
        <v>1</v>
      </c>
      <c r="G105" s="564">
        <v>5.75</v>
      </c>
      <c r="H105" s="564">
        <f t="shared" si="155"/>
        <v>43.47</v>
      </c>
      <c r="I105" s="582"/>
      <c r="J105" s="583"/>
      <c r="K105" s="574"/>
      <c r="L105" s="584"/>
    </row>
    <row r="106" spans="1:12">
      <c r="A106" s="573"/>
      <c r="B106" s="37" t="s">
        <v>211</v>
      </c>
      <c r="C106" s="38"/>
      <c r="D106" s="39">
        <v>11.1</v>
      </c>
      <c r="E106" s="303">
        <v>2.6148</v>
      </c>
      <c r="F106" s="305">
        <v>1</v>
      </c>
      <c r="G106" s="564">
        <v>7.85</v>
      </c>
      <c r="H106" s="564">
        <f t="shared" ref="H106:H107" si="162">ROUND(D106*100*F106*250/E106/G106/1000,2)</f>
        <v>13.52</v>
      </c>
      <c r="I106" s="579">
        <f t="shared" ref="I106" si="163">(H106+H107)/2</f>
        <v>13.475</v>
      </c>
      <c r="J106" s="580">
        <f t="shared" ref="J106" si="164">(H106-H107)*100/I106</f>
        <v>0.667903525046381</v>
      </c>
      <c r="K106" s="573">
        <f t="shared" ref="K106" si="165">H106-H107</f>
        <v>0.0899999999999999</v>
      </c>
      <c r="L106" s="581" t="s">
        <v>150</v>
      </c>
    </row>
    <row r="107" spans="1:12">
      <c r="A107" s="574"/>
      <c r="B107" s="41"/>
      <c r="C107" s="42"/>
      <c r="D107" s="39">
        <v>11.1</v>
      </c>
      <c r="E107" s="303">
        <v>2.7014</v>
      </c>
      <c r="F107" s="305">
        <v>1</v>
      </c>
      <c r="G107" s="564">
        <v>7.65</v>
      </c>
      <c r="H107" s="564">
        <f t="shared" si="162"/>
        <v>13.43</v>
      </c>
      <c r="I107" s="582"/>
      <c r="J107" s="583"/>
      <c r="K107" s="574"/>
      <c r="L107" s="584"/>
    </row>
    <row r="108" s="561" customFormat="1" spans="1:15">
      <c r="A108" s="587"/>
      <c r="B108" s="116" t="s">
        <v>212</v>
      </c>
      <c r="C108" s="117"/>
      <c r="D108" s="118">
        <v>11.1</v>
      </c>
      <c r="E108" s="119">
        <v>3.6905</v>
      </c>
      <c r="F108" s="118">
        <v>8</v>
      </c>
      <c r="G108" s="588">
        <v>8.2</v>
      </c>
      <c r="H108" s="588">
        <f t="shared" ref="H108:H115" si="166">ROUND(D108*100*F108*250/E108/G108/1000,2)</f>
        <v>73.36</v>
      </c>
      <c r="I108" s="598">
        <f t="shared" ref="I108" si="167">(H108+H109)/2</f>
        <v>73.445</v>
      </c>
      <c r="J108" s="599">
        <f t="shared" ref="J108" si="168">(H108-H109)*100/I108</f>
        <v>-0.231465722649604</v>
      </c>
      <c r="K108" s="587">
        <f t="shared" ref="K108" si="169">H108-H109</f>
        <v>-0.170000000000002</v>
      </c>
      <c r="L108" s="600" t="s">
        <v>150</v>
      </c>
      <c r="M108" s="601"/>
      <c r="N108" s="602"/>
      <c r="O108" s="603"/>
    </row>
    <row r="109" s="561" customFormat="1" spans="1:15">
      <c r="A109" s="589"/>
      <c r="B109" s="122"/>
      <c r="C109" s="123"/>
      <c r="D109" s="118">
        <v>11.1</v>
      </c>
      <c r="E109" s="119">
        <v>3.6819</v>
      </c>
      <c r="F109" s="118">
        <v>8</v>
      </c>
      <c r="G109" s="588">
        <v>8.2</v>
      </c>
      <c r="H109" s="588">
        <f t="shared" si="166"/>
        <v>73.53</v>
      </c>
      <c r="I109" s="604"/>
      <c r="J109" s="605"/>
      <c r="K109" s="589"/>
      <c r="L109" s="606"/>
      <c r="M109" s="601"/>
      <c r="N109" s="602"/>
      <c r="O109" s="603"/>
    </row>
    <row r="110" s="561" customFormat="1" spans="1:15">
      <c r="A110" s="587"/>
      <c r="B110" s="116" t="s">
        <v>213</v>
      </c>
      <c r="C110" s="117"/>
      <c r="D110" s="118">
        <v>11.1</v>
      </c>
      <c r="E110" s="119">
        <v>3.246</v>
      </c>
      <c r="F110" s="118">
        <v>8</v>
      </c>
      <c r="G110" s="588">
        <v>10.05</v>
      </c>
      <c r="H110" s="588">
        <f t="shared" si="166"/>
        <v>68.05</v>
      </c>
      <c r="I110" s="598">
        <f t="shared" ref="I110" si="170">(H110+H111)/2</f>
        <v>68.405</v>
      </c>
      <c r="J110" s="599">
        <f t="shared" ref="J110" si="171">(H110-H111)*100/I110</f>
        <v>-1.03793582340473</v>
      </c>
      <c r="K110" s="587">
        <f t="shared" ref="K110" si="172">H110-H111</f>
        <v>-0.710000000000008</v>
      </c>
      <c r="L110" s="600" t="s">
        <v>150</v>
      </c>
      <c r="M110" s="601"/>
      <c r="N110" s="602"/>
      <c r="O110" s="603"/>
    </row>
    <row r="111" s="561" customFormat="1" spans="1:15">
      <c r="A111" s="589"/>
      <c r="B111" s="122"/>
      <c r="C111" s="123"/>
      <c r="D111" s="118">
        <v>11.1</v>
      </c>
      <c r="E111" s="119">
        <v>3.261</v>
      </c>
      <c r="F111" s="118">
        <v>8</v>
      </c>
      <c r="G111" s="588">
        <v>9.9</v>
      </c>
      <c r="H111" s="588">
        <f t="shared" si="166"/>
        <v>68.76</v>
      </c>
      <c r="I111" s="604"/>
      <c r="J111" s="605"/>
      <c r="K111" s="589"/>
      <c r="L111" s="606"/>
      <c r="M111" s="601"/>
      <c r="N111" s="602"/>
      <c r="O111" s="603"/>
    </row>
    <row r="112" spans="1:12">
      <c r="A112" s="573"/>
      <c r="B112" s="37" t="s">
        <v>214</v>
      </c>
      <c r="C112" s="38"/>
      <c r="D112" s="39">
        <v>11.1</v>
      </c>
      <c r="E112" s="303">
        <v>2.4722</v>
      </c>
      <c r="F112" s="305">
        <v>2</v>
      </c>
      <c r="G112" s="564">
        <v>10.45</v>
      </c>
      <c r="H112" s="564">
        <f t="shared" si="166"/>
        <v>21.48</v>
      </c>
      <c r="I112" s="579">
        <f t="shared" ref="I112" si="173">(H112+H113)/2</f>
        <v>21.56</v>
      </c>
      <c r="J112" s="580">
        <f t="shared" ref="J112" si="174">(H112-H113)*100/I112</f>
        <v>-0.742115027829314</v>
      </c>
      <c r="K112" s="573">
        <f t="shared" ref="K112" si="175">H112-H113</f>
        <v>-0.16</v>
      </c>
      <c r="L112" s="581" t="s">
        <v>150</v>
      </c>
    </row>
    <row r="113" spans="1:12">
      <c r="A113" s="574"/>
      <c r="B113" s="41"/>
      <c r="C113" s="42"/>
      <c r="D113" s="39">
        <v>11.1</v>
      </c>
      <c r="E113" s="303">
        <v>2.4314</v>
      </c>
      <c r="F113" s="305">
        <v>2</v>
      </c>
      <c r="G113" s="564">
        <v>10.55</v>
      </c>
      <c r="H113" s="564">
        <f t="shared" si="166"/>
        <v>21.64</v>
      </c>
      <c r="I113" s="582"/>
      <c r="J113" s="583"/>
      <c r="K113" s="574"/>
      <c r="L113" s="584"/>
    </row>
    <row r="114" spans="1:12">
      <c r="A114" s="573"/>
      <c r="B114" s="37" t="s">
        <v>215</v>
      </c>
      <c r="C114" s="38"/>
      <c r="D114" s="39">
        <v>11.1</v>
      </c>
      <c r="E114" s="303">
        <v>2.6531</v>
      </c>
      <c r="F114" s="305">
        <v>2</v>
      </c>
      <c r="G114" s="564">
        <v>7.8</v>
      </c>
      <c r="H114" s="564">
        <f t="shared" si="166"/>
        <v>26.82</v>
      </c>
      <c r="I114" s="579">
        <f t="shared" ref="I114" si="176">(H114+H115)/2</f>
        <v>26.995</v>
      </c>
      <c r="J114" s="580">
        <f t="shared" ref="J114" si="177">(H114-H115)*100/I114</f>
        <v>-1.29653639562883</v>
      </c>
      <c r="K114" s="573">
        <f t="shared" ref="K114" si="178">H114-H115</f>
        <v>-0.350000000000001</v>
      </c>
      <c r="L114" s="581" t="s">
        <v>150</v>
      </c>
    </row>
    <row r="115" spans="1:12">
      <c r="A115" s="574"/>
      <c r="B115" s="41"/>
      <c r="C115" s="42"/>
      <c r="D115" s="39">
        <v>11.1</v>
      </c>
      <c r="E115" s="303">
        <v>2.619</v>
      </c>
      <c r="F115" s="305">
        <v>2</v>
      </c>
      <c r="G115" s="564">
        <v>7.8</v>
      </c>
      <c r="H115" s="564">
        <f t="shared" si="166"/>
        <v>27.17</v>
      </c>
      <c r="I115" s="582"/>
      <c r="J115" s="583"/>
      <c r="K115" s="574"/>
      <c r="L115" s="584"/>
    </row>
    <row r="116" spans="4:4">
      <c r="D116" s="557" t="s">
        <v>216</v>
      </c>
    </row>
    <row r="117" spans="1:12">
      <c r="A117" s="573"/>
      <c r="B117" s="37" t="s">
        <v>212</v>
      </c>
      <c r="C117" s="38"/>
      <c r="D117" s="39">
        <v>11.1</v>
      </c>
      <c r="E117" s="303">
        <v>0.4958</v>
      </c>
      <c r="F117" s="305">
        <v>1</v>
      </c>
      <c r="G117" s="564">
        <v>7.8</v>
      </c>
      <c r="H117" s="564">
        <f t="shared" ref="H117:H122" si="179">ROUND(D117*100*F117*250/E117/G117/1000,2)</f>
        <v>71.76</v>
      </c>
      <c r="I117" s="579">
        <f t="shared" ref="I117" si="180">(H117+H118)/2</f>
        <v>71.5</v>
      </c>
      <c r="J117" s="580">
        <f t="shared" ref="J117" si="181">(H117-H118)*100/I117</f>
        <v>0.727272727272742</v>
      </c>
      <c r="K117" s="573">
        <f t="shared" ref="K117" si="182">H117-H118</f>
        <v>0.52000000000001</v>
      </c>
      <c r="L117" s="581" t="s">
        <v>150</v>
      </c>
    </row>
    <row r="118" spans="1:12">
      <c r="A118" s="574"/>
      <c r="B118" s="41"/>
      <c r="C118" s="42"/>
      <c r="D118" s="39">
        <v>11.1</v>
      </c>
      <c r="E118" s="303">
        <v>0.49</v>
      </c>
      <c r="F118" s="305">
        <v>1</v>
      </c>
      <c r="G118" s="564">
        <v>7.95</v>
      </c>
      <c r="H118" s="564">
        <f t="shared" si="179"/>
        <v>71.24</v>
      </c>
      <c r="I118" s="582"/>
      <c r="J118" s="583"/>
      <c r="K118" s="574"/>
      <c r="L118" s="584"/>
    </row>
    <row r="119" spans="1:12">
      <c r="A119" s="573"/>
      <c r="B119" s="37" t="s">
        <v>213</v>
      </c>
      <c r="C119" s="38"/>
      <c r="D119" s="39">
        <v>11.3</v>
      </c>
      <c r="E119" s="303">
        <v>0.4849</v>
      </c>
      <c r="F119" s="305">
        <v>1</v>
      </c>
      <c r="G119" s="564">
        <v>7.95</v>
      </c>
      <c r="H119" s="564">
        <f t="shared" si="179"/>
        <v>73.28</v>
      </c>
      <c r="I119" s="579">
        <f t="shared" ref="I119" si="183">(H119+H120)/2</f>
        <v>72.455</v>
      </c>
      <c r="J119" s="580">
        <f t="shared" ref="J119" si="184">(H119-H120)*100/I119</f>
        <v>2.2772755503416</v>
      </c>
      <c r="K119" s="573">
        <f t="shared" ref="K119" si="185">H119-H120</f>
        <v>1.65000000000001</v>
      </c>
      <c r="L119" s="581" t="s">
        <v>150</v>
      </c>
    </row>
    <row r="120" spans="1:12">
      <c r="A120" s="574"/>
      <c r="B120" s="41"/>
      <c r="C120" s="42"/>
      <c r="D120" s="39">
        <v>11.1</v>
      </c>
      <c r="E120" s="303">
        <v>0.4257</v>
      </c>
      <c r="F120" s="305">
        <v>1</v>
      </c>
      <c r="G120" s="564">
        <v>9.1</v>
      </c>
      <c r="H120" s="564">
        <f t="shared" si="179"/>
        <v>71.63</v>
      </c>
      <c r="I120" s="582"/>
      <c r="J120" s="583"/>
      <c r="K120" s="574"/>
      <c r="L120" s="584"/>
    </row>
    <row r="121" spans="1:12">
      <c r="A121" s="573"/>
      <c r="B121" s="37" t="s">
        <v>212</v>
      </c>
      <c r="C121" s="38" t="s">
        <v>217</v>
      </c>
      <c r="D121" s="39">
        <v>11.1</v>
      </c>
      <c r="E121" s="303">
        <v>0.4844</v>
      </c>
      <c r="F121" s="305">
        <v>1</v>
      </c>
      <c r="G121" s="564">
        <v>7.8</v>
      </c>
      <c r="H121" s="564">
        <f t="shared" si="179"/>
        <v>73.45</v>
      </c>
      <c r="I121" s="579">
        <f t="shared" ref="I121" si="186">(H121+H122)/2</f>
        <v>73.45</v>
      </c>
      <c r="J121" s="580">
        <f t="shared" ref="J121" si="187">(H121-H122)*100/I121</f>
        <v>0</v>
      </c>
      <c r="K121" s="573">
        <f t="shared" ref="K121" si="188">H121-H122</f>
        <v>0</v>
      </c>
      <c r="L121" s="581" t="s">
        <v>150</v>
      </c>
    </row>
    <row r="122" spans="1:12">
      <c r="A122" s="574"/>
      <c r="B122" s="41"/>
      <c r="C122" s="42"/>
      <c r="D122" s="39">
        <v>11.1</v>
      </c>
      <c r="E122" s="303">
        <v>0.4844</v>
      </c>
      <c r="F122" s="305">
        <v>1</v>
      </c>
      <c r="G122" s="564">
        <v>7.8</v>
      </c>
      <c r="H122" s="564">
        <f t="shared" si="179"/>
        <v>73.45</v>
      </c>
      <c r="I122" s="582"/>
      <c r="J122" s="583"/>
      <c r="K122" s="574"/>
      <c r="L122" s="584"/>
    </row>
    <row r="123" spans="1:12">
      <c r="A123" s="573"/>
      <c r="B123" s="37" t="s">
        <v>212</v>
      </c>
      <c r="C123" s="38"/>
      <c r="D123" s="39">
        <v>11.1</v>
      </c>
      <c r="E123" s="303">
        <v>0.49</v>
      </c>
      <c r="F123" s="305">
        <v>1</v>
      </c>
      <c r="G123" s="564">
        <v>7.95</v>
      </c>
      <c r="H123" s="564">
        <f t="shared" ref="H123:H126" si="189">ROUND(D123*100*F123*250/E123/G123/1000,2)</f>
        <v>71.24</v>
      </c>
      <c r="I123" s="579">
        <f t="shared" ref="I123" si="190">(H123+H124)/2</f>
        <v>71.24</v>
      </c>
      <c r="J123" s="580">
        <f t="shared" ref="J123" si="191">(H123-H124)*100/I123</f>
        <v>0</v>
      </c>
      <c r="K123" s="573">
        <f t="shared" ref="K123" si="192">H123-H124</f>
        <v>0</v>
      </c>
      <c r="L123" s="581" t="s">
        <v>150</v>
      </c>
    </row>
    <row r="124" spans="1:12">
      <c r="A124" s="574"/>
      <c r="B124" s="41"/>
      <c r="C124" s="42"/>
      <c r="D124" s="39">
        <v>11.1</v>
      </c>
      <c r="E124" s="303">
        <v>0.49</v>
      </c>
      <c r="F124" s="305">
        <v>1</v>
      </c>
      <c r="G124" s="564">
        <v>7.95</v>
      </c>
      <c r="H124" s="564">
        <f t="shared" si="189"/>
        <v>71.24</v>
      </c>
      <c r="I124" s="582"/>
      <c r="J124" s="583"/>
      <c r="K124" s="574"/>
      <c r="L124" s="584"/>
    </row>
    <row r="125" spans="1:12">
      <c r="A125" s="573"/>
      <c r="B125" s="37" t="s">
        <v>213</v>
      </c>
      <c r="C125" s="38"/>
      <c r="D125" s="39">
        <v>11.1</v>
      </c>
      <c r="E125" s="303">
        <v>0.4257</v>
      </c>
      <c r="F125" s="305">
        <v>1</v>
      </c>
      <c r="G125" s="564">
        <v>9.1</v>
      </c>
      <c r="H125" s="564">
        <f t="shared" si="189"/>
        <v>71.63</v>
      </c>
      <c r="I125" s="579">
        <f t="shared" ref="I125" si="193">(H125+H126)/2</f>
        <v>71.63</v>
      </c>
      <c r="J125" s="580">
        <f t="shared" ref="J125" si="194">(H125-H126)*100/I125</f>
        <v>0</v>
      </c>
      <c r="K125" s="573">
        <f t="shared" ref="K125" si="195">H125-H126</f>
        <v>0</v>
      </c>
      <c r="L125" s="581" t="s">
        <v>150</v>
      </c>
    </row>
    <row r="126" spans="1:12">
      <c r="A126" s="574"/>
      <c r="B126" s="41"/>
      <c r="C126" s="42"/>
      <c r="D126" s="39">
        <v>11.1</v>
      </c>
      <c r="E126" s="303">
        <v>0.4257</v>
      </c>
      <c r="F126" s="305">
        <v>1</v>
      </c>
      <c r="G126" s="564">
        <v>9.1</v>
      </c>
      <c r="H126" s="564">
        <f t="shared" si="189"/>
        <v>71.63</v>
      </c>
      <c r="I126" s="582"/>
      <c r="J126" s="583"/>
      <c r="K126" s="574"/>
      <c r="L126" s="584"/>
    </row>
    <row r="127" spans="1:12">
      <c r="A127" s="573"/>
      <c r="B127" s="37" t="s">
        <v>218</v>
      </c>
      <c r="C127" s="38"/>
      <c r="D127" s="39">
        <v>11.1</v>
      </c>
      <c r="E127" s="303">
        <v>10</v>
      </c>
      <c r="F127" s="305">
        <v>2</v>
      </c>
      <c r="G127" s="564">
        <v>10.5</v>
      </c>
      <c r="H127" s="590">
        <f>ROUND(D127*100*F127*100/E127/G127/1000,2)</f>
        <v>2.11</v>
      </c>
      <c r="I127" s="580">
        <f t="shared" ref="I127" si="196">(H127+H128)/2</f>
        <v>2.11</v>
      </c>
      <c r="J127" s="580">
        <f t="shared" ref="J127" si="197">(H127-H128)*100/I127</f>
        <v>0</v>
      </c>
      <c r="K127" s="573">
        <f t="shared" ref="K127" si="198">H127-H128</f>
        <v>0</v>
      </c>
      <c r="L127" s="592" t="s">
        <v>167</v>
      </c>
    </row>
    <row r="128" spans="1:12">
      <c r="A128" s="574"/>
      <c r="B128" s="41"/>
      <c r="C128" s="42"/>
      <c r="D128" s="39">
        <v>11.1</v>
      </c>
      <c r="E128" s="303">
        <v>10</v>
      </c>
      <c r="F128" s="305">
        <v>2</v>
      </c>
      <c r="G128" s="564">
        <v>10.5</v>
      </c>
      <c r="H128" s="590">
        <f>ROUND(D128*100*F128*100/E128/G128/1000,2)</f>
        <v>2.11</v>
      </c>
      <c r="I128" s="583"/>
      <c r="J128" s="583"/>
      <c r="K128" s="574"/>
      <c r="L128" s="597"/>
    </row>
    <row r="129" spans="1:12">
      <c r="A129" s="573"/>
      <c r="B129" s="37" t="s">
        <v>219</v>
      </c>
      <c r="C129" s="38"/>
      <c r="D129" s="39">
        <v>11.1</v>
      </c>
      <c r="E129" s="303">
        <v>2.0658</v>
      </c>
      <c r="F129" s="305">
        <v>1</v>
      </c>
      <c r="G129" s="564">
        <v>9.45</v>
      </c>
      <c r="H129" s="564">
        <f t="shared" ref="H129:H133" si="199">ROUND(D129*100*F129*250/E129/G129/1000,2)</f>
        <v>14.21</v>
      </c>
      <c r="I129" s="579">
        <f t="shared" ref="I129" si="200">(H129+H130)/2</f>
        <v>14.28</v>
      </c>
      <c r="J129" s="580">
        <f t="shared" ref="J129" si="201">(H129-H130)*100/I129</f>
        <v>-0.980392156862737</v>
      </c>
      <c r="K129" s="573">
        <f t="shared" ref="K129" si="202">H129-H130</f>
        <v>-0.139999999999999</v>
      </c>
      <c r="L129" s="581" t="s">
        <v>150</v>
      </c>
    </row>
    <row r="130" spans="1:12">
      <c r="A130" s="574"/>
      <c r="B130" s="41"/>
      <c r="C130" s="42"/>
      <c r="D130" s="39">
        <v>11.1</v>
      </c>
      <c r="E130" s="303">
        <v>2.1247</v>
      </c>
      <c r="F130" s="305">
        <v>1</v>
      </c>
      <c r="G130" s="564">
        <v>9.1</v>
      </c>
      <c r="H130" s="564">
        <f t="shared" si="199"/>
        <v>14.35</v>
      </c>
      <c r="I130" s="582"/>
      <c r="J130" s="583"/>
      <c r="K130" s="574"/>
      <c r="L130" s="584"/>
    </row>
    <row r="131" s="561" customFormat="1" spans="1:15">
      <c r="A131" s="587"/>
      <c r="B131" s="116" t="s">
        <v>220</v>
      </c>
      <c r="C131" s="117"/>
      <c r="D131" s="118">
        <v>10.8</v>
      </c>
      <c r="E131" s="119">
        <v>2.4776</v>
      </c>
      <c r="F131" s="118">
        <v>2</v>
      </c>
      <c r="G131" s="588">
        <v>6</v>
      </c>
      <c r="H131" s="588">
        <f t="shared" si="199"/>
        <v>36.33</v>
      </c>
      <c r="I131" s="598">
        <f t="shared" ref="I131" si="203">(H131+H132)/2</f>
        <v>36.33</v>
      </c>
      <c r="J131" s="599">
        <f t="shared" ref="J131" si="204">(H131-H132)*100/I131</f>
        <v>0</v>
      </c>
      <c r="K131" s="587">
        <f t="shared" ref="K131" si="205">H131-H132</f>
        <v>0</v>
      </c>
      <c r="L131" s="600" t="s">
        <v>150</v>
      </c>
      <c r="M131" s="601"/>
      <c r="N131" s="602"/>
      <c r="O131" s="603"/>
    </row>
    <row r="132" s="561" customFormat="1" spans="1:15">
      <c r="A132" s="589"/>
      <c r="B132" s="122"/>
      <c r="C132" s="123"/>
      <c r="D132" s="118">
        <v>10.8</v>
      </c>
      <c r="E132" s="119">
        <v>2.4776</v>
      </c>
      <c r="F132" s="118">
        <v>2</v>
      </c>
      <c r="G132" s="588">
        <v>6</v>
      </c>
      <c r="H132" s="588">
        <f t="shared" si="199"/>
        <v>36.33</v>
      </c>
      <c r="I132" s="604"/>
      <c r="J132" s="605"/>
      <c r="K132" s="589"/>
      <c r="L132" s="606"/>
      <c r="M132" s="601"/>
      <c r="N132" s="602"/>
      <c r="O132" s="603"/>
    </row>
    <row r="133" spans="1:12">
      <c r="A133" s="573"/>
      <c r="B133" s="37" t="s">
        <v>221</v>
      </c>
      <c r="C133" s="38"/>
      <c r="D133" s="39">
        <v>10.8</v>
      </c>
      <c r="E133" s="303">
        <v>2.2789</v>
      </c>
      <c r="F133" s="305">
        <v>2</v>
      </c>
      <c r="G133" s="564">
        <v>7.8</v>
      </c>
      <c r="H133" s="564">
        <f t="shared" si="199"/>
        <v>30.38</v>
      </c>
      <c r="I133" s="579">
        <f t="shared" ref="I133" si="206">(H133+H134)/2</f>
        <v>30.63</v>
      </c>
      <c r="J133" s="580">
        <f t="shared" ref="J133" si="207">(H133-H134)*100/I133</f>
        <v>-1.63238654913484</v>
      </c>
      <c r="K133" s="573">
        <f t="shared" ref="K133" si="208">H133-H134</f>
        <v>-0.5</v>
      </c>
      <c r="L133" s="581" t="s">
        <v>150</v>
      </c>
    </row>
    <row r="134" spans="1:12">
      <c r="A134" s="574"/>
      <c r="B134" s="41"/>
      <c r="C134" s="42"/>
      <c r="D134" s="39">
        <v>10.8</v>
      </c>
      <c r="E134" s="303">
        <v>2.3012</v>
      </c>
      <c r="F134" s="305">
        <v>2</v>
      </c>
      <c r="G134" s="564">
        <v>7.6</v>
      </c>
      <c r="H134" s="564">
        <f t="shared" ref="H134:H135" si="209">ROUND(D134*100*F134*250/E134/G134/1000,2)</f>
        <v>30.88</v>
      </c>
      <c r="I134" s="582"/>
      <c r="J134" s="583"/>
      <c r="K134" s="574"/>
      <c r="L134" s="584"/>
    </row>
    <row r="135" s="561" customFormat="1" spans="1:15">
      <c r="A135" s="587"/>
      <c r="B135" s="116" t="s">
        <v>220</v>
      </c>
      <c r="C135" s="117" t="s">
        <v>222</v>
      </c>
      <c r="D135" s="118">
        <v>10.8</v>
      </c>
      <c r="E135" s="119">
        <v>2.6857</v>
      </c>
      <c r="F135" s="118">
        <v>4</v>
      </c>
      <c r="G135" s="588">
        <v>11.4</v>
      </c>
      <c r="H135" s="588">
        <f t="shared" si="209"/>
        <v>35.27</v>
      </c>
      <c r="I135" s="598">
        <f t="shared" ref="I135" si="210">(H135+H136)/2</f>
        <v>35.76</v>
      </c>
      <c r="J135" s="599">
        <f t="shared" ref="J135" si="211">(H135-H136)*100/I135</f>
        <v>-2.74049217002236</v>
      </c>
      <c r="K135" s="587">
        <f t="shared" ref="K135" si="212">H135-H136</f>
        <v>-0.979999999999997</v>
      </c>
      <c r="L135" s="600" t="s">
        <v>150</v>
      </c>
      <c r="M135" s="601"/>
      <c r="N135" s="602"/>
      <c r="O135" s="603"/>
    </row>
    <row r="136" s="561" customFormat="1" spans="1:15">
      <c r="A136" s="589"/>
      <c r="B136" s="122"/>
      <c r="C136" s="123"/>
      <c r="D136" s="118">
        <v>10.8</v>
      </c>
      <c r="E136" s="119">
        <v>2.6719</v>
      </c>
      <c r="F136" s="118">
        <v>4</v>
      </c>
      <c r="G136" s="588">
        <v>11.15</v>
      </c>
      <c r="H136" s="588">
        <f t="shared" ref="H136:H155" si="213">ROUND(D136*100*F136*250/E136/G136/1000,2)</f>
        <v>36.25</v>
      </c>
      <c r="I136" s="604"/>
      <c r="J136" s="605"/>
      <c r="K136" s="589"/>
      <c r="L136" s="606"/>
      <c r="M136" s="601"/>
      <c r="N136" s="602"/>
      <c r="O136" s="603"/>
    </row>
    <row r="137" spans="1:12">
      <c r="A137" s="607"/>
      <c r="B137" s="227">
        <v>458301001</v>
      </c>
      <c r="C137" s="38"/>
      <c r="D137" s="39">
        <v>10.8</v>
      </c>
      <c r="E137" s="303">
        <v>2.8596</v>
      </c>
      <c r="F137" s="305">
        <v>1</v>
      </c>
      <c r="G137" s="564">
        <v>7.9</v>
      </c>
      <c r="H137" s="564">
        <f t="shared" si="213"/>
        <v>11.95</v>
      </c>
      <c r="I137" s="579">
        <f t="shared" ref="I137:I141" si="214">(H137+H138)/2</f>
        <v>12.09</v>
      </c>
      <c r="J137" s="580">
        <f t="shared" ref="J137:J141" si="215">(H137-H138)*100/I137</f>
        <v>-2.3159636062862</v>
      </c>
      <c r="K137" s="573">
        <f t="shared" ref="K137:K141" si="216">H137-H138</f>
        <v>-0.280000000000001</v>
      </c>
      <c r="L137" s="581" t="s">
        <v>150</v>
      </c>
    </row>
    <row r="138" spans="1:12">
      <c r="A138" s="607"/>
      <c r="B138" s="227"/>
      <c r="C138" s="42"/>
      <c r="D138" s="39">
        <v>10.8</v>
      </c>
      <c r="E138" s="303">
        <v>2.6917</v>
      </c>
      <c r="F138" s="305">
        <v>1</v>
      </c>
      <c r="G138" s="564">
        <v>8.2</v>
      </c>
      <c r="H138" s="564">
        <f t="shared" si="213"/>
        <v>12.23</v>
      </c>
      <c r="I138" s="582"/>
      <c r="J138" s="583"/>
      <c r="K138" s="574"/>
      <c r="L138" s="584"/>
    </row>
    <row r="139" spans="1:12">
      <c r="A139" s="607"/>
      <c r="B139" s="227">
        <v>458301003</v>
      </c>
      <c r="C139" s="38"/>
      <c r="D139" s="39">
        <v>10.8</v>
      </c>
      <c r="E139" s="303">
        <v>3.2117</v>
      </c>
      <c r="F139" s="305">
        <v>1</v>
      </c>
      <c r="G139" s="564">
        <v>6</v>
      </c>
      <c r="H139" s="564">
        <f t="shared" si="213"/>
        <v>14.01</v>
      </c>
      <c r="I139" s="579">
        <f t="shared" si="214"/>
        <v>13.88</v>
      </c>
      <c r="J139" s="580">
        <f t="shared" si="215"/>
        <v>1.87319884726225</v>
      </c>
      <c r="K139" s="573">
        <f t="shared" si="216"/>
        <v>0.26</v>
      </c>
      <c r="L139" s="581" t="s">
        <v>150</v>
      </c>
    </row>
    <row r="140" spans="1:12">
      <c r="A140" s="607"/>
      <c r="B140" s="227"/>
      <c r="C140" s="42"/>
      <c r="D140" s="39">
        <v>10.8</v>
      </c>
      <c r="E140" s="303">
        <v>3.0214</v>
      </c>
      <c r="F140" s="305">
        <v>1</v>
      </c>
      <c r="G140" s="564">
        <v>6.5</v>
      </c>
      <c r="H140" s="564">
        <f t="shared" si="213"/>
        <v>13.75</v>
      </c>
      <c r="I140" s="582"/>
      <c r="J140" s="583"/>
      <c r="K140" s="574"/>
      <c r="L140" s="584"/>
    </row>
    <row r="141" spans="1:12">
      <c r="A141" s="607"/>
      <c r="B141" s="227">
        <v>458301007</v>
      </c>
      <c r="C141" s="38"/>
      <c r="D141" s="39">
        <v>10.8</v>
      </c>
      <c r="E141" s="303">
        <v>2.8654</v>
      </c>
      <c r="F141" s="305">
        <v>2</v>
      </c>
      <c r="G141" s="564">
        <v>9.15</v>
      </c>
      <c r="H141" s="564">
        <f t="shared" si="213"/>
        <v>20.6</v>
      </c>
      <c r="I141" s="579">
        <f t="shared" si="214"/>
        <v>20.77</v>
      </c>
      <c r="J141" s="580">
        <f t="shared" si="215"/>
        <v>-1.63697640828117</v>
      </c>
      <c r="K141" s="573">
        <f t="shared" si="216"/>
        <v>-0.34</v>
      </c>
      <c r="L141" s="581" t="s">
        <v>150</v>
      </c>
    </row>
    <row r="142" spans="1:12">
      <c r="A142" s="607"/>
      <c r="B142" s="227"/>
      <c r="C142" s="42"/>
      <c r="D142" s="39">
        <v>10.8</v>
      </c>
      <c r="E142" s="303">
        <v>2.9988</v>
      </c>
      <c r="F142" s="305">
        <v>2</v>
      </c>
      <c r="G142" s="564">
        <v>8.6</v>
      </c>
      <c r="H142" s="564">
        <f t="shared" si="213"/>
        <v>20.94</v>
      </c>
      <c r="I142" s="582"/>
      <c r="J142" s="583"/>
      <c r="K142" s="574"/>
      <c r="L142" s="584"/>
    </row>
    <row r="144" spans="1:12">
      <c r="A144" s="607"/>
      <c r="B144" s="227" t="s">
        <v>223</v>
      </c>
      <c r="C144" s="38"/>
      <c r="D144" s="39">
        <v>10.8</v>
      </c>
      <c r="E144" s="303">
        <v>5.6279</v>
      </c>
      <c r="F144" s="305">
        <v>4</v>
      </c>
      <c r="G144" s="564">
        <v>11.9</v>
      </c>
      <c r="H144" s="590">
        <f>ROUND(D144*100*F144*100/E144/G144/1000,2)</f>
        <v>6.45</v>
      </c>
      <c r="I144" s="579">
        <f t="shared" ref="I144" si="217">(H144+H145)/2</f>
        <v>6.45</v>
      </c>
      <c r="J144" s="580">
        <f t="shared" ref="J144" si="218">(H144-H145)*100/I144</f>
        <v>0</v>
      </c>
      <c r="K144" s="573">
        <f t="shared" ref="K144" si="219">H144-H145</f>
        <v>0</v>
      </c>
      <c r="L144" s="592" t="s">
        <v>167</v>
      </c>
    </row>
    <row r="145" spans="1:12">
      <c r="A145" s="607"/>
      <c r="B145" s="227"/>
      <c r="C145" s="42"/>
      <c r="D145" s="39">
        <v>10.8</v>
      </c>
      <c r="E145" s="303">
        <v>5.6279</v>
      </c>
      <c r="F145" s="305">
        <v>4</v>
      </c>
      <c r="G145" s="564">
        <v>11.9</v>
      </c>
      <c r="H145" s="590">
        <f>ROUND(D145*100*F145*100/E145/G145/1000,2)</f>
        <v>6.45</v>
      </c>
      <c r="I145" s="582"/>
      <c r="J145" s="583"/>
      <c r="K145" s="574"/>
      <c r="L145" s="597"/>
    </row>
    <row r="146" s="562" customFormat="1" spans="1:15">
      <c r="A146" s="608"/>
      <c r="B146" s="609" t="s">
        <v>224</v>
      </c>
      <c r="C146" s="417"/>
      <c r="D146" s="311">
        <v>10.8</v>
      </c>
      <c r="E146" s="312">
        <v>2.533</v>
      </c>
      <c r="F146" s="311">
        <v>2</v>
      </c>
      <c r="G146" s="313">
        <v>11.3</v>
      </c>
      <c r="H146" s="313">
        <f t="shared" si="213"/>
        <v>18.87</v>
      </c>
      <c r="I146" s="610">
        <f t="shared" ref="I146" si="220">(H146+H147)/2</f>
        <v>18.91</v>
      </c>
      <c r="J146" s="611">
        <f t="shared" ref="J146" si="221">(H146-H147)*100/I146</f>
        <v>-0.423056583818077</v>
      </c>
      <c r="K146" s="612">
        <f t="shared" ref="K146" si="222">H146-H147</f>
        <v>-0.0799999999999983</v>
      </c>
      <c r="L146" s="613" t="s">
        <v>150</v>
      </c>
      <c r="M146" s="614"/>
      <c r="N146" s="615"/>
      <c r="O146" s="616"/>
    </row>
    <row r="147" s="562" customFormat="1" spans="1:15">
      <c r="A147" s="608"/>
      <c r="B147" s="609"/>
      <c r="C147" s="418"/>
      <c r="D147" s="311">
        <v>10.8</v>
      </c>
      <c r="E147" s="312">
        <v>2.4889</v>
      </c>
      <c r="F147" s="311">
        <v>2</v>
      </c>
      <c r="G147" s="313">
        <v>11.45</v>
      </c>
      <c r="H147" s="313">
        <f t="shared" si="213"/>
        <v>18.95</v>
      </c>
      <c r="I147" s="617"/>
      <c r="J147" s="439"/>
      <c r="K147" s="618"/>
      <c r="L147" s="619"/>
      <c r="M147" s="614"/>
      <c r="N147" s="615"/>
      <c r="O147" s="616"/>
    </row>
    <row r="148" spans="1:12">
      <c r="A148" s="607"/>
      <c r="B148" s="227" t="s">
        <v>225</v>
      </c>
      <c r="C148" s="38"/>
      <c r="D148" s="39">
        <v>10.8</v>
      </c>
      <c r="E148" s="303">
        <v>2.5692</v>
      </c>
      <c r="F148" s="305">
        <v>2</v>
      </c>
      <c r="G148" s="564">
        <v>10.1</v>
      </c>
      <c r="H148" s="313">
        <f t="shared" si="213"/>
        <v>20.81</v>
      </c>
      <c r="I148" s="579">
        <f t="shared" ref="I148" si="223">(H148+H149)/2</f>
        <v>20.775</v>
      </c>
      <c r="J148" s="580">
        <f t="shared" ref="J148" si="224">(H148-H149)*100/I148</f>
        <v>0.336943441636584</v>
      </c>
      <c r="K148" s="573">
        <f t="shared" ref="K148" si="225">H148-H149</f>
        <v>0.0700000000000003</v>
      </c>
      <c r="L148" s="613" t="s">
        <v>150</v>
      </c>
    </row>
    <row r="149" spans="1:12">
      <c r="A149" s="607"/>
      <c r="B149" s="227"/>
      <c r="C149" s="42"/>
      <c r="D149" s="39">
        <v>10.8</v>
      </c>
      <c r="E149" s="303">
        <v>2.6039</v>
      </c>
      <c r="F149" s="305">
        <v>2</v>
      </c>
      <c r="G149" s="564">
        <v>10</v>
      </c>
      <c r="H149" s="313">
        <f t="shared" si="213"/>
        <v>20.74</v>
      </c>
      <c r="I149" s="582"/>
      <c r="J149" s="583"/>
      <c r="K149" s="574"/>
      <c r="L149" s="619"/>
    </row>
    <row r="150" spans="1:12">
      <c r="A150" s="607"/>
      <c r="B150" s="227" t="s">
        <v>226</v>
      </c>
      <c r="C150" s="417"/>
      <c r="D150" s="311">
        <v>10.8</v>
      </c>
      <c r="E150" s="312">
        <v>2.5645</v>
      </c>
      <c r="F150" s="311">
        <v>2</v>
      </c>
      <c r="G150" s="313">
        <v>10.3</v>
      </c>
      <c r="H150" s="313">
        <f t="shared" si="213"/>
        <v>20.44</v>
      </c>
      <c r="I150" s="610">
        <f t="shared" ref="I150" si="226">(H150+H151)/2</f>
        <v>20.39</v>
      </c>
      <c r="J150" s="611">
        <f t="shared" ref="J150" si="227">(H150-H151)*100/I150</f>
        <v>0.490436488474749</v>
      </c>
      <c r="K150" s="612">
        <f t="shared" ref="K150" si="228">H150-H151</f>
        <v>0.100000000000001</v>
      </c>
      <c r="L150" s="613" t="s">
        <v>150</v>
      </c>
    </row>
    <row r="151" spans="1:12">
      <c r="A151" s="607"/>
      <c r="B151" s="227"/>
      <c r="C151" s="418"/>
      <c r="D151" s="311">
        <v>10.8</v>
      </c>
      <c r="E151" s="312">
        <v>2.578</v>
      </c>
      <c r="F151" s="311">
        <v>2</v>
      </c>
      <c r="G151" s="313">
        <v>10.3</v>
      </c>
      <c r="H151" s="313">
        <f t="shared" si="213"/>
        <v>20.34</v>
      </c>
      <c r="I151" s="617"/>
      <c r="J151" s="439"/>
      <c r="K151" s="618"/>
      <c r="L151" s="619"/>
    </row>
    <row r="152" spans="1:12">
      <c r="A152" s="607"/>
      <c r="B152" s="227" t="s">
        <v>227</v>
      </c>
      <c r="C152" s="417"/>
      <c r="D152" s="311">
        <v>10.8</v>
      </c>
      <c r="E152" s="312">
        <v>1.1987</v>
      </c>
      <c r="F152" s="311">
        <v>1</v>
      </c>
      <c r="G152" s="313">
        <v>10.8</v>
      </c>
      <c r="H152" s="313">
        <f t="shared" si="213"/>
        <v>20.86</v>
      </c>
      <c r="I152" s="610">
        <f t="shared" ref="I152" si="229">(H152+H153)/2</f>
        <v>21.125</v>
      </c>
      <c r="J152" s="611">
        <f t="shared" ref="J152" si="230">(H152-H153)*100/I152</f>
        <v>-2.50887573964498</v>
      </c>
      <c r="K152" s="612">
        <f t="shared" ref="K152" si="231">H152-H153</f>
        <v>-0.530000000000001</v>
      </c>
      <c r="L152" s="613" t="s">
        <v>150</v>
      </c>
    </row>
    <row r="153" spans="1:12">
      <c r="A153" s="607"/>
      <c r="B153" s="227"/>
      <c r="C153" s="418"/>
      <c r="D153" s="311">
        <v>10.8</v>
      </c>
      <c r="E153" s="312">
        <v>1.079</v>
      </c>
      <c r="F153" s="311">
        <v>1</v>
      </c>
      <c r="G153" s="313">
        <v>11.7</v>
      </c>
      <c r="H153" s="313">
        <f t="shared" si="213"/>
        <v>21.39</v>
      </c>
      <c r="I153" s="617"/>
      <c r="J153" s="439"/>
      <c r="K153" s="618"/>
      <c r="L153" s="619"/>
    </row>
    <row r="154" spans="1:12">
      <c r="A154" s="607"/>
      <c r="B154" s="227" t="s">
        <v>227</v>
      </c>
      <c r="C154" s="417"/>
      <c r="D154" s="311">
        <v>11</v>
      </c>
      <c r="E154" s="312">
        <v>2.03</v>
      </c>
      <c r="F154" s="311">
        <v>2</v>
      </c>
      <c r="G154" s="313">
        <v>12.3</v>
      </c>
      <c r="H154" s="313">
        <f t="shared" si="213"/>
        <v>22.03</v>
      </c>
      <c r="I154" s="610">
        <f t="shared" ref="I154" si="232">(H154+H155)/2</f>
        <v>22.25</v>
      </c>
      <c r="J154" s="611">
        <f t="shared" ref="J154" si="233">(H154-H155)*100/I154</f>
        <v>-1.97752808988763</v>
      </c>
      <c r="K154" s="612">
        <f t="shared" ref="K154" si="234">H154-H155</f>
        <v>-0.439999999999998</v>
      </c>
      <c r="L154" s="613" t="s">
        <v>150</v>
      </c>
    </row>
    <row r="155" ht="23.25" customHeight="1" spans="1:12">
      <c r="A155" s="607"/>
      <c r="B155" s="227"/>
      <c r="C155" s="418"/>
      <c r="D155" s="311">
        <v>11</v>
      </c>
      <c r="E155" s="312">
        <v>2.0745</v>
      </c>
      <c r="F155" s="311">
        <v>2</v>
      </c>
      <c r="G155" s="313">
        <v>11.8</v>
      </c>
      <c r="H155" s="313">
        <f t="shared" si="213"/>
        <v>22.47</v>
      </c>
      <c r="I155" s="617"/>
      <c r="J155" s="439"/>
      <c r="K155" s="618"/>
      <c r="L155" s="619"/>
    </row>
    <row r="156" spans="1:12">
      <c r="A156" s="607"/>
      <c r="B156" s="227" t="s">
        <v>228</v>
      </c>
      <c r="C156" s="417"/>
      <c r="D156" s="311">
        <v>11</v>
      </c>
      <c r="E156" s="312">
        <v>8.4015</v>
      </c>
      <c r="F156" s="311">
        <v>2.5</v>
      </c>
      <c r="G156" s="313">
        <v>8.9</v>
      </c>
      <c r="H156" s="313">
        <f t="shared" ref="H156:H162" si="235">ROUND(D156*100*F156*250/E156/G156/1000,2)</f>
        <v>9.19</v>
      </c>
      <c r="I156" s="610">
        <f t="shared" ref="I156" si="236">(H156+H157)/2</f>
        <v>9.14</v>
      </c>
      <c r="J156" s="611">
        <f t="shared" ref="J156" si="237">(H156-H157)*100/I156</f>
        <v>1.09409190371991</v>
      </c>
      <c r="K156" s="612">
        <f t="shared" ref="K156" si="238">H156-H157</f>
        <v>0.0999999999999996</v>
      </c>
      <c r="L156" s="613" t="s">
        <v>150</v>
      </c>
    </row>
    <row r="157" spans="1:12">
      <c r="A157" s="607"/>
      <c r="B157" s="227"/>
      <c r="C157" s="418"/>
      <c r="D157" s="311">
        <v>11</v>
      </c>
      <c r="E157" s="312">
        <v>7.9586</v>
      </c>
      <c r="F157" s="311">
        <v>2.5</v>
      </c>
      <c r="G157" s="313">
        <v>9.5</v>
      </c>
      <c r="H157" s="313">
        <f t="shared" si="235"/>
        <v>9.09</v>
      </c>
      <c r="I157" s="617"/>
      <c r="J157" s="439"/>
      <c r="K157" s="618"/>
      <c r="L157" s="619"/>
    </row>
    <row r="158" spans="1:12">
      <c r="A158" s="607"/>
      <c r="B158" s="227" t="s">
        <v>229</v>
      </c>
      <c r="C158" s="417"/>
      <c r="D158" s="311">
        <v>11</v>
      </c>
      <c r="E158" s="312">
        <v>5.5978</v>
      </c>
      <c r="F158" s="311">
        <v>2</v>
      </c>
      <c r="G158" s="313">
        <v>10.1</v>
      </c>
      <c r="H158" s="313">
        <f t="shared" si="235"/>
        <v>9.73</v>
      </c>
      <c r="I158" s="610">
        <f t="shared" ref="I158" si="239">(H158+H159)/2</f>
        <v>9.555</v>
      </c>
      <c r="J158" s="611">
        <f t="shared" ref="J158" si="240">(H158-H159)*100/I158</f>
        <v>3.66300366300366</v>
      </c>
      <c r="K158" s="612">
        <f t="shared" ref="K158" si="241">H158-H159</f>
        <v>0.35</v>
      </c>
      <c r="L158" s="613" t="s">
        <v>150</v>
      </c>
    </row>
    <row r="159" spans="1:12">
      <c r="A159" s="607"/>
      <c r="B159" s="227"/>
      <c r="C159" s="418"/>
      <c r="D159" s="311">
        <v>11</v>
      </c>
      <c r="E159" s="312">
        <v>5.2369</v>
      </c>
      <c r="F159" s="311">
        <v>2</v>
      </c>
      <c r="G159" s="313">
        <v>11.2</v>
      </c>
      <c r="H159" s="313">
        <f t="shared" si="235"/>
        <v>9.38</v>
      </c>
      <c r="I159" s="617"/>
      <c r="J159" s="439"/>
      <c r="K159" s="618"/>
      <c r="L159" s="619"/>
    </row>
    <row r="160" spans="1:12">
      <c r="A160" s="607"/>
      <c r="B160" s="227" t="s">
        <v>230</v>
      </c>
      <c r="C160" s="417"/>
      <c r="D160" s="311">
        <v>11</v>
      </c>
      <c r="E160" s="312">
        <v>5.9392</v>
      </c>
      <c r="F160" s="311">
        <v>2</v>
      </c>
      <c r="G160" s="313">
        <v>10</v>
      </c>
      <c r="H160" s="313">
        <f t="shared" si="235"/>
        <v>9.26</v>
      </c>
      <c r="I160" s="610">
        <f t="shared" ref="I160" si="242">(H160+H161)/2</f>
        <v>9.27</v>
      </c>
      <c r="J160" s="611">
        <f t="shared" ref="J160" si="243">(H160-H161)*100/I160</f>
        <v>-0.215749730312833</v>
      </c>
      <c r="K160" s="612">
        <f t="shared" ref="K160" si="244">H160-H161</f>
        <v>-0.0199999999999996</v>
      </c>
      <c r="L160" s="613" t="s">
        <v>150</v>
      </c>
    </row>
    <row r="161" spans="1:12">
      <c r="A161" s="607"/>
      <c r="B161" s="227"/>
      <c r="C161" s="418"/>
      <c r="D161" s="311">
        <v>11</v>
      </c>
      <c r="E161" s="312">
        <v>5.8125</v>
      </c>
      <c r="F161" s="311">
        <v>2</v>
      </c>
      <c r="G161" s="313">
        <v>10.2</v>
      </c>
      <c r="H161" s="313">
        <f t="shared" si="235"/>
        <v>9.28</v>
      </c>
      <c r="I161" s="617"/>
      <c r="J161" s="439"/>
      <c r="K161" s="618"/>
      <c r="L161" s="619"/>
    </row>
    <row r="162" spans="1:12">
      <c r="A162" s="607">
        <v>11.13</v>
      </c>
      <c r="B162" s="227" t="s">
        <v>231</v>
      </c>
      <c r="C162" s="417"/>
      <c r="D162" s="311">
        <v>11</v>
      </c>
      <c r="E162" s="312">
        <v>10</v>
      </c>
      <c r="F162" s="311">
        <v>1</v>
      </c>
      <c r="G162" s="313">
        <v>20</v>
      </c>
      <c r="H162" s="313">
        <f t="shared" si="235"/>
        <v>1.38</v>
      </c>
      <c r="I162" s="610">
        <f t="shared" ref="I162:I164" si="245">(H162+H163)/2</f>
        <v>7.585</v>
      </c>
      <c r="J162" s="611">
        <f t="shared" ref="J162:J164" si="246">(H162-H163)*100/I162</f>
        <v>-163.612392880686</v>
      </c>
      <c r="K162" s="612">
        <f t="shared" ref="K162:K164" si="247">H162-H163</f>
        <v>-12.41</v>
      </c>
      <c r="L162" s="613" t="s">
        <v>150</v>
      </c>
    </row>
    <row r="163" spans="1:12">
      <c r="A163" s="607"/>
      <c r="B163" s="227"/>
      <c r="C163" s="418"/>
      <c r="D163" s="311">
        <v>11</v>
      </c>
      <c r="E163" s="312">
        <v>3.0223</v>
      </c>
      <c r="F163" s="311">
        <v>1</v>
      </c>
      <c r="G163" s="313">
        <v>6.6</v>
      </c>
      <c r="H163" s="313">
        <f t="shared" ref="H163:H167" si="248">ROUND(D163*100*F163*250/E163/G163/1000,2)</f>
        <v>13.79</v>
      </c>
      <c r="I163" s="617"/>
      <c r="J163" s="439"/>
      <c r="K163" s="618"/>
      <c r="L163" s="619"/>
    </row>
    <row r="164" spans="1:12">
      <c r="A164" s="508">
        <v>11.21</v>
      </c>
      <c r="B164" s="26" t="s">
        <v>232</v>
      </c>
      <c r="C164" s="27"/>
      <c r="D164" s="282">
        <v>11</v>
      </c>
      <c r="E164" s="29">
        <v>1.4872</v>
      </c>
      <c r="F164" s="508">
        <v>1</v>
      </c>
      <c r="G164" s="564">
        <v>8.7</v>
      </c>
      <c r="H164" s="564">
        <f t="shared" si="248"/>
        <v>21.25</v>
      </c>
      <c r="I164" s="610">
        <f t="shared" si="245"/>
        <v>21.14</v>
      </c>
      <c r="J164" s="611">
        <f t="shared" si="246"/>
        <v>1.0406811731315</v>
      </c>
      <c r="K164" s="612">
        <f t="shared" si="247"/>
        <v>0.219999999999999</v>
      </c>
      <c r="L164" s="613" t="s">
        <v>150</v>
      </c>
    </row>
    <row r="165" spans="2:12">
      <c r="B165" s="33"/>
      <c r="C165" s="34"/>
      <c r="D165" s="282">
        <v>11</v>
      </c>
      <c r="E165" s="29">
        <v>1.5029</v>
      </c>
      <c r="F165" s="508">
        <v>1</v>
      </c>
      <c r="G165" s="564">
        <v>8.7</v>
      </c>
      <c r="H165" s="564">
        <f t="shared" si="248"/>
        <v>21.03</v>
      </c>
      <c r="I165" s="617"/>
      <c r="J165" s="439"/>
      <c r="K165" s="618"/>
      <c r="L165" s="619"/>
    </row>
    <row r="166" spans="1:12">
      <c r="A166" s="508">
        <v>11.28</v>
      </c>
      <c r="B166" s="227" t="s">
        <v>233</v>
      </c>
      <c r="C166" s="417"/>
      <c r="D166" s="311">
        <v>11</v>
      </c>
      <c r="E166" s="312">
        <v>4.6157</v>
      </c>
      <c r="F166" s="311">
        <v>4</v>
      </c>
      <c r="G166" s="313">
        <v>9.9</v>
      </c>
      <c r="H166" s="313">
        <f t="shared" si="248"/>
        <v>24.07</v>
      </c>
      <c r="I166" s="610">
        <f t="shared" ref="I166" si="249">(H166+H167)/2</f>
        <v>24.035</v>
      </c>
      <c r="J166" s="611">
        <f t="shared" ref="J166" si="250">(H166-H167)*100/I166</f>
        <v>0.291241938839194</v>
      </c>
      <c r="K166" s="612">
        <f t="shared" ref="K166" si="251">H166-H167</f>
        <v>0.0700000000000003</v>
      </c>
      <c r="L166" s="613" t="s">
        <v>150</v>
      </c>
    </row>
    <row r="167" spans="2:12">
      <c r="B167" s="227"/>
      <c r="C167" s="418"/>
      <c r="D167" s="311">
        <v>11</v>
      </c>
      <c r="E167" s="312">
        <v>4.7255</v>
      </c>
      <c r="F167" s="311">
        <v>4</v>
      </c>
      <c r="G167" s="313">
        <v>9.7</v>
      </c>
      <c r="H167" s="313">
        <f t="shared" si="248"/>
        <v>24</v>
      </c>
      <c r="I167" s="617"/>
      <c r="J167" s="439"/>
      <c r="K167" s="618"/>
      <c r="L167" s="619"/>
    </row>
    <row r="168" spans="2:12">
      <c r="B168" s="227" t="s">
        <v>234</v>
      </c>
      <c r="C168" s="417"/>
      <c r="D168" s="311">
        <v>11</v>
      </c>
      <c r="E168" s="312">
        <v>2.4781</v>
      </c>
      <c r="F168" s="311">
        <v>2</v>
      </c>
      <c r="G168" s="313">
        <v>11</v>
      </c>
      <c r="H168" s="313">
        <f t="shared" ref="H168:H175" si="252">ROUND(D168*100*F168*250/E168/G168/1000,2)</f>
        <v>20.18</v>
      </c>
      <c r="I168" s="610">
        <f t="shared" ref="I168" si="253">(H168+H169)/2</f>
        <v>20.175</v>
      </c>
      <c r="J168" s="611">
        <f t="shared" ref="J168" si="254">(H168-H169)*100/I168</f>
        <v>0.0495662949194449</v>
      </c>
      <c r="K168" s="612">
        <f t="shared" ref="K168" si="255">H168-H169</f>
        <v>0.00999999999999801</v>
      </c>
      <c r="L168" s="613" t="s">
        <v>150</v>
      </c>
    </row>
    <row r="169" spans="2:12">
      <c r="B169" s="227"/>
      <c r="C169" s="418"/>
      <c r="D169" s="311">
        <v>11</v>
      </c>
      <c r="E169" s="312">
        <v>2.5012</v>
      </c>
      <c r="F169" s="311">
        <v>2</v>
      </c>
      <c r="G169" s="313">
        <v>10.9</v>
      </c>
      <c r="H169" s="313">
        <f t="shared" si="252"/>
        <v>20.17</v>
      </c>
      <c r="I169" s="617"/>
      <c r="J169" s="439"/>
      <c r="K169" s="618"/>
      <c r="L169" s="619"/>
    </row>
    <row r="170" spans="2:12">
      <c r="B170" s="227" t="s">
        <v>235</v>
      </c>
      <c r="C170" s="417"/>
      <c r="D170" s="311">
        <v>11</v>
      </c>
      <c r="E170" s="312">
        <v>4.3334</v>
      </c>
      <c r="F170" s="311">
        <v>2</v>
      </c>
      <c r="G170" s="313">
        <v>7.1</v>
      </c>
      <c r="H170" s="313">
        <f t="shared" si="252"/>
        <v>17.88</v>
      </c>
      <c r="I170" s="610">
        <f t="shared" ref="I170" si="256">(H170+H171)/2</f>
        <v>17.815</v>
      </c>
      <c r="J170" s="611">
        <f t="shared" ref="J170" si="257">(H170-H171)*100/I170</f>
        <v>0.729722144260449</v>
      </c>
      <c r="K170" s="612">
        <f t="shared" ref="K170" si="258">H170-H171</f>
        <v>0.129999999999999</v>
      </c>
      <c r="L170" s="613" t="s">
        <v>150</v>
      </c>
    </row>
    <row r="171" spans="2:12">
      <c r="B171" s="227"/>
      <c r="C171" s="418"/>
      <c r="D171" s="311">
        <v>11</v>
      </c>
      <c r="E171" s="312">
        <v>4.3644</v>
      </c>
      <c r="F171" s="311">
        <v>2</v>
      </c>
      <c r="G171" s="313">
        <v>7.1</v>
      </c>
      <c r="H171" s="313">
        <f t="shared" si="252"/>
        <v>17.75</v>
      </c>
      <c r="I171" s="617"/>
      <c r="J171" s="439"/>
      <c r="K171" s="618"/>
      <c r="L171" s="619"/>
    </row>
    <row r="172" spans="2:12">
      <c r="B172" s="227" t="s">
        <v>236</v>
      </c>
      <c r="C172" s="417"/>
      <c r="D172" s="311">
        <v>11</v>
      </c>
      <c r="E172" s="312">
        <v>2.1361</v>
      </c>
      <c r="F172" s="311">
        <v>1</v>
      </c>
      <c r="G172" s="313">
        <v>6.8</v>
      </c>
      <c r="H172" s="313">
        <f t="shared" si="252"/>
        <v>18.93</v>
      </c>
      <c r="I172" s="610">
        <f t="shared" ref="I172" si="259">(H172+H173)/2</f>
        <v>18.76</v>
      </c>
      <c r="J172" s="611">
        <f t="shared" ref="J172" si="260">(H172-H173)*100/I172</f>
        <v>1.81236673773987</v>
      </c>
      <c r="K172" s="612">
        <f t="shared" ref="K172" si="261">H172-H173</f>
        <v>0.34</v>
      </c>
      <c r="L172" s="613" t="s">
        <v>150</v>
      </c>
    </row>
    <row r="173" spans="2:12">
      <c r="B173" s="227"/>
      <c r="C173" s="418"/>
      <c r="D173" s="311">
        <v>11</v>
      </c>
      <c r="E173" s="312">
        <v>2.0129</v>
      </c>
      <c r="F173" s="311">
        <v>1</v>
      </c>
      <c r="G173" s="313">
        <v>7.35</v>
      </c>
      <c r="H173" s="313">
        <f t="shared" si="252"/>
        <v>18.59</v>
      </c>
      <c r="I173" s="617"/>
      <c r="J173" s="439"/>
      <c r="K173" s="618"/>
      <c r="L173" s="619"/>
    </row>
    <row r="174" spans="2:12">
      <c r="B174" s="227" t="s">
        <v>237</v>
      </c>
      <c r="C174" s="417"/>
      <c r="D174" s="311">
        <v>11</v>
      </c>
      <c r="E174" s="312">
        <v>2.3936</v>
      </c>
      <c r="F174" s="311">
        <v>2</v>
      </c>
      <c r="G174" s="313">
        <v>12.1</v>
      </c>
      <c r="H174" s="313">
        <f t="shared" si="252"/>
        <v>18.99</v>
      </c>
      <c r="I174" s="610">
        <f t="shared" ref="I174" si="262">(H174+H175)/2</f>
        <v>18.94</v>
      </c>
      <c r="J174" s="611">
        <f t="shared" ref="J174" si="263">(H174-H175)*100/I174</f>
        <v>0.527983104540643</v>
      </c>
      <c r="K174" s="612">
        <f t="shared" ref="K174" si="264">H174-H175</f>
        <v>0.0999999999999979</v>
      </c>
      <c r="L174" s="613" t="s">
        <v>150</v>
      </c>
    </row>
    <row r="175" spans="2:12">
      <c r="B175" s="227"/>
      <c r="C175" s="418"/>
      <c r="D175" s="311">
        <v>11</v>
      </c>
      <c r="E175" s="312">
        <v>2.4059</v>
      </c>
      <c r="F175" s="311">
        <v>2</v>
      </c>
      <c r="G175" s="313">
        <v>12.1</v>
      </c>
      <c r="H175" s="313">
        <f t="shared" si="252"/>
        <v>18.89</v>
      </c>
      <c r="I175" s="617"/>
      <c r="J175" s="439"/>
      <c r="K175" s="618"/>
      <c r="L175" s="619"/>
    </row>
    <row r="176" spans="1:12">
      <c r="A176" s="508">
        <v>12.23</v>
      </c>
      <c r="B176" s="227" t="s">
        <v>238</v>
      </c>
      <c r="C176" s="417"/>
      <c r="D176" s="311">
        <v>11.1</v>
      </c>
      <c r="E176" s="312">
        <v>2.2504</v>
      </c>
      <c r="F176" s="311">
        <v>2</v>
      </c>
      <c r="G176" s="313">
        <v>10.6</v>
      </c>
      <c r="H176" s="313">
        <f t="shared" ref="H176:H181" si="265">ROUND(D176*100*F176*250/E176/G176/1000,2)</f>
        <v>23.27</v>
      </c>
      <c r="I176" s="610">
        <f t="shared" ref="I176" si="266">(H176+H177)/2</f>
        <v>23.26</v>
      </c>
      <c r="J176" s="611">
        <f t="shared" ref="J176" si="267">(H176-H177)*100/I176</f>
        <v>0.0859845227858967</v>
      </c>
      <c r="K176" s="612">
        <f t="shared" ref="K176" si="268">H176-H177</f>
        <v>0.0199999999999996</v>
      </c>
      <c r="L176" s="613" t="s">
        <v>150</v>
      </c>
    </row>
    <row r="177" spans="2:12">
      <c r="B177" s="227"/>
      <c r="C177" s="418"/>
      <c r="D177" s="311">
        <v>11.1</v>
      </c>
      <c r="E177" s="312">
        <v>2.2101</v>
      </c>
      <c r="F177" s="311">
        <v>2</v>
      </c>
      <c r="G177" s="313">
        <v>10.8</v>
      </c>
      <c r="H177" s="313">
        <f t="shared" si="265"/>
        <v>23.25</v>
      </c>
      <c r="I177" s="617"/>
      <c r="J177" s="439"/>
      <c r="K177" s="618"/>
      <c r="L177" s="619"/>
    </row>
    <row r="178" spans="2:12">
      <c r="B178" s="227" t="s">
        <v>239</v>
      </c>
      <c r="C178" s="417"/>
      <c r="D178" s="311">
        <v>11</v>
      </c>
      <c r="E178" s="312">
        <v>5.3013</v>
      </c>
      <c r="F178" s="311">
        <v>5</v>
      </c>
      <c r="G178" s="313">
        <v>7.7</v>
      </c>
      <c r="H178" s="313">
        <f t="shared" si="265"/>
        <v>33.68</v>
      </c>
      <c r="I178" s="610">
        <f>(H178+H179)/2</f>
        <v>33.955</v>
      </c>
      <c r="J178" s="611">
        <f>(H178-H179)*100/I178</f>
        <v>-1.61979089972021</v>
      </c>
      <c r="K178" s="612">
        <f>H178-H179</f>
        <v>-0.549999999999997</v>
      </c>
      <c r="L178" s="613" t="s">
        <v>150</v>
      </c>
    </row>
    <row r="179" spans="2:12">
      <c r="B179" s="227"/>
      <c r="C179" s="418"/>
      <c r="D179" s="311">
        <v>11</v>
      </c>
      <c r="E179" s="312">
        <v>5.0217</v>
      </c>
      <c r="F179" s="311">
        <v>5</v>
      </c>
      <c r="G179" s="313">
        <v>8</v>
      </c>
      <c r="H179" s="313">
        <f t="shared" si="265"/>
        <v>34.23</v>
      </c>
      <c r="I179" s="617"/>
      <c r="J179" s="439"/>
      <c r="K179" s="618"/>
      <c r="L179" s="619"/>
    </row>
    <row r="180" spans="2:11">
      <c r="B180" s="227" t="s">
        <v>240</v>
      </c>
      <c r="C180" s="417"/>
      <c r="D180" s="311">
        <v>11.1</v>
      </c>
      <c r="E180" s="312">
        <v>3.6613</v>
      </c>
      <c r="F180" s="311">
        <v>1</v>
      </c>
      <c r="G180" s="313">
        <v>6.7</v>
      </c>
      <c r="H180" s="313">
        <f t="shared" si="265"/>
        <v>11.31</v>
      </c>
      <c r="I180" s="610">
        <f>(H180+H181)/2</f>
        <v>11.295</v>
      </c>
      <c r="J180" s="611">
        <f>(H180-H181)*100/I180</f>
        <v>0.265604249668005</v>
      </c>
      <c r="K180" s="612">
        <f>H180-H181</f>
        <v>0.0300000000000011</v>
      </c>
    </row>
    <row r="181" spans="2:11">
      <c r="B181" s="227"/>
      <c r="C181" s="418"/>
      <c r="D181" s="311">
        <v>11.1</v>
      </c>
      <c r="E181" s="312">
        <v>3.2587</v>
      </c>
      <c r="F181" s="311">
        <v>1</v>
      </c>
      <c r="G181" s="313">
        <v>7.55</v>
      </c>
      <c r="H181" s="313">
        <f t="shared" si="265"/>
        <v>11.28</v>
      </c>
      <c r="I181" s="617"/>
      <c r="J181" s="439"/>
      <c r="K181" s="618"/>
    </row>
    <row r="182" spans="1:11">
      <c r="A182" s="508">
        <v>1.12</v>
      </c>
      <c r="B182" s="227" t="s">
        <v>241</v>
      </c>
      <c r="C182" s="417"/>
      <c r="D182" s="311">
        <v>11.1</v>
      </c>
      <c r="E182" s="312">
        <v>1.4264</v>
      </c>
      <c r="F182" s="311">
        <v>1</v>
      </c>
      <c r="G182" s="313">
        <v>11.25</v>
      </c>
      <c r="H182" s="313">
        <f t="shared" ref="H182:H187" si="269">ROUND(D182*100*F182*250/E182/G182/1000,2)</f>
        <v>17.29</v>
      </c>
      <c r="I182" s="610">
        <f>(H182+H183)/2</f>
        <v>17.22</v>
      </c>
      <c r="J182" s="611">
        <f>(H182-H183)*100/I182</f>
        <v>0.813008130081304</v>
      </c>
      <c r="K182" s="612">
        <f>H182-H183</f>
        <v>0.140000000000001</v>
      </c>
    </row>
    <row r="183" spans="2:11">
      <c r="B183" s="227"/>
      <c r="C183" s="418"/>
      <c r="D183" s="311">
        <v>11.1</v>
      </c>
      <c r="E183" s="312">
        <v>1.4713</v>
      </c>
      <c r="F183" s="311">
        <v>1</v>
      </c>
      <c r="G183" s="313">
        <v>11</v>
      </c>
      <c r="H183" s="313">
        <f t="shared" si="269"/>
        <v>17.15</v>
      </c>
      <c r="I183" s="617"/>
      <c r="J183" s="439"/>
      <c r="K183" s="618"/>
    </row>
    <row r="184" ht="39" customHeight="1" spans="1:11">
      <c r="A184" s="508">
        <v>1.16</v>
      </c>
      <c r="B184" s="26" t="s">
        <v>242</v>
      </c>
      <c r="D184" s="557">
        <v>11.1</v>
      </c>
      <c r="E184" s="29">
        <v>5.2397</v>
      </c>
      <c r="F184" s="311">
        <v>10</v>
      </c>
      <c r="G184" s="43">
        <v>11.6</v>
      </c>
      <c r="H184" s="313">
        <f t="shared" si="269"/>
        <v>45.66</v>
      </c>
      <c r="I184" s="610">
        <f t="shared" ref="I184" si="270">(H184+H185)/2</f>
        <v>45.325</v>
      </c>
      <c r="J184" s="611">
        <f t="shared" ref="J184" si="271">(H184-H185)*100/I184</f>
        <v>1.47821290678432</v>
      </c>
      <c r="K184" s="612">
        <f t="shared" ref="K184" si="272">H184-H185</f>
        <v>0.669999999999995</v>
      </c>
    </row>
    <row r="185" spans="2:11">
      <c r="B185" s="33"/>
      <c r="D185" s="557">
        <v>11.1</v>
      </c>
      <c r="E185" s="29">
        <v>4.8957</v>
      </c>
      <c r="F185" s="311">
        <v>10</v>
      </c>
      <c r="G185" s="43">
        <v>12.6</v>
      </c>
      <c r="H185" s="313">
        <f t="shared" si="269"/>
        <v>44.99</v>
      </c>
      <c r="I185" s="617"/>
      <c r="J185" s="439"/>
      <c r="K185" s="618"/>
    </row>
    <row r="186" spans="2:11">
      <c r="B186" s="26" t="s">
        <v>243</v>
      </c>
      <c r="D186" s="557">
        <v>11.1</v>
      </c>
      <c r="E186" s="312">
        <v>3.4601</v>
      </c>
      <c r="F186" s="311">
        <v>5</v>
      </c>
      <c r="G186" s="313">
        <v>9.2</v>
      </c>
      <c r="H186" s="313">
        <f t="shared" si="269"/>
        <v>43.59</v>
      </c>
      <c r="I186" s="610">
        <f>(H186+H187)/2</f>
        <v>43.08</v>
      </c>
      <c r="J186" s="611">
        <f t="shared" ref="J186" si="273">(H186-H187)*100/I186</f>
        <v>2.36768802228413</v>
      </c>
      <c r="K186" s="612">
        <f t="shared" ref="K186" si="274">H186-H187</f>
        <v>1.02</v>
      </c>
    </row>
    <row r="187" spans="2:11">
      <c r="B187" s="33"/>
      <c r="D187" s="557">
        <v>11.1</v>
      </c>
      <c r="E187" s="312">
        <v>3.6217</v>
      </c>
      <c r="F187" s="311">
        <v>5</v>
      </c>
      <c r="G187" s="313">
        <v>9</v>
      </c>
      <c r="H187" s="313">
        <f t="shared" si="269"/>
        <v>42.57</v>
      </c>
      <c r="I187" s="617"/>
      <c r="J187" s="439"/>
      <c r="K187" s="618"/>
    </row>
    <row r="188" spans="2:11">
      <c r="B188" s="26" t="s">
        <v>244</v>
      </c>
      <c r="D188" s="557">
        <v>11.1</v>
      </c>
      <c r="E188" s="312">
        <v>1.9956</v>
      </c>
      <c r="F188" s="311">
        <v>2</v>
      </c>
      <c r="G188" s="313">
        <v>9.65</v>
      </c>
      <c r="H188" s="313">
        <f t="shared" ref="H188:H189" si="275">ROUND(D188*100*F188*250/E188/G188/1000,2)</f>
        <v>28.82</v>
      </c>
      <c r="I188" s="610">
        <f>(H188+H189)/2</f>
        <v>28.56</v>
      </c>
      <c r="J188" s="611">
        <f t="shared" ref="J188" si="276">(H188-H189)*100/I188</f>
        <v>1.82072829131653</v>
      </c>
      <c r="K188" s="612">
        <f t="shared" ref="K188" si="277">H188-H189</f>
        <v>0.52</v>
      </c>
    </row>
    <row r="189" spans="2:11">
      <c r="B189" s="33"/>
      <c r="D189" s="557">
        <v>11.1</v>
      </c>
      <c r="E189" s="312">
        <v>2.0322</v>
      </c>
      <c r="F189" s="311">
        <v>2</v>
      </c>
      <c r="G189" s="313">
        <v>9.65</v>
      </c>
      <c r="H189" s="313">
        <f t="shared" si="275"/>
        <v>28.3</v>
      </c>
      <c r="I189" s="617"/>
      <c r="J189" s="439"/>
      <c r="K189" s="618"/>
    </row>
    <row r="190" spans="1:11">
      <c r="A190" s="508">
        <v>1.27</v>
      </c>
      <c r="B190" s="26" t="s">
        <v>245</v>
      </c>
      <c r="D190" s="557">
        <v>11.1</v>
      </c>
      <c r="E190" s="312">
        <v>1.6254</v>
      </c>
      <c r="F190" s="311">
        <v>1</v>
      </c>
      <c r="G190" s="313">
        <v>9.3</v>
      </c>
      <c r="H190" s="313">
        <f t="shared" ref="H190:H199" si="278">ROUND(D190*100*F190*250/E190/G190/1000,2)</f>
        <v>18.36</v>
      </c>
      <c r="I190" s="610">
        <f t="shared" ref="I190" si="279">(H190+H191)/2</f>
        <v>18.605</v>
      </c>
      <c r="J190" s="611">
        <f t="shared" ref="J190" si="280">(H190-H191)*100/I190</f>
        <v>-2.63370061811342</v>
      </c>
      <c r="K190" s="612">
        <f t="shared" ref="K190" si="281">H190-H191</f>
        <v>-0.490000000000002</v>
      </c>
    </row>
    <row r="191" spans="2:11">
      <c r="B191" s="33"/>
      <c r="D191" s="557">
        <v>11.1</v>
      </c>
      <c r="E191" s="312">
        <v>1.5021</v>
      </c>
      <c r="F191" s="311">
        <v>1</v>
      </c>
      <c r="G191" s="313">
        <v>9.8</v>
      </c>
      <c r="H191" s="313">
        <f t="shared" si="278"/>
        <v>18.85</v>
      </c>
      <c r="I191" s="617"/>
      <c r="J191" s="439"/>
      <c r="K191" s="618"/>
    </row>
    <row r="192" customHeight="1" spans="2:11">
      <c r="B192" s="26" t="s">
        <v>246</v>
      </c>
      <c r="D192" s="557">
        <v>11.1</v>
      </c>
      <c r="E192" s="312">
        <v>0.9366</v>
      </c>
      <c r="F192" s="311">
        <v>1</v>
      </c>
      <c r="G192" s="313">
        <v>14.9</v>
      </c>
      <c r="H192" s="313">
        <f t="shared" si="278"/>
        <v>19.88</v>
      </c>
      <c r="I192" s="610">
        <f t="shared" ref="I192" si="282">(H192+H193)/2</f>
        <v>19.645</v>
      </c>
      <c r="J192" s="611">
        <f t="shared" ref="J192" si="283">(H192-H193)*100/I192</f>
        <v>2.3924662764062</v>
      </c>
      <c r="K192" s="612">
        <f t="shared" ref="K192" si="284">H192-H193</f>
        <v>0.469999999999999</v>
      </c>
    </row>
    <row r="193" customHeight="1" spans="2:11">
      <c r="B193" s="33"/>
      <c r="D193" s="557">
        <v>11.1</v>
      </c>
      <c r="E193" s="312">
        <v>1.0211</v>
      </c>
      <c r="F193" s="311">
        <v>1</v>
      </c>
      <c r="G193" s="313">
        <v>14</v>
      </c>
      <c r="H193" s="313">
        <f t="shared" si="278"/>
        <v>19.41</v>
      </c>
      <c r="I193" s="617"/>
      <c r="J193" s="439"/>
      <c r="K193" s="618"/>
    </row>
    <row r="194" customHeight="1" spans="2:11">
      <c r="B194" s="26" t="s">
        <v>247</v>
      </c>
      <c r="D194" s="557">
        <v>11.1</v>
      </c>
      <c r="E194" s="312">
        <v>1.1135</v>
      </c>
      <c r="F194" s="311">
        <v>1</v>
      </c>
      <c r="G194" s="313">
        <v>15.3</v>
      </c>
      <c r="H194" s="313">
        <f t="shared" si="278"/>
        <v>16.29</v>
      </c>
      <c r="I194" s="610">
        <f t="shared" ref="I194" si="285">(H194+H195)/2</f>
        <v>16.6</v>
      </c>
      <c r="J194" s="611">
        <f t="shared" ref="J194" si="286">(H194-H195)*100/I194</f>
        <v>-3.73493975903615</v>
      </c>
      <c r="K194" s="612">
        <f t="shared" ref="K194" si="287">H194-H195</f>
        <v>-0.620000000000001</v>
      </c>
    </row>
    <row r="195" customHeight="1" spans="2:11">
      <c r="B195" s="33"/>
      <c r="D195" s="557">
        <v>11.1</v>
      </c>
      <c r="E195" s="312">
        <v>1.0258</v>
      </c>
      <c r="F195" s="311">
        <v>1</v>
      </c>
      <c r="G195" s="313">
        <v>16</v>
      </c>
      <c r="H195" s="313">
        <f t="shared" si="278"/>
        <v>16.91</v>
      </c>
      <c r="I195" s="617"/>
      <c r="J195" s="439"/>
      <c r="K195" s="618"/>
    </row>
    <row r="196" customHeight="1" spans="2:11">
      <c r="B196" s="26" t="s">
        <v>248</v>
      </c>
      <c r="D196" s="557">
        <v>11.1</v>
      </c>
      <c r="E196" s="312">
        <v>0.9952</v>
      </c>
      <c r="F196" s="311">
        <v>1</v>
      </c>
      <c r="G196" s="313">
        <v>13.2</v>
      </c>
      <c r="H196" s="313">
        <f t="shared" si="278"/>
        <v>21.12</v>
      </c>
      <c r="I196" s="610">
        <f t="shared" ref="I196" si="288">(H196+H197)/2</f>
        <v>21.005</v>
      </c>
      <c r="J196" s="611">
        <f t="shared" ref="J196" si="289">(H196-H197)*100/I196</f>
        <v>1.09497738633659</v>
      </c>
      <c r="K196" s="612">
        <f t="shared" ref="K196" si="290">H196-H197</f>
        <v>0.23</v>
      </c>
    </row>
    <row r="197" customHeight="1" spans="2:11">
      <c r="B197" s="33"/>
      <c r="D197" s="557">
        <v>11.1</v>
      </c>
      <c r="E197" s="312">
        <v>1.0217</v>
      </c>
      <c r="F197" s="311">
        <v>1</v>
      </c>
      <c r="G197" s="313">
        <v>13</v>
      </c>
      <c r="H197" s="313">
        <f t="shared" si="278"/>
        <v>20.89</v>
      </c>
      <c r="I197" s="617"/>
      <c r="J197" s="439"/>
      <c r="K197" s="618"/>
    </row>
    <row r="198" customHeight="1" spans="2:11">
      <c r="B198" s="26" t="s">
        <v>249</v>
      </c>
      <c r="D198" s="557">
        <v>11.1</v>
      </c>
      <c r="E198" s="312">
        <v>1.2529</v>
      </c>
      <c r="F198" s="311">
        <v>1</v>
      </c>
      <c r="G198" s="313">
        <v>10.5</v>
      </c>
      <c r="H198" s="313">
        <f t="shared" si="278"/>
        <v>21.09</v>
      </c>
      <c r="I198" s="610">
        <f t="shared" ref="I198" si="291">(H198+H199)/2</f>
        <v>21.13</v>
      </c>
      <c r="J198" s="611">
        <f t="shared" ref="J198" si="292">(H198-H199)*100/I198</f>
        <v>-0.378608613345962</v>
      </c>
      <c r="K198" s="612">
        <f t="shared" ref="K198" si="293">H198-H199</f>
        <v>-0.0800000000000018</v>
      </c>
    </row>
    <row r="199" customHeight="1" spans="2:11">
      <c r="B199" s="33"/>
      <c r="D199" s="557">
        <v>11.1</v>
      </c>
      <c r="E199" s="312">
        <v>1.3585</v>
      </c>
      <c r="F199" s="311">
        <v>1</v>
      </c>
      <c r="G199" s="313">
        <v>9.65</v>
      </c>
      <c r="H199" s="313">
        <f t="shared" si="278"/>
        <v>21.17</v>
      </c>
      <c r="I199" s="617"/>
      <c r="J199" s="439"/>
      <c r="K199" s="618"/>
    </row>
    <row r="200" spans="2:11">
      <c r="B200" s="26" t="s">
        <v>250</v>
      </c>
      <c r="D200" s="557">
        <v>11.1</v>
      </c>
      <c r="E200" s="312">
        <v>1.3478</v>
      </c>
      <c r="F200" s="311">
        <v>2.5</v>
      </c>
      <c r="G200" s="313">
        <v>9.55</v>
      </c>
      <c r="H200" s="313">
        <f t="shared" ref="H200:H203" si="294">ROUND(D200*100*F200*250/E200/G200/1000,2)</f>
        <v>53.9</v>
      </c>
      <c r="I200" s="610">
        <f t="shared" ref="I200" si="295">(H200+H201)/2</f>
        <v>54.33</v>
      </c>
      <c r="J200" s="611">
        <f t="shared" ref="J200" si="296">(H200-H201)*100/I200</f>
        <v>-1.58291919749678</v>
      </c>
      <c r="K200" s="612">
        <f t="shared" ref="K200" si="297">H200-H201</f>
        <v>-0.859999999999999</v>
      </c>
    </row>
    <row r="201" spans="2:11">
      <c r="B201" s="33"/>
      <c r="D201" s="557">
        <v>11.1</v>
      </c>
      <c r="E201" s="312">
        <v>1.448</v>
      </c>
      <c r="F201" s="311">
        <v>2.5</v>
      </c>
      <c r="G201" s="313">
        <v>8.75</v>
      </c>
      <c r="H201" s="313">
        <f t="shared" si="294"/>
        <v>54.76</v>
      </c>
      <c r="I201" s="617"/>
      <c r="J201" s="439"/>
      <c r="K201" s="618"/>
    </row>
    <row r="202" customHeight="1" spans="2:11">
      <c r="B202" s="26" t="s">
        <v>251</v>
      </c>
      <c r="D202" s="557">
        <v>11.1</v>
      </c>
      <c r="E202" s="312">
        <v>1.1967</v>
      </c>
      <c r="F202" s="311">
        <v>2</v>
      </c>
      <c r="G202" s="313">
        <v>8.4</v>
      </c>
      <c r="H202" s="313">
        <f t="shared" si="294"/>
        <v>55.21</v>
      </c>
      <c r="I202" s="610">
        <f t="shared" ref="I202" si="298">(H202+H203)/2</f>
        <v>54.93</v>
      </c>
      <c r="J202" s="611">
        <f t="shared" ref="J202" si="299">(H202-H203)*100/I202</f>
        <v>1.01947933733843</v>
      </c>
      <c r="K202" s="612">
        <f t="shared" ref="K202" si="300">H202-H203</f>
        <v>0.560000000000002</v>
      </c>
    </row>
    <row r="203" customHeight="1" spans="2:11">
      <c r="B203" s="33"/>
      <c r="D203" s="557">
        <v>11.1</v>
      </c>
      <c r="E203" s="312">
        <v>1.1948</v>
      </c>
      <c r="F203" s="311">
        <v>2</v>
      </c>
      <c r="G203" s="313">
        <v>8.5</v>
      </c>
      <c r="H203" s="313">
        <f t="shared" si="294"/>
        <v>54.65</v>
      </c>
      <c r="I203" s="617"/>
      <c r="J203" s="439"/>
      <c r="K203" s="618"/>
    </row>
    <row r="204" spans="1:11">
      <c r="A204" s="508">
        <v>210</v>
      </c>
      <c r="B204" s="26" t="s">
        <v>252</v>
      </c>
      <c r="D204" s="557">
        <v>11</v>
      </c>
      <c r="E204" s="312">
        <v>2.4373</v>
      </c>
      <c r="F204" s="311">
        <v>1</v>
      </c>
      <c r="G204" s="313">
        <v>6.85</v>
      </c>
      <c r="H204" s="313">
        <f t="shared" ref="H204:H205" si="301">ROUND(D204*100*F204*250/E204/G204/1000,2)</f>
        <v>16.47</v>
      </c>
      <c r="I204" s="610">
        <f t="shared" ref="I204" si="302">(H204+H205)/2</f>
        <v>16.56</v>
      </c>
      <c r="J204" s="611">
        <f t="shared" ref="J204" si="303">(H204-H205)*100/I204</f>
        <v>-1.08695652173913</v>
      </c>
      <c r="K204" s="612">
        <f t="shared" ref="K204" si="304">H204-H205</f>
        <v>-0.18</v>
      </c>
    </row>
    <row r="205" spans="2:11">
      <c r="B205" s="33"/>
      <c r="D205" s="557">
        <v>11</v>
      </c>
      <c r="E205" s="312">
        <v>2.5022</v>
      </c>
      <c r="F205" s="311">
        <v>1</v>
      </c>
      <c r="G205" s="313">
        <v>6.6</v>
      </c>
      <c r="H205" s="313">
        <f t="shared" si="301"/>
        <v>16.65</v>
      </c>
      <c r="I205" s="617"/>
      <c r="J205" s="439"/>
      <c r="K205" s="618"/>
    </row>
    <row r="206" spans="2:11">
      <c r="B206" s="26" t="s">
        <v>252</v>
      </c>
      <c r="D206" s="557">
        <v>11.3</v>
      </c>
      <c r="E206" s="312">
        <v>4.116</v>
      </c>
      <c r="F206" s="311">
        <v>1</v>
      </c>
      <c r="G206" s="313">
        <v>12.8</v>
      </c>
      <c r="H206" s="313">
        <f t="shared" ref="H206:H207" si="305">ROUND(D206*100*F206*100/E206/G206/1000,2)</f>
        <v>2.14</v>
      </c>
      <c r="I206" s="610">
        <f>(H206+H207)/2</f>
        <v>2.16</v>
      </c>
      <c r="J206" s="611">
        <f t="shared" ref="J206" si="306">(H206-H207)*100/I206</f>
        <v>-1.85185185185185</v>
      </c>
      <c r="K206" s="612">
        <f t="shared" ref="K206" si="307">H206-H207</f>
        <v>-0.04</v>
      </c>
    </row>
    <row r="207" ht="31.5" customHeight="1" spans="2:11">
      <c r="B207" s="33"/>
      <c r="D207" s="557">
        <v>11.3</v>
      </c>
      <c r="E207" s="312">
        <v>4.0218</v>
      </c>
      <c r="F207" s="311">
        <v>1</v>
      </c>
      <c r="G207" s="313">
        <v>12.9</v>
      </c>
      <c r="H207" s="313">
        <f t="shared" si="305"/>
        <v>2.18</v>
      </c>
      <c r="I207" s="617"/>
      <c r="J207" s="439"/>
      <c r="K207" s="618"/>
    </row>
    <row r="208" customHeight="1" spans="2:11">
      <c r="B208" s="26" t="s">
        <v>253</v>
      </c>
      <c r="D208" s="557">
        <v>11</v>
      </c>
      <c r="E208" s="312">
        <v>2.9012</v>
      </c>
      <c r="F208" s="311">
        <v>5</v>
      </c>
      <c r="G208" s="313">
        <v>12.9</v>
      </c>
      <c r="H208" s="313">
        <f t="shared" ref="H208:H211" si="308">ROUND(D208*100*F208*250/E208/G208/1000,2)</f>
        <v>36.74</v>
      </c>
      <c r="I208" s="610">
        <f t="shared" ref="I208" si="309">(H208+H209)/2</f>
        <v>36.135</v>
      </c>
      <c r="J208" s="611">
        <f t="shared" ref="J208" si="310">(H208-H209)*100/I208</f>
        <v>3.34855403348554</v>
      </c>
      <c r="K208" s="612">
        <f t="shared" ref="K208" si="311">H208-H209</f>
        <v>1.21</v>
      </c>
    </row>
    <row r="209" customHeight="1" spans="2:11">
      <c r="B209" s="33"/>
      <c r="D209" s="557">
        <v>11</v>
      </c>
      <c r="E209" s="312">
        <v>3.0236</v>
      </c>
      <c r="F209" s="311">
        <v>5</v>
      </c>
      <c r="G209" s="313">
        <v>12.8</v>
      </c>
      <c r="H209" s="313">
        <f t="shared" si="308"/>
        <v>35.53</v>
      </c>
      <c r="I209" s="617"/>
      <c r="J209" s="439"/>
      <c r="K209" s="618"/>
    </row>
    <row r="210" customHeight="1" spans="2:11">
      <c r="B210" s="26" t="s">
        <v>254</v>
      </c>
      <c r="D210" s="557">
        <v>11</v>
      </c>
      <c r="E210" s="312">
        <v>2.1639</v>
      </c>
      <c r="F210" s="311">
        <v>5</v>
      </c>
      <c r="G210" s="313">
        <v>10.1</v>
      </c>
      <c r="H210" s="313">
        <f t="shared" si="308"/>
        <v>62.91</v>
      </c>
      <c r="I210" s="610">
        <f t="shared" ref="I210" si="312">(H210+H211)/2</f>
        <v>62.81</v>
      </c>
      <c r="J210" s="611">
        <f t="shared" ref="J210" si="313">(H210-H211)*100/I210</f>
        <v>0.318420633657054</v>
      </c>
      <c r="K210" s="612">
        <f t="shared" ref="K210" si="314">H210-H211</f>
        <v>0.199999999999996</v>
      </c>
    </row>
    <row r="211" customHeight="1" spans="2:11">
      <c r="B211" s="33"/>
      <c r="D211" s="557">
        <v>11</v>
      </c>
      <c r="E211" s="312">
        <v>2.1817</v>
      </c>
      <c r="F211" s="311">
        <v>5</v>
      </c>
      <c r="G211" s="313">
        <v>10.05</v>
      </c>
      <c r="H211" s="313">
        <f t="shared" si="308"/>
        <v>62.71</v>
      </c>
      <c r="I211" s="617"/>
      <c r="J211" s="439"/>
      <c r="K211" s="618"/>
    </row>
    <row r="212" spans="1:11">
      <c r="A212" s="508">
        <v>3.27</v>
      </c>
      <c r="B212" s="26" t="s">
        <v>255</v>
      </c>
      <c r="D212" s="557">
        <v>11</v>
      </c>
      <c r="E212" s="312">
        <v>2.5359</v>
      </c>
      <c r="F212" s="311">
        <v>1</v>
      </c>
      <c r="G212" s="313">
        <v>7.3</v>
      </c>
      <c r="H212" s="313">
        <f t="shared" ref="H212:H213" si="315">ROUND(D212*100*F212*250/E212/G212/1000,2)</f>
        <v>14.86</v>
      </c>
      <c r="I212" s="610">
        <f t="shared" ref="I212" si="316">(H212+H213)/2</f>
        <v>14.86</v>
      </c>
      <c r="J212" s="611">
        <f t="shared" ref="J212" si="317">(H212-H213)*100/I212</f>
        <v>0</v>
      </c>
      <c r="K212" s="612">
        <f t="shared" ref="K212" si="318">H212-H213</f>
        <v>0</v>
      </c>
    </row>
    <row r="213" spans="2:11">
      <c r="B213" s="33"/>
      <c r="D213" s="557">
        <v>11</v>
      </c>
      <c r="E213" s="312">
        <v>2.5359</v>
      </c>
      <c r="F213" s="311">
        <v>1</v>
      </c>
      <c r="G213" s="313">
        <v>7.3</v>
      </c>
      <c r="H213" s="313">
        <f t="shared" si="315"/>
        <v>14.86</v>
      </c>
      <c r="I213" s="617"/>
      <c r="J213" s="439"/>
      <c r="K213" s="618"/>
    </row>
    <row r="214" spans="2:11">
      <c r="B214" s="26" t="s">
        <v>256</v>
      </c>
      <c r="D214" s="557">
        <v>11</v>
      </c>
      <c r="E214" s="312">
        <v>2.6512</v>
      </c>
      <c r="F214" s="311">
        <v>1</v>
      </c>
      <c r="G214" s="313">
        <v>14.55</v>
      </c>
      <c r="H214" s="313">
        <f t="shared" ref="H214:H217" si="319">ROUND(D214*100*F214*250/E214/G214/1000,2)</f>
        <v>7.13</v>
      </c>
      <c r="I214" s="610">
        <f t="shared" ref="I214" si="320">(H214+H215)/2</f>
        <v>7.13</v>
      </c>
      <c r="J214" s="611">
        <f t="shared" ref="J214" si="321">(H214-H215)*100/I214</f>
        <v>0</v>
      </c>
      <c r="K214" s="612">
        <f t="shared" ref="K214" si="322">H214-H215</f>
        <v>0</v>
      </c>
    </row>
    <row r="215" spans="2:11">
      <c r="B215" s="33"/>
      <c r="D215" s="557">
        <v>11</v>
      </c>
      <c r="E215" s="312">
        <v>2.6512</v>
      </c>
      <c r="F215" s="311">
        <v>1</v>
      </c>
      <c r="G215" s="313">
        <v>14.55</v>
      </c>
      <c r="H215" s="313">
        <f t="shared" si="319"/>
        <v>7.13</v>
      </c>
      <c r="I215" s="617"/>
      <c r="J215" s="439"/>
      <c r="K215" s="618"/>
    </row>
    <row r="216" customHeight="1" spans="2:11">
      <c r="B216" s="26" t="s">
        <v>257</v>
      </c>
      <c r="D216" s="557">
        <v>11</v>
      </c>
      <c r="E216" s="312">
        <v>2.4657</v>
      </c>
      <c r="F216" s="311">
        <v>1</v>
      </c>
      <c r="G216" s="313">
        <v>12.1</v>
      </c>
      <c r="H216" s="313">
        <f t="shared" si="319"/>
        <v>9.22</v>
      </c>
      <c r="I216" s="610">
        <f t="shared" ref="I216" si="323">(H216+H217)/2</f>
        <v>9.22</v>
      </c>
      <c r="J216" s="611">
        <f t="shared" ref="J216" si="324">(H216-H217)*100/I216</f>
        <v>0</v>
      </c>
      <c r="K216" s="612">
        <f t="shared" ref="K216" si="325">H216-H217</f>
        <v>0</v>
      </c>
    </row>
    <row r="217" customHeight="1" spans="2:11">
      <c r="B217" s="33"/>
      <c r="D217" s="557">
        <v>11</v>
      </c>
      <c r="E217" s="312">
        <v>2.4657</v>
      </c>
      <c r="F217" s="311">
        <v>1</v>
      </c>
      <c r="G217" s="313">
        <v>12.1</v>
      </c>
      <c r="H217" s="313">
        <f t="shared" si="319"/>
        <v>9.22</v>
      </c>
      <c r="I217" s="617"/>
      <c r="J217" s="439"/>
      <c r="K217" s="618"/>
    </row>
    <row r="218" spans="1:11">
      <c r="A218" s="508">
        <v>4.8</v>
      </c>
      <c r="B218" s="26" t="s">
        <v>258</v>
      </c>
      <c r="D218" s="557">
        <v>11</v>
      </c>
      <c r="E218" s="312">
        <v>1.5297</v>
      </c>
      <c r="F218" s="311">
        <v>1</v>
      </c>
      <c r="G218" s="313">
        <v>6.4</v>
      </c>
      <c r="H218" s="313">
        <f t="shared" ref="H218:H225" si="326">ROUND(D218*100*F218*250/E218/G218/1000,2)</f>
        <v>28.09</v>
      </c>
      <c r="I218" s="610">
        <f t="shared" ref="I218" si="327">(H218+H219)/2</f>
        <v>28.06</v>
      </c>
      <c r="J218" s="611">
        <f t="shared" ref="J218" si="328">(H218-H219)*100/I218</f>
        <v>0.213827512473267</v>
      </c>
      <c r="K218" s="612">
        <f t="shared" ref="K218" si="329">H218-H219</f>
        <v>0.0599999999999987</v>
      </c>
    </row>
    <row r="219" spans="2:11">
      <c r="B219" s="33"/>
      <c r="D219" s="557">
        <v>11</v>
      </c>
      <c r="E219" s="312">
        <v>1.0218</v>
      </c>
      <c r="F219" s="311">
        <v>1</v>
      </c>
      <c r="G219" s="313">
        <v>9.6</v>
      </c>
      <c r="H219" s="313">
        <f t="shared" si="326"/>
        <v>28.03</v>
      </c>
      <c r="I219" s="617"/>
      <c r="J219" s="439"/>
      <c r="K219" s="618"/>
    </row>
    <row r="220" spans="1:11">
      <c r="A220" s="508">
        <v>4.9</v>
      </c>
      <c r="B220" s="26" t="s">
        <v>259</v>
      </c>
      <c r="D220" s="557">
        <v>11</v>
      </c>
      <c r="E220" s="312">
        <v>1.3046</v>
      </c>
      <c r="F220" s="311">
        <v>1</v>
      </c>
      <c r="G220" s="313">
        <v>11.05</v>
      </c>
      <c r="H220" s="313">
        <f t="shared" si="326"/>
        <v>19.08</v>
      </c>
      <c r="I220" s="610">
        <f t="shared" ref="I220" si="330">(H220+H221)/2</f>
        <v>19.2</v>
      </c>
      <c r="J220" s="611">
        <f t="shared" ref="J220" si="331">(H220-H221)*100/I220</f>
        <v>-1.25000000000001</v>
      </c>
      <c r="K220" s="612">
        <f t="shared" ref="K220" si="332">H220-H221</f>
        <v>-0.240000000000002</v>
      </c>
    </row>
    <row r="221" spans="2:11">
      <c r="B221" s="33"/>
      <c r="D221" s="557">
        <v>11</v>
      </c>
      <c r="E221" s="312">
        <v>1.4527</v>
      </c>
      <c r="F221" s="311">
        <v>1</v>
      </c>
      <c r="G221" s="313">
        <v>9.8</v>
      </c>
      <c r="H221" s="313">
        <f t="shared" si="326"/>
        <v>19.32</v>
      </c>
      <c r="I221" s="617"/>
      <c r="J221" s="439"/>
      <c r="K221" s="618"/>
    </row>
    <row r="222" customHeight="1" spans="2:11">
      <c r="B222" s="26" t="s">
        <v>260</v>
      </c>
      <c r="D222" s="557">
        <v>11</v>
      </c>
      <c r="E222" s="312">
        <v>1.3989</v>
      </c>
      <c r="F222" s="311">
        <v>1</v>
      </c>
      <c r="G222" s="313">
        <v>8.55</v>
      </c>
      <c r="H222" s="313">
        <f t="shared" si="326"/>
        <v>22.99</v>
      </c>
      <c r="I222" s="610">
        <f t="shared" ref="I222" si="333">(H222+H223)/2</f>
        <v>22.94</v>
      </c>
      <c r="J222" s="611">
        <f t="shared" ref="J222" si="334">(H222-H223)*100/I222</f>
        <v>0.435919790758491</v>
      </c>
      <c r="K222" s="612">
        <f t="shared" ref="K222" si="335">H222-H223</f>
        <v>0.0999999999999979</v>
      </c>
    </row>
    <row r="223" customHeight="1" spans="2:11">
      <c r="B223" s="33"/>
      <c r="D223" s="557">
        <v>11</v>
      </c>
      <c r="E223" s="312">
        <v>1.2014</v>
      </c>
      <c r="F223" s="311">
        <v>1</v>
      </c>
      <c r="G223" s="313">
        <v>10</v>
      </c>
      <c r="H223" s="313">
        <f t="shared" si="326"/>
        <v>22.89</v>
      </c>
      <c r="I223" s="617"/>
      <c r="J223" s="439"/>
      <c r="K223" s="618"/>
    </row>
    <row r="224" customHeight="1" spans="2:11">
      <c r="B224" s="26" t="s">
        <v>261</v>
      </c>
      <c r="D224" s="557">
        <v>11</v>
      </c>
      <c r="E224" s="312">
        <v>1.0904</v>
      </c>
      <c r="F224" s="311">
        <v>1</v>
      </c>
      <c r="G224" s="313">
        <v>10.6</v>
      </c>
      <c r="H224" s="313">
        <f t="shared" si="326"/>
        <v>23.79</v>
      </c>
      <c r="I224" s="610">
        <f t="shared" ref="I224" si="336">(H224+H225)/2</f>
        <v>23.7</v>
      </c>
      <c r="J224" s="611">
        <f t="shared" ref="J224" si="337">(H224-H225)*100/I224</f>
        <v>0.759493670886075</v>
      </c>
      <c r="K224" s="612">
        <f t="shared" ref="K224" si="338">H224-H225</f>
        <v>0.18</v>
      </c>
    </row>
    <row r="225" customHeight="1" spans="2:11">
      <c r="B225" s="33"/>
      <c r="D225" s="557">
        <v>11</v>
      </c>
      <c r="E225" s="312">
        <v>1.0128</v>
      </c>
      <c r="F225" s="311">
        <v>1</v>
      </c>
      <c r="G225" s="313">
        <v>11.5</v>
      </c>
      <c r="H225" s="313">
        <f t="shared" si="326"/>
        <v>23.61</v>
      </c>
      <c r="I225" s="617"/>
      <c r="J225" s="439"/>
      <c r="K225" s="618"/>
    </row>
    <row r="226" customHeight="1" spans="2:11">
      <c r="B226" s="26" t="s">
        <v>262</v>
      </c>
      <c r="D226" s="557">
        <v>11</v>
      </c>
      <c r="E226" s="312">
        <v>1.5974</v>
      </c>
      <c r="F226" s="311">
        <v>1</v>
      </c>
      <c r="G226" s="313">
        <v>7.5</v>
      </c>
      <c r="H226" s="313">
        <f t="shared" ref="H226:H229" si="339">ROUND(D226*100*F226*250/E226/G226/1000,2)</f>
        <v>22.95</v>
      </c>
      <c r="I226" s="610">
        <f t="shared" ref="I226" si="340">(H226+H227)/2</f>
        <v>22.63</v>
      </c>
      <c r="J226" s="611">
        <f t="shared" ref="J226" si="341">(H226-H227)*100/I226</f>
        <v>2.82810428634556</v>
      </c>
      <c r="K226" s="612">
        <f t="shared" ref="K226" si="342">H226-H227</f>
        <v>0.640000000000001</v>
      </c>
    </row>
    <row r="227" customHeight="1" spans="2:11">
      <c r="B227" s="33"/>
      <c r="D227" s="557">
        <v>11</v>
      </c>
      <c r="E227" s="312">
        <v>1.3256</v>
      </c>
      <c r="F227" s="311">
        <v>1</v>
      </c>
      <c r="G227" s="313">
        <v>9.3</v>
      </c>
      <c r="H227" s="313">
        <f t="shared" si="339"/>
        <v>22.31</v>
      </c>
      <c r="I227" s="617"/>
      <c r="J227" s="439"/>
      <c r="K227" s="618"/>
    </row>
    <row r="228" spans="1:12">
      <c r="A228" s="508">
        <v>410</v>
      </c>
      <c r="B228" s="26" t="s">
        <v>263</v>
      </c>
      <c r="C228" s="566" t="s">
        <v>167</v>
      </c>
      <c r="D228" s="311">
        <v>10.7</v>
      </c>
      <c r="E228" s="312">
        <v>2.5053</v>
      </c>
      <c r="F228" s="311">
        <v>1</v>
      </c>
      <c r="G228" s="313">
        <v>15.6</v>
      </c>
      <c r="H228" s="313">
        <f t="shared" si="339"/>
        <v>6.84</v>
      </c>
      <c r="I228" s="610">
        <f t="shared" ref="I228" si="343">(H228+H229)/2</f>
        <v>6.84</v>
      </c>
      <c r="J228" s="611">
        <f t="shared" ref="J228" si="344">(H228-H229)*100/I228</f>
        <v>0</v>
      </c>
      <c r="K228" s="612">
        <f t="shared" ref="K228" si="345">H228-H229</f>
        <v>0</v>
      </c>
      <c r="L228" s="566" t="s">
        <v>167</v>
      </c>
    </row>
    <row r="229" ht="21.75" customHeight="1" spans="2:12">
      <c r="B229" s="33"/>
      <c r="C229" s="566" t="s">
        <v>167</v>
      </c>
      <c r="D229" s="311">
        <v>10.7</v>
      </c>
      <c r="E229" s="312">
        <v>2.5053</v>
      </c>
      <c r="F229" s="311">
        <v>1</v>
      </c>
      <c r="G229" s="313">
        <v>15.6</v>
      </c>
      <c r="H229" s="313">
        <f t="shared" si="339"/>
        <v>6.84</v>
      </c>
      <c r="I229" s="617"/>
      <c r="J229" s="439"/>
      <c r="K229" s="618"/>
      <c r="L229" s="566" t="s">
        <v>167</v>
      </c>
    </row>
    <row r="230" customHeight="1" spans="2:11">
      <c r="B230" s="26" t="s">
        <v>264</v>
      </c>
      <c r="C230" s="566"/>
      <c r="D230" s="311">
        <v>10.7</v>
      </c>
      <c r="E230" s="312">
        <v>2.7657</v>
      </c>
      <c r="F230" s="311">
        <v>1</v>
      </c>
      <c r="G230" s="313">
        <v>10.4</v>
      </c>
      <c r="H230" s="313">
        <f t="shared" ref="H230:H231" si="346">ROUND(D230*100*F230*250/E230/G230/1000,2)</f>
        <v>9.3</v>
      </c>
      <c r="I230" s="610">
        <f t="shared" ref="I230" si="347">(H230+H231)/2</f>
        <v>9.3</v>
      </c>
      <c r="J230" s="611">
        <f t="shared" ref="J230" si="348">(H230-H231)*100/I230</f>
        <v>0</v>
      </c>
      <c r="K230" s="612">
        <f t="shared" ref="K230" si="349">H230-H231</f>
        <v>0</v>
      </c>
    </row>
    <row r="231" customHeight="1" spans="2:11">
      <c r="B231" s="33"/>
      <c r="C231" s="566"/>
      <c r="D231" s="311">
        <v>10.7</v>
      </c>
      <c r="E231" s="312">
        <v>2.7657</v>
      </c>
      <c r="F231" s="311">
        <v>1</v>
      </c>
      <c r="G231" s="313">
        <v>10.4</v>
      </c>
      <c r="H231" s="313">
        <f t="shared" si="346"/>
        <v>9.3</v>
      </c>
      <c r="I231" s="617"/>
      <c r="J231" s="439"/>
      <c r="K231" s="618"/>
    </row>
    <row r="232" spans="2:12">
      <c r="B232" s="26" t="s">
        <v>264</v>
      </c>
      <c r="C232" s="566" t="s">
        <v>167</v>
      </c>
      <c r="D232" s="311">
        <v>11</v>
      </c>
      <c r="E232" s="312">
        <v>4.0025</v>
      </c>
      <c r="F232" s="311">
        <v>1</v>
      </c>
      <c r="G232" s="313">
        <v>12.5</v>
      </c>
      <c r="H232" s="313">
        <f t="shared" ref="H232:H237" si="350">ROUND(D232*100*F232*100/E232/G232/1000,2)</f>
        <v>2.2</v>
      </c>
      <c r="I232" s="610">
        <f t="shared" ref="I232" si="351">(H232+H233)/2</f>
        <v>2.2</v>
      </c>
      <c r="J232" s="611">
        <f t="shared" ref="J232" si="352">(H232-H233)*100/I232</f>
        <v>0</v>
      </c>
      <c r="K232" s="612">
        <f t="shared" ref="K232" si="353">H232-H233</f>
        <v>0</v>
      </c>
      <c r="L232" s="566" t="s">
        <v>167</v>
      </c>
    </row>
    <row r="233" spans="2:12">
      <c r="B233" s="33"/>
      <c r="C233" s="566" t="s">
        <v>167</v>
      </c>
      <c r="D233" s="311">
        <v>11</v>
      </c>
      <c r="E233" s="312">
        <v>4.0025</v>
      </c>
      <c r="F233" s="311">
        <v>1</v>
      </c>
      <c r="G233" s="313">
        <v>12.5</v>
      </c>
      <c r="H233" s="313">
        <f t="shared" si="350"/>
        <v>2.2</v>
      </c>
      <c r="I233" s="617"/>
      <c r="J233" s="439"/>
      <c r="K233" s="618"/>
      <c r="L233" s="566" t="s">
        <v>167</v>
      </c>
    </row>
    <row r="234" customHeight="1" spans="1:12">
      <c r="A234" s="508">
        <v>4.17</v>
      </c>
      <c r="B234" s="26" t="s">
        <v>265</v>
      </c>
      <c r="C234" s="566" t="s">
        <v>167</v>
      </c>
      <c r="D234" s="311">
        <v>11</v>
      </c>
      <c r="E234" s="312">
        <v>4.0875</v>
      </c>
      <c r="F234" s="311">
        <v>1</v>
      </c>
      <c r="G234" s="313">
        <v>9.5</v>
      </c>
      <c r="H234" s="313">
        <f t="shared" si="350"/>
        <v>2.83</v>
      </c>
      <c r="I234" s="610">
        <f t="shared" ref="I234" si="354">(H234+H235)/2</f>
        <v>2.83</v>
      </c>
      <c r="J234" s="611">
        <f t="shared" ref="J234" si="355">(H234-H235)*100/I234</f>
        <v>0</v>
      </c>
      <c r="K234" s="612">
        <f t="shared" ref="K234" si="356">H234-H235</f>
        <v>0</v>
      </c>
      <c r="L234" s="566" t="s">
        <v>167</v>
      </c>
    </row>
    <row r="235" customHeight="1" spans="2:12">
      <c r="B235" s="33"/>
      <c r="C235" s="566" t="s">
        <v>167</v>
      </c>
      <c r="D235" s="311">
        <v>11</v>
      </c>
      <c r="E235" s="312">
        <v>4.0875</v>
      </c>
      <c r="F235" s="311">
        <v>1</v>
      </c>
      <c r="G235" s="313">
        <v>9.5</v>
      </c>
      <c r="H235" s="313">
        <f t="shared" si="350"/>
        <v>2.83</v>
      </c>
      <c r="I235" s="617"/>
      <c r="J235" s="439"/>
      <c r="K235" s="618"/>
      <c r="L235" s="566" t="s">
        <v>167</v>
      </c>
    </row>
    <row r="236" spans="2:12">
      <c r="B236" s="26" t="s">
        <v>266</v>
      </c>
      <c r="C236" s="566" t="s">
        <v>167</v>
      </c>
      <c r="D236" s="311">
        <v>11</v>
      </c>
      <c r="E236" s="312">
        <v>2.44</v>
      </c>
      <c r="F236" s="311">
        <v>1</v>
      </c>
      <c r="G236" s="313">
        <v>6.6</v>
      </c>
      <c r="H236" s="313">
        <f t="shared" si="350"/>
        <v>6.83</v>
      </c>
      <c r="I236" s="610">
        <f t="shared" ref="I236" si="357">(H236+H237)/2</f>
        <v>6.83</v>
      </c>
      <c r="J236" s="611">
        <f t="shared" ref="J236" si="358">(H236-H237)*100/I236</f>
        <v>0</v>
      </c>
      <c r="K236" s="612">
        <f t="shared" ref="K236" si="359">H236-H237</f>
        <v>0</v>
      </c>
      <c r="L236" s="566" t="s">
        <v>167</v>
      </c>
    </row>
    <row r="237" spans="2:12">
      <c r="B237" s="33"/>
      <c r="C237" s="566" t="s">
        <v>167</v>
      </c>
      <c r="D237" s="311">
        <v>11</v>
      </c>
      <c r="E237" s="312">
        <v>2.44</v>
      </c>
      <c r="F237" s="311">
        <v>1</v>
      </c>
      <c r="G237" s="313">
        <v>6.6</v>
      </c>
      <c r="H237" s="313">
        <f t="shared" si="350"/>
        <v>6.83</v>
      </c>
      <c r="I237" s="617"/>
      <c r="J237" s="439"/>
      <c r="K237" s="618"/>
      <c r="L237" s="566" t="s">
        <v>167</v>
      </c>
    </row>
    <row r="238" spans="2:12">
      <c r="B238" s="26" t="s">
        <v>267</v>
      </c>
      <c r="C238" s="566" t="s">
        <v>167</v>
      </c>
      <c r="D238" s="311">
        <v>11</v>
      </c>
      <c r="E238" s="312">
        <v>4.0685</v>
      </c>
      <c r="F238" s="311">
        <v>1</v>
      </c>
      <c r="G238" s="313">
        <v>11.6</v>
      </c>
      <c r="H238" s="313">
        <f t="shared" ref="H238:H239" si="360">ROUND(D238*100*F238*100/E238/G238/1000,2)</f>
        <v>2.33</v>
      </c>
      <c r="I238" s="610">
        <f t="shared" ref="I238" si="361">(H238+H239)/2</f>
        <v>2.33</v>
      </c>
      <c r="J238" s="611">
        <f t="shared" ref="J238" si="362">(H238-H239)*100/I238</f>
        <v>0</v>
      </c>
      <c r="K238" s="612">
        <f t="shared" ref="K238" si="363">H238-H239</f>
        <v>0</v>
      </c>
      <c r="L238" s="566" t="s">
        <v>167</v>
      </c>
    </row>
    <row r="239" spans="2:12">
      <c r="B239" s="33"/>
      <c r="C239" s="566" t="s">
        <v>167</v>
      </c>
      <c r="D239" s="311">
        <v>11</v>
      </c>
      <c r="E239" s="312">
        <v>4.0685</v>
      </c>
      <c r="F239" s="311">
        <v>1</v>
      </c>
      <c r="G239" s="313">
        <v>11.6</v>
      </c>
      <c r="H239" s="313">
        <f t="shared" si="360"/>
        <v>2.33</v>
      </c>
      <c r="I239" s="617"/>
      <c r="J239" s="439"/>
      <c r="K239" s="618"/>
      <c r="L239" s="566" t="s">
        <v>167</v>
      </c>
    </row>
    <row r="240" spans="2:11">
      <c r="B240" s="26" t="s">
        <v>268</v>
      </c>
      <c r="D240" s="557">
        <v>11</v>
      </c>
      <c r="E240" s="312">
        <v>2.7727</v>
      </c>
      <c r="F240" s="311">
        <v>1</v>
      </c>
      <c r="G240" s="313">
        <v>9.3</v>
      </c>
      <c r="H240" s="313">
        <f t="shared" ref="H240:H255" si="364">ROUND(D240*100*F240*250/E240/G240/1000,2)</f>
        <v>10.66</v>
      </c>
      <c r="I240" s="610">
        <f t="shared" ref="I240:I244" si="365">(H240+H241)/2</f>
        <v>10.66</v>
      </c>
      <c r="J240" s="611">
        <f t="shared" ref="J240:J244" si="366">(H240-H241)*100/I240</f>
        <v>0</v>
      </c>
      <c r="K240" s="612">
        <f t="shared" ref="K240:K244" si="367">H240-H241</f>
        <v>0</v>
      </c>
    </row>
    <row r="241" spans="2:11">
      <c r="B241" s="33"/>
      <c r="D241" s="557">
        <v>11</v>
      </c>
      <c r="E241" s="312">
        <v>2.7727</v>
      </c>
      <c r="F241" s="311">
        <v>1</v>
      </c>
      <c r="G241" s="313">
        <v>9.3</v>
      </c>
      <c r="H241" s="313">
        <f t="shared" si="364"/>
        <v>10.66</v>
      </c>
      <c r="I241" s="617"/>
      <c r="J241" s="439"/>
      <c r="K241" s="618"/>
    </row>
    <row r="242" spans="1:12">
      <c r="A242"/>
      <c r="B242" s="26" t="s">
        <v>269</v>
      </c>
      <c r="C242" s="566" t="s">
        <v>167</v>
      </c>
      <c r="D242" s="311">
        <v>11</v>
      </c>
      <c r="E242" s="312">
        <v>4.0507</v>
      </c>
      <c r="F242" s="311">
        <v>1</v>
      </c>
      <c r="G242" s="311">
        <v>12.45</v>
      </c>
      <c r="H242" s="313">
        <f>ROUND(D242*100*F242*100/E242/G242/1000,2)</f>
        <v>2.18</v>
      </c>
      <c r="I242" s="610">
        <f t="shared" si="365"/>
        <v>2.18</v>
      </c>
      <c r="J242" s="611">
        <f t="shared" si="366"/>
        <v>0</v>
      </c>
      <c r="K242" s="612">
        <f t="shared" si="367"/>
        <v>0</v>
      </c>
      <c r="L242" s="566" t="s">
        <v>167</v>
      </c>
    </row>
    <row r="243" spans="1:12">
      <c r="A243"/>
      <c r="B243" s="33"/>
      <c r="C243" s="566" t="s">
        <v>167</v>
      </c>
      <c r="D243" s="311">
        <v>11</v>
      </c>
      <c r="E243" s="312">
        <v>4.0507</v>
      </c>
      <c r="F243" s="311">
        <v>1</v>
      </c>
      <c r="G243" s="313">
        <v>12.45</v>
      </c>
      <c r="H243" s="313">
        <f>ROUND(D243*100*F243*100/E243/G243/1000,2)</f>
        <v>2.18</v>
      </c>
      <c r="I243" s="617"/>
      <c r="J243" s="439"/>
      <c r="K243" s="618"/>
      <c r="L243" s="566" t="s">
        <v>167</v>
      </c>
    </row>
    <row r="244" spans="1:11">
      <c r="A244" s="508">
        <v>5.25</v>
      </c>
      <c r="B244" s="26" t="s">
        <v>270</v>
      </c>
      <c r="D244" s="557">
        <v>11.1</v>
      </c>
      <c r="E244" s="312">
        <v>8.3676</v>
      </c>
      <c r="F244" s="311">
        <v>1</v>
      </c>
      <c r="G244" s="313">
        <v>15.5</v>
      </c>
      <c r="H244" s="313">
        <f t="shared" si="364"/>
        <v>2.14</v>
      </c>
      <c r="I244" s="610">
        <f t="shared" si="365"/>
        <v>2.155</v>
      </c>
      <c r="J244" s="611">
        <f t="shared" si="366"/>
        <v>-1.3921113689095</v>
      </c>
      <c r="K244" s="612">
        <f t="shared" si="367"/>
        <v>-0.0299999999999998</v>
      </c>
    </row>
    <row r="245" spans="2:11">
      <c r="B245" s="33"/>
      <c r="D245" s="557">
        <v>11.1</v>
      </c>
      <c r="E245" s="312">
        <v>8.3676</v>
      </c>
      <c r="F245" s="311">
        <v>1</v>
      </c>
      <c r="G245" s="313">
        <v>15.3</v>
      </c>
      <c r="H245" s="313">
        <f t="shared" si="364"/>
        <v>2.17</v>
      </c>
      <c r="I245" s="617"/>
      <c r="J245" s="439"/>
      <c r="K245" s="618"/>
    </row>
    <row r="246" spans="2:11">
      <c r="B246" s="26" t="s">
        <v>271</v>
      </c>
      <c r="D246" s="557">
        <v>11.1</v>
      </c>
      <c r="E246" s="312">
        <v>8.1689</v>
      </c>
      <c r="F246" s="311">
        <v>1</v>
      </c>
      <c r="G246" s="313">
        <v>12.1</v>
      </c>
      <c r="H246" s="313">
        <f t="shared" si="364"/>
        <v>2.81</v>
      </c>
      <c r="I246" s="610">
        <f t="shared" ref="I246:I250" si="368">(H246+H247)/2</f>
        <v>2.82</v>
      </c>
      <c r="J246" s="611">
        <f t="shared" ref="J246:J250" si="369">(H246-H247)*100/I246</f>
        <v>-0.709219858156029</v>
      </c>
      <c r="K246" s="612">
        <f t="shared" ref="K246:K250" si="370">H246-H247</f>
        <v>-0.02</v>
      </c>
    </row>
    <row r="247" spans="2:11">
      <c r="B247" s="33"/>
      <c r="D247" s="557">
        <v>11.1</v>
      </c>
      <c r="E247" s="312">
        <v>8.1689</v>
      </c>
      <c r="F247" s="311">
        <v>1</v>
      </c>
      <c r="G247" s="313">
        <v>12</v>
      </c>
      <c r="H247" s="313">
        <f t="shared" si="364"/>
        <v>2.83</v>
      </c>
      <c r="I247" s="617"/>
      <c r="J247" s="439"/>
      <c r="K247" s="618"/>
    </row>
    <row r="248" spans="1:11">
      <c r="A248" s="508">
        <v>6.2</v>
      </c>
      <c r="B248" s="26" t="s">
        <v>272</v>
      </c>
      <c r="D248" s="557">
        <v>11.1</v>
      </c>
      <c r="E248" s="312">
        <v>10.0143</v>
      </c>
      <c r="F248" s="311">
        <v>1</v>
      </c>
      <c r="G248" s="313">
        <v>11.05</v>
      </c>
      <c r="H248" s="313">
        <f t="shared" si="364"/>
        <v>2.51</v>
      </c>
      <c r="I248" s="610">
        <f t="shared" si="368"/>
        <v>2.535</v>
      </c>
      <c r="J248" s="611">
        <f t="shared" si="369"/>
        <v>-1.97238658777121</v>
      </c>
      <c r="K248" s="612">
        <f t="shared" si="370"/>
        <v>-0.0500000000000003</v>
      </c>
    </row>
    <row r="249" spans="2:11">
      <c r="B249" s="33"/>
      <c r="D249" s="557">
        <v>11.1</v>
      </c>
      <c r="E249" s="312">
        <v>9.8544</v>
      </c>
      <c r="F249" s="311">
        <v>1</v>
      </c>
      <c r="G249" s="313">
        <v>11</v>
      </c>
      <c r="H249" s="313">
        <f t="shared" si="364"/>
        <v>2.56</v>
      </c>
      <c r="I249" s="617"/>
      <c r="J249" s="439"/>
      <c r="K249" s="618"/>
    </row>
    <row r="250" spans="2:11">
      <c r="B250" s="26" t="s">
        <v>273</v>
      </c>
      <c r="D250" s="557">
        <v>11.1</v>
      </c>
      <c r="E250" s="312">
        <v>5.3715</v>
      </c>
      <c r="F250" s="311">
        <v>1</v>
      </c>
      <c r="G250" s="313">
        <v>10.7</v>
      </c>
      <c r="H250" s="313">
        <f t="shared" si="364"/>
        <v>4.83</v>
      </c>
      <c r="I250" s="610">
        <f t="shared" si="368"/>
        <v>4.81</v>
      </c>
      <c r="J250" s="611">
        <f t="shared" si="369"/>
        <v>0.831600831600832</v>
      </c>
      <c r="K250" s="612">
        <f t="shared" si="370"/>
        <v>0.04</v>
      </c>
    </row>
    <row r="251" ht="42.95" customHeight="1" spans="2:11">
      <c r="B251" s="33"/>
      <c r="D251" s="557">
        <v>11.1</v>
      </c>
      <c r="E251" s="312">
        <v>6.296</v>
      </c>
      <c r="F251" s="311">
        <v>1</v>
      </c>
      <c r="G251" s="313">
        <v>9.2</v>
      </c>
      <c r="H251" s="313">
        <f t="shared" si="364"/>
        <v>4.79</v>
      </c>
      <c r="I251" s="617"/>
      <c r="J251" s="439"/>
      <c r="K251" s="618"/>
    </row>
    <row r="252" spans="2:11">
      <c r="B252" s="26" t="s">
        <v>272</v>
      </c>
      <c r="D252" s="557">
        <v>11.1</v>
      </c>
      <c r="E252" s="312">
        <v>10</v>
      </c>
      <c r="F252" s="311">
        <v>1</v>
      </c>
      <c r="G252" s="313">
        <v>11.05</v>
      </c>
      <c r="H252" s="313">
        <f t="shared" si="364"/>
        <v>2.51</v>
      </c>
      <c r="I252" s="610">
        <f t="shared" ref="I252:I256" si="371">(H252+H253)/2</f>
        <v>2.515</v>
      </c>
      <c r="J252" s="611">
        <f t="shared" ref="J252:J256" si="372">(H252-H253)*100/I252</f>
        <v>-0.397614314115317</v>
      </c>
      <c r="K252" s="612">
        <f t="shared" ref="K252:K256" si="373">H252-H253</f>
        <v>-0.0100000000000002</v>
      </c>
    </row>
    <row r="253" spans="2:11">
      <c r="B253" s="33"/>
      <c r="D253" s="557">
        <v>11.1</v>
      </c>
      <c r="E253" s="312">
        <v>10</v>
      </c>
      <c r="F253" s="311">
        <v>1</v>
      </c>
      <c r="G253" s="313">
        <v>11</v>
      </c>
      <c r="H253" s="313">
        <f t="shared" si="364"/>
        <v>2.52</v>
      </c>
      <c r="I253" s="617"/>
      <c r="J253" s="439"/>
      <c r="K253" s="618"/>
    </row>
    <row r="254" spans="2:11">
      <c r="B254" s="26" t="s">
        <v>273</v>
      </c>
      <c r="D254" s="557">
        <v>11.1</v>
      </c>
      <c r="E254" s="312">
        <v>10</v>
      </c>
      <c r="F254" s="311">
        <v>1</v>
      </c>
      <c r="G254" s="313">
        <v>5.85</v>
      </c>
      <c r="H254" s="313">
        <f t="shared" si="364"/>
        <v>4.74</v>
      </c>
      <c r="I254" s="610">
        <f t="shared" si="371"/>
        <v>4.76</v>
      </c>
      <c r="J254" s="611">
        <f t="shared" si="372"/>
        <v>-0.840336134453782</v>
      </c>
      <c r="K254" s="612">
        <f t="shared" si="373"/>
        <v>-0.04</v>
      </c>
    </row>
    <row r="255" spans="2:11">
      <c r="B255" s="33"/>
      <c r="D255" s="557">
        <v>11.1</v>
      </c>
      <c r="E255" s="312">
        <v>10</v>
      </c>
      <c r="F255" s="311">
        <v>1</v>
      </c>
      <c r="G255" s="313">
        <v>5.8</v>
      </c>
      <c r="H255" s="313">
        <f t="shared" si="364"/>
        <v>4.78</v>
      </c>
      <c r="I255" s="617"/>
      <c r="J255" s="439"/>
      <c r="K255" s="618"/>
    </row>
    <row r="256" spans="2:11">
      <c r="B256" s="26" t="s">
        <v>274</v>
      </c>
      <c r="C256" s="566" t="s">
        <v>167</v>
      </c>
      <c r="D256" s="557">
        <v>11.1</v>
      </c>
      <c r="E256" s="312">
        <v>10</v>
      </c>
      <c r="F256" s="311">
        <v>1</v>
      </c>
      <c r="G256" s="313">
        <v>12.1</v>
      </c>
      <c r="H256" s="313">
        <f>ROUND(D256*100*F256*100/E256/G256/1000,2)</f>
        <v>0.92</v>
      </c>
      <c r="I256" s="610">
        <f t="shared" si="371"/>
        <v>0.925</v>
      </c>
      <c r="J256" s="611">
        <f t="shared" si="372"/>
        <v>-1.08108108108108</v>
      </c>
      <c r="K256" s="612">
        <f t="shared" si="373"/>
        <v>-0.01</v>
      </c>
    </row>
    <row r="257" spans="2:11">
      <c r="B257" s="33"/>
      <c r="C257" s="566" t="s">
        <v>167</v>
      </c>
      <c r="D257" s="557">
        <v>11.1</v>
      </c>
      <c r="E257" s="312">
        <v>10</v>
      </c>
      <c r="F257" s="311">
        <v>1</v>
      </c>
      <c r="G257" s="313">
        <v>12</v>
      </c>
      <c r="H257" s="313">
        <f>ROUND(D257*100*F257*100/E257/G257/1000,2)</f>
        <v>0.93</v>
      </c>
      <c r="I257" s="617"/>
      <c r="J257" s="439"/>
      <c r="K257" s="618"/>
    </row>
    <row r="258" spans="1:11">
      <c r="A258" s="508">
        <v>6.6</v>
      </c>
      <c r="B258" s="26" t="s">
        <v>275</v>
      </c>
      <c r="D258" s="557">
        <v>11.1</v>
      </c>
      <c r="E258" s="312">
        <v>2.8498</v>
      </c>
      <c r="F258" s="311">
        <v>2</v>
      </c>
      <c r="G258" s="313">
        <v>8.2</v>
      </c>
      <c r="H258" s="313">
        <f t="shared" ref="H258:H263" si="374">ROUND(D258*100*F258*250/E258/G258/1000,2)</f>
        <v>23.75</v>
      </c>
      <c r="I258" s="610">
        <f t="shared" ref="I258:I262" si="375">(H258+H259)/2</f>
        <v>23.46</v>
      </c>
      <c r="J258" s="611">
        <f t="shared" ref="J258:J262" si="376">(H258-H259)*100/I258</f>
        <v>2.47229326513213</v>
      </c>
      <c r="K258" s="612">
        <f t="shared" ref="K258:K262" si="377">H258-H259</f>
        <v>0.579999999999998</v>
      </c>
    </row>
    <row r="259" ht="24" customHeight="1" spans="2:11">
      <c r="B259" s="33"/>
      <c r="D259" s="557">
        <v>11.1</v>
      </c>
      <c r="E259" s="312">
        <v>2.5617</v>
      </c>
      <c r="F259" s="311">
        <v>2</v>
      </c>
      <c r="G259" s="313">
        <v>9.35</v>
      </c>
      <c r="H259" s="313">
        <f t="shared" si="374"/>
        <v>23.17</v>
      </c>
      <c r="I259" s="617"/>
      <c r="J259" s="439"/>
      <c r="K259" s="618"/>
    </row>
    <row r="260" spans="1:11">
      <c r="A260" s="508">
        <v>6.1</v>
      </c>
      <c r="B260" s="26" t="s">
        <v>276</v>
      </c>
      <c r="D260" s="557">
        <v>11</v>
      </c>
      <c r="E260" s="312">
        <v>3.0062</v>
      </c>
      <c r="F260" s="311">
        <v>2</v>
      </c>
      <c r="G260" s="313">
        <v>7.15</v>
      </c>
      <c r="H260" s="313">
        <f t="shared" si="374"/>
        <v>25.59</v>
      </c>
      <c r="I260" s="610">
        <f t="shared" si="375"/>
        <v>25.62</v>
      </c>
      <c r="J260" s="611">
        <f t="shared" si="376"/>
        <v>-0.234192037470721</v>
      </c>
      <c r="K260" s="612">
        <f t="shared" si="377"/>
        <v>-0.0599999999999987</v>
      </c>
    </row>
    <row r="261" spans="2:11">
      <c r="B261" s="33"/>
      <c r="D261" s="557">
        <v>11</v>
      </c>
      <c r="E261" s="312">
        <v>2.958</v>
      </c>
      <c r="F261" s="311">
        <v>2</v>
      </c>
      <c r="G261" s="313">
        <v>7.25</v>
      </c>
      <c r="H261" s="313">
        <f t="shared" si="374"/>
        <v>25.65</v>
      </c>
      <c r="I261" s="617"/>
      <c r="J261" s="439"/>
      <c r="K261" s="618"/>
    </row>
    <row r="262" spans="2:11">
      <c r="B262" s="26" t="s">
        <v>277</v>
      </c>
      <c r="D262" s="557">
        <v>11</v>
      </c>
      <c r="E262" s="312">
        <v>2.0012</v>
      </c>
      <c r="F262" s="311">
        <v>1</v>
      </c>
      <c r="G262" s="313">
        <v>9.15</v>
      </c>
      <c r="H262" s="313">
        <f t="shared" si="374"/>
        <v>15.02</v>
      </c>
      <c r="I262" s="610">
        <f t="shared" si="375"/>
        <v>14.84</v>
      </c>
      <c r="J262" s="611">
        <f t="shared" si="376"/>
        <v>2.42587601078167</v>
      </c>
      <c r="K262" s="612">
        <f t="shared" si="377"/>
        <v>0.359999999999999</v>
      </c>
    </row>
    <row r="263" spans="2:11">
      <c r="B263" s="33"/>
      <c r="D263" s="557">
        <v>11</v>
      </c>
      <c r="E263" s="312">
        <v>2.1084</v>
      </c>
      <c r="F263" s="311">
        <v>1</v>
      </c>
      <c r="G263" s="313">
        <v>8.9</v>
      </c>
      <c r="H263" s="313">
        <f t="shared" si="374"/>
        <v>14.66</v>
      </c>
      <c r="I263" s="617"/>
      <c r="J263" s="439"/>
      <c r="K263" s="618"/>
    </row>
    <row r="264" spans="2:11">
      <c r="B264" s="26" t="s">
        <v>278</v>
      </c>
      <c r="C264" s="566" t="s">
        <v>167</v>
      </c>
      <c r="D264" s="557">
        <v>11</v>
      </c>
      <c r="E264" s="312">
        <v>4.1912</v>
      </c>
      <c r="F264" s="311">
        <v>1</v>
      </c>
      <c r="G264" s="313">
        <v>11.3</v>
      </c>
      <c r="H264" s="313">
        <f>ROUND(D264*100*F264*100/E264/G264/1000,2)</f>
        <v>2.32</v>
      </c>
      <c r="I264" s="610">
        <f>(H264+H265)/2</f>
        <v>2.32</v>
      </c>
      <c r="J264" s="611">
        <f>(H264-H265)*100/I264</f>
        <v>0</v>
      </c>
      <c r="K264" s="612">
        <f>H264-H265</f>
        <v>0</v>
      </c>
    </row>
    <row r="265" spans="2:11">
      <c r="B265" s="33"/>
      <c r="C265" s="566" t="s">
        <v>167</v>
      </c>
      <c r="D265" s="557">
        <v>11</v>
      </c>
      <c r="E265" s="312">
        <v>4.1912</v>
      </c>
      <c r="F265" s="311">
        <v>1</v>
      </c>
      <c r="G265" s="313">
        <v>11.3</v>
      </c>
      <c r="H265" s="313">
        <f>ROUND(D265*100*F265*100/E265/G265/1000,2)</f>
        <v>2.32</v>
      </c>
      <c r="I265" s="617"/>
      <c r="J265" s="439"/>
      <c r="K265" s="618"/>
    </row>
    <row r="266" spans="1:11">
      <c r="A266" s="508">
        <v>6.25</v>
      </c>
      <c r="B266" s="26" t="s">
        <v>279</v>
      </c>
      <c r="D266" s="557">
        <v>10.95</v>
      </c>
      <c r="E266" s="312">
        <v>0.7087</v>
      </c>
      <c r="F266" s="311">
        <v>1</v>
      </c>
      <c r="G266" s="313">
        <v>14.5</v>
      </c>
      <c r="H266" s="313">
        <f t="shared" ref="H266:H270" si="378">ROUND(D266*100*F266*250/E266/G266/1000,2)</f>
        <v>26.64</v>
      </c>
      <c r="I266" s="611">
        <f t="shared" ref="I266" si="379">(H266+H267)/2</f>
        <v>26.48</v>
      </c>
      <c r="J266" s="611">
        <f t="shared" ref="J266" si="380">(H266-H267)*100/I266</f>
        <v>1.20845921450151</v>
      </c>
      <c r="K266" s="612">
        <f t="shared" ref="K266" si="381">H266-H267</f>
        <v>0.32</v>
      </c>
    </row>
    <row r="267" spans="2:11">
      <c r="B267" s="33"/>
      <c r="D267" s="557">
        <v>10.95</v>
      </c>
      <c r="E267" s="312">
        <v>0.8002</v>
      </c>
      <c r="F267" s="311">
        <v>1</v>
      </c>
      <c r="G267" s="313">
        <v>13</v>
      </c>
      <c r="H267" s="313">
        <f t="shared" si="378"/>
        <v>26.32</v>
      </c>
      <c r="I267" s="439"/>
      <c r="J267" s="439"/>
      <c r="K267" s="618"/>
    </row>
    <row r="268" spans="2:11">
      <c r="B268" s="26" t="s">
        <v>280</v>
      </c>
      <c r="D268" s="557">
        <v>10.95</v>
      </c>
      <c r="E268" s="312">
        <v>1.7628</v>
      </c>
      <c r="F268" s="311">
        <v>1</v>
      </c>
      <c r="G268" s="313">
        <v>6.55</v>
      </c>
      <c r="H268" s="313">
        <f t="shared" si="378"/>
        <v>23.71</v>
      </c>
      <c r="I268" s="611">
        <f t="shared" ref="I268" si="382">(H268+H269)/2</f>
        <v>23.575</v>
      </c>
      <c r="J268" s="611">
        <f t="shared" ref="J268" si="383">(H268-H269)*100/I268</f>
        <v>1.14528101802757</v>
      </c>
      <c r="K268" s="612">
        <f t="shared" ref="K268" si="384">H268-H269</f>
        <v>0.27</v>
      </c>
    </row>
    <row r="269" spans="2:11">
      <c r="B269" s="33"/>
      <c r="D269" s="557">
        <v>10.95</v>
      </c>
      <c r="E269" s="312">
        <v>1.5569</v>
      </c>
      <c r="F269" s="311">
        <v>1</v>
      </c>
      <c r="G269" s="313">
        <v>7.5</v>
      </c>
      <c r="H269" s="313">
        <f t="shared" si="378"/>
        <v>23.44</v>
      </c>
      <c r="I269" s="439"/>
      <c r="J269" s="439"/>
      <c r="K269" s="618"/>
    </row>
    <row r="270" spans="1:11">
      <c r="A270" s="508">
        <v>6.3</v>
      </c>
      <c r="B270" s="26" t="s">
        <v>281</v>
      </c>
      <c r="D270" s="557">
        <v>11</v>
      </c>
      <c r="E270" s="312">
        <v>2.5011</v>
      </c>
      <c r="F270" s="311">
        <v>4</v>
      </c>
      <c r="G270" s="313">
        <v>9.9</v>
      </c>
      <c r="H270" s="313">
        <f t="shared" si="378"/>
        <v>44.42</v>
      </c>
      <c r="I270" s="611">
        <f t="shared" ref="I270" si="385">(H270+H271)/2</f>
        <v>44.455</v>
      </c>
      <c r="J270" s="611">
        <f t="shared" ref="J270" si="386">(H270-H271)*100/I270</f>
        <v>-0.157462602631876</v>
      </c>
      <c r="K270" s="612">
        <f t="shared" ref="K270" si="387">H270-H271</f>
        <v>-0.0700000000000003</v>
      </c>
    </row>
    <row r="271" spans="2:11">
      <c r="B271" s="33"/>
      <c r="D271" s="557">
        <v>11</v>
      </c>
      <c r="E271" s="312">
        <v>2.6301</v>
      </c>
      <c r="F271" s="311">
        <v>4</v>
      </c>
      <c r="G271" s="313">
        <v>9.4</v>
      </c>
      <c r="H271" s="313">
        <f t="shared" ref="H271:H281" si="388">ROUND(D271*100*F271*250/E271/G271/1000,2)</f>
        <v>44.49</v>
      </c>
      <c r="I271" s="439"/>
      <c r="J271" s="439"/>
      <c r="K271" s="618"/>
    </row>
    <row r="272" spans="1:11">
      <c r="A272" s="508">
        <v>7.2</v>
      </c>
      <c r="B272" s="26" t="s">
        <v>282</v>
      </c>
      <c r="D272" s="557">
        <v>11</v>
      </c>
      <c r="E272" s="312">
        <v>2.2895</v>
      </c>
      <c r="F272" s="311">
        <v>2</v>
      </c>
      <c r="G272" s="313">
        <v>8.7</v>
      </c>
      <c r="H272" s="313">
        <f t="shared" si="388"/>
        <v>27.61</v>
      </c>
      <c r="I272" s="611">
        <f t="shared" ref="I272:I276" si="389">(H272+H273)/2</f>
        <v>27.76</v>
      </c>
      <c r="J272" s="611">
        <f t="shared" ref="J272:J276" si="390">(H272-H273)*100/I272</f>
        <v>-1.0806916426513</v>
      </c>
      <c r="K272" s="611">
        <f t="shared" ref="K272:K276" si="391">H272-H273</f>
        <v>-0.300000000000001</v>
      </c>
    </row>
    <row r="273" spans="2:11">
      <c r="B273" s="33"/>
      <c r="D273" s="557">
        <v>11</v>
      </c>
      <c r="E273" s="312">
        <v>2.2021</v>
      </c>
      <c r="F273" s="311">
        <v>2</v>
      </c>
      <c r="G273" s="313">
        <v>8.95</v>
      </c>
      <c r="H273" s="313">
        <f t="shared" si="388"/>
        <v>27.91</v>
      </c>
      <c r="I273" s="439"/>
      <c r="J273" s="439"/>
      <c r="K273" s="439"/>
    </row>
    <row r="274" spans="2:11">
      <c r="B274" s="26" t="s">
        <v>283</v>
      </c>
      <c r="D274" s="557">
        <v>11</v>
      </c>
      <c r="E274" s="312">
        <v>2.3587</v>
      </c>
      <c r="F274" s="311">
        <v>2</v>
      </c>
      <c r="G274" s="313">
        <v>8.8</v>
      </c>
      <c r="H274" s="313">
        <f t="shared" si="388"/>
        <v>26.5</v>
      </c>
      <c r="I274" s="611">
        <f t="shared" si="389"/>
        <v>26.65</v>
      </c>
      <c r="J274" s="611">
        <f t="shared" si="390"/>
        <v>-1.12570356472796</v>
      </c>
      <c r="K274" s="611">
        <f t="shared" si="391"/>
        <v>-0.300000000000001</v>
      </c>
    </row>
    <row r="275" spans="2:11">
      <c r="B275" s="33"/>
      <c r="D275" s="557">
        <v>11</v>
      </c>
      <c r="E275" s="312">
        <v>2.1952</v>
      </c>
      <c r="F275" s="311">
        <v>2</v>
      </c>
      <c r="G275" s="313">
        <v>9.35</v>
      </c>
      <c r="H275" s="313">
        <f t="shared" si="388"/>
        <v>26.8</v>
      </c>
      <c r="I275" s="439"/>
      <c r="J275" s="439"/>
      <c r="K275" s="439"/>
    </row>
    <row r="276" spans="1:11">
      <c r="A276" s="508">
        <v>7.2</v>
      </c>
      <c r="B276" s="26" t="s">
        <v>284</v>
      </c>
      <c r="D276" s="557">
        <v>11</v>
      </c>
      <c r="E276" s="312">
        <v>5.1873</v>
      </c>
      <c r="F276" s="311">
        <v>4</v>
      </c>
      <c r="G276" s="313">
        <v>5.65</v>
      </c>
      <c r="H276" s="313">
        <f t="shared" si="388"/>
        <v>37.53</v>
      </c>
      <c r="I276" s="611">
        <f t="shared" si="389"/>
        <v>37.85</v>
      </c>
      <c r="J276" s="611">
        <f t="shared" si="390"/>
        <v>-1.69088507265522</v>
      </c>
      <c r="K276" s="611">
        <f t="shared" si="391"/>
        <v>-0.640000000000001</v>
      </c>
    </row>
    <row r="277" spans="2:11">
      <c r="B277" s="33"/>
      <c r="D277" s="557">
        <v>11</v>
      </c>
      <c r="E277" s="312">
        <v>5.0124</v>
      </c>
      <c r="F277" s="311">
        <v>4</v>
      </c>
      <c r="G277" s="313">
        <v>5.75</v>
      </c>
      <c r="H277" s="313">
        <f t="shared" si="388"/>
        <v>38.17</v>
      </c>
      <c r="I277" s="439"/>
      <c r="J277" s="439"/>
      <c r="K277" s="439"/>
    </row>
    <row r="278" spans="2:11">
      <c r="B278" s="26" t="s">
        <v>285</v>
      </c>
      <c r="D278" s="557">
        <v>11</v>
      </c>
      <c r="E278" s="312">
        <v>5.7538</v>
      </c>
      <c r="F278" s="311">
        <v>4</v>
      </c>
      <c r="G278" s="313">
        <v>6.55</v>
      </c>
      <c r="H278" s="313">
        <f t="shared" si="388"/>
        <v>29.19</v>
      </c>
      <c r="I278" s="611">
        <f t="shared" ref="I278:I282" si="392">(H278+H279)/2</f>
        <v>29.175</v>
      </c>
      <c r="J278" s="611">
        <f t="shared" ref="J278:J282" si="393">(H278-H279)*100/I278</f>
        <v>0.102827763496148</v>
      </c>
      <c r="K278" s="611">
        <f t="shared" ref="K278:K282" si="394">H278-H279</f>
        <v>0.0300000000000011</v>
      </c>
    </row>
    <row r="279" spans="2:11">
      <c r="B279" s="33"/>
      <c r="D279" s="557">
        <v>11</v>
      </c>
      <c r="E279" s="312">
        <v>5.2039</v>
      </c>
      <c r="F279" s="311">
        <v>4</v>
      </c>
      <c r="G279" s="313">
        <v>7.25</v>
      </c>
      <c r="H279" s="313">
        <f t="shared" si="388"/>
        <v>29.16</v>
      </c>
      <c r="I279" s="439"/>
      <c r="J279" s="439"/>
      <c r="K279" s="439"/>
    </row>
    <row r="280" spans="1:11">
      <c r="A280" s="508">
        <v>7.4</v>
      </c>
      <c r="B280" s="26" t="s">
        <v>286</v>
      </c>
      <c r="D280" s="557">
        <v>11</v>
      </c>
      <c r="E280" s="312">
        <v>2.6245</v>
      </c>
      <c r="F280" s="311">
        <v>1</v>
      </c>
      <c r="G280" s="313">
        <v>8.6</v>
      </c>
      <c r="H280" s="313">
        <f t="shared" si="388"/>
        <v>12.18</v>
      </c>
      <c r="I280" s="611">
        <f t="shared" si="392"/>
        <v>12.18</v>
      </c>
      <c r="J280" s="611">
        <f t="shared" si="393"/>
        <v>0</v>
      </c>
      <c r="K280" s="611">
        <f t="shared" si="394"/>
        <v>0</v>
      </c>
    </row>
    <row r="281" spans="2:11">
      <c r="B281" s="33"/>
      <c r="D281" s="557">
        <v>11</v>
      </c>
      <c r="E281" s="312">
        <v>2.6245</v>
      </c>
      <c r="F281" s="311">
        <v>1</v>
      </c>
      <c r="G281" s="313">
        <v>8.6</v>
      </c>
      <c r="H281" s="313">
        <f t="shared" si="388"/>
        <v>12.18</v>
      </c>
      <c r="I281" s="439"/>
      <c r="J281" s="439"/>
      <c r="K281" s="439"/>
    </row>
    <row r="282" spans="2:11">
      <c r="B282" s="26" t="s">
        <v>287</v>
      </c>
      <c r="C282" s="566" t="s">
        <v>167</v>
      </c>
      <c r="D282" s="557">
        <v>11</v>
      </c>
      <c r="E282" s="312">
        <v>5.1463</v>
      </c>
      <c r="F282" s="311">
        <v>1</v>
      </c>
      <c r="G282" s="313">
        <v>11.3</v>
      </c>
      <c r="H282" s="313">
        <f>ROUND(D282*100*F282*100/E282/G282/1000,2)</f>
        <v>1.89</v>
      </c>
      <c r="I282" s="611">
        <f t="shared" si="392"/>
        <v>1.89</v>
      </c>
      <c r="J282" s="611">
        <f t="shared" si="393"/>
        <v>0</v>
      </c>
      <c r="K282" s="611">
        <f t="shared" si="394"/>
        <v>0</v>
      </c>
    </row>
    <row r="283" spans="2:11">
      <c r="B283" s="33"/>
      <c r="C283" s="566" t="s">
        <v>167</v>
      </c>
      <c r="D283" s="557">
        <v>11</v>
      </c>
      <c r="E283" s="312">
        <v>5.1463</v>
      </c>
      <c r="F283" s="311">
        <v>1</v>
      </c>
      <c r="G283" s="313">
        <v>11.3</v>
      </c>
      <c r="H283" s="313">
        <f>ROUND(D283*100*F283*100/E283/G283/1000,2)</f>
        <v>1.89</v>
      </c>
      <c r="I283" s="439"/>
      <c r="J283" s="439"/>
      <c r="K283" s="439"/>
    </row>
    <row r="284" spans="1:11">
      <c r="A284" s="508">
        <v>7.6</v>
      </c>
      <c r="B284" s="26" t="s">
        <v>288</v>
      </c>
      <c r="D284" s="557">
        <v>11</v>
      </c>
      <c r="E284" s="312">
        <v>2.506</v>
      </c>
      <c r="F284" s="311">
        <v>1</v>
      </c>
      <c r="G284" s="313">
        <v>11.9</v>
      </c>
      <c r="H284" s="313">
        <f t="shared" ref="H284:H291" si="395">ROUND(D284*100*F284*250/E284/G284/1000,2)</f>
        <v>9.22</v>
      </c>
      <c r="I284" s="611">
        <f t="shared" ref="I284:I288" si="396">(H284+H285)/2</f>
        <v>9.22</v>
      </c>
      <c r="J284" s="611">
        <f t="shared" ref="J284:J288" si="397">(H284-H285)*100/I284</f>
        <v>0</v>
      </c>
      <c r="K284" s="611">
        <f t="shared" ref="K284:K288" si="398">H284-H285</f>
        <v>0</v>
      </c>
    </row>
    <row r="285" spans="2:11">
      <c r="B285" s="33"/>
      <c r="D285" s="557">
        <v>11</v>
      </c>
      <c r="E285" s="312">
        <v>2.506</v>
      </c>
      <c r="F285" s="311">
        <v>1</v>
      </c>
      <c r="G285" s="313">
        <v>11.9</v>
      </c>
      <c r="H285" s="313">
        <f t="shared" si="395"/>
        <v>9.22</v>
      </c>
      <c r="I285" s="439"/>
      <c r="J285" s="439"/>
      <c r="K285" s="439"/>
    </row>
    <row r="286" spans="2:11">
      <c r="B286" s="26" t="s">
        <v>289</v>
      </c>
      <c r="D286" s="557">
        <v>11</v>
      </c>
      <c r="E286" s="312">
        <v>2.429</v>
      </c>
      <c r="F286" s="311">
        <v>1</v>
      </c>
      <c r="G286" s="313">
        <v>7.5</v>
      </c>
      <c r="H286" s="313">
        <f t="shared" si="395"/>
        <v>15.1</v>
      </c>
      <c r="I286" s="611">
        <f t="shared" si="396"/>
        <v>15.1</v>
      </c>
      <c r="J286" s="611">
        <f t="shared" si="397"/>
        <v>0</v>
      </c>
      <c r="K286" s="611">
        <f t="shared" si="398"/>
        <v>0</v>
      </c>
    </row>
    <row r="287" spans="2:11">
      <c r="B287" s="33"/>
      <c r="D287" s="557">
        <v>11</v>
      </c>
      <c r="E287" s="312">
        <v>2.429</v>
      </c>
      <c r="F287" s="311">
        <v>1</v>
      </c>
      <c r="G287" s="313">
        <v>7.5</v>
      </c>
      <c r="H287" s="313">
        <f t="shared" si="395"/>
        <v>15.1</v>
      </c>
      <c r="I287" s="439"/>
      <c r="J287" s="439"/>
      <c r="K287" s="439"/>
    </row>
    <row r="288" spans="2:11">
      <c r="B288" s="26" t="s">
        <v>290</v>
      </c>
      <c r="D288" s="557">
        <v>11</v>
      </c>
      <c r="E288" s="312">
        <v>2.563</v>
      </c>
      <c r="F288" s="311">
        <v>1</v>
      </c>
      <c r="G288" s="313">
        <v>9.4</v>
      </c>
      <c r="H288" s="313">
        <f t="shared" si="395"/>
        <v>11.41</v>
      </c>
      <c r="I288" s="611">
        <f t="shared" si="396"/>
        <v>11.41</v>
      </c>
      <c r="J288" s="611">
        <f t="shared" si="397"/>
        <v>0</v>
      </c>
      <c r="K288" s="611">
        <f t="shared" si="398"/>
        <v>0</v>
      </c>
    </row>
    <row r="289" spans="2:11">
      <c r="B289" s="33"/>
      <c r="D289" s="557">
        <v>11</v>
      </c>
      <c r="E289" s="312">
        <v>2.563</v>
      </c>
      <c r="F289" s="311">
        <v>1</v>
      </c>
      <c r="G289" s="313">
        <v>9.4</v>
      </c>
      <c r="H289" s="313">
        <f t="shared" si="395"/>
        <v>11.41</v>
      </c>
      <c r="I289" s="439"/>
      <c r="J289" s="439"/>
      <c r="K289" s="439"/>
    </row>
    <row r="290" spans="2:11">
      <c r="B290" s="26" t="s">
        <v>291</v>
      </c>
      <c r="D290" s="557">
        <v>11</v>
      </c>
      <c r="E290" s="312">
        <v>2.6108</v>
      </c>
      <c r="F290" s="311">
        <v>1</v>
      </c>
      <c r="G290" s="313">
        <v>8.5</v>
      </c>
      <c r="H290" s="313">
        <f t="shared" si="395"/>
        <v>12.39</v>
      </c>
      <c r="I290" s="611">
        <f>(H290+H291)/2</f>
        <v>12.39</v>
      </c>
      <c r="J290" s="611">
        <f>(H290-H291)*100/I290</f>
        <v>0</v>
      </c>
      <c r="K290" s="611">
        <f>H290-H291</f>
        <v>0</v>
      </c>
    </row>
    <row r="291" spans="2:11">
      <c r="B291" s="33"/>
      <c r="D291" s="557">
        <v>11</v>
      </c>
      <c r="E291" s="312">
        <v>2.6108</v>
      </c>
      <c r="F291" s="311">
        <v>1</v>
      </c>
      <c r="G291" s="313">
        <v>8.5</v>
      </c>
      <c r="H291" s="313">
        <f t="shared" si="395"/>
        <v>12.39</v>
      </c>
      <c r="I291" s="439"/>
      <c r="J291" s="439"/>
      <c r="K291" s="439"/>
    </row>
    <row r="293" spans="2:11">
      <c r="B293" s="419" t="s">
        <v>292</v>
      </c>
      <c r="C293" s="417"/>
      <c r="D293" s="557">
        <v>11</v>
      </c>
      <c r="E293" s="312">
        <v>2.5862</v>
      </c>
      <c r="F293" s="311">
        <v>1</v>
      </c>
      <c r="G293" s="313">
        <v>9.8</v>
      </c>
      <c r="H293" s="313">
        <f>ROUND(D293*100*F293*250/E293/G293/1000,2)</f>
        <v>10.85</v>
      </c>
      <c r="I293" s="611">
        <f>(H293+H294)/2</f>
        <v>10.85</v>
      </c>
      <c r="J293" s="611">
        <f>(H293-H294)*100/I293</f>
        <v>0</v>
      </c>
      <c r="K293" s="611">
        <f>H293-H294</f>
        <v>0</v>
      </c>
    </row>
    <row r="294" spans="2:11">
      <c r="B294" s="227"/>
      <c r="C294" s="418"/>
      <c r="D294" s="557">
        <v>11</v>
      </c>
      <c r="E294" s="312">
        <v>2.5862</v>
      </c>
      <c r="F294" s="311">
        <v>1</v>
      </c>
      <c r="G294" s="313">
        <v>9.8</v>
      </c>
      <c r="H294" s="313">
        <f>ROUND(D294*100*F294*250/E294/G294/1000,2)</f>
        <v>10.85</v>
      </c>
      <c r="I294" s="439"/>
      <c r="J294" s="439"/>
      <c r="K294" s="439"/>
    </row>
    <row r="295" spans="2:11">
      <c r="B295" s="419" t="s">
        <v>293</v>
      </c>
      <c r="C295" s="417"/>
      <c r="D295" s="557">
        <v>11</v>
      </c>
      <c r="E295" s="312">
        <v>2.6283</v>
      </c>
      <c r="F295" s="311">
        <v>1</v>
      </c>
      <c r="G295" s="313">
        <v>11.2</v>
      </c>
      <c r="H295" s="313">
        <f t="shared" ref="H295:H334" si="399">ROUND(D295*100*F295*250/E295/G295/1000,2)</f>
        <v>9.34</v>
      </c>
      <c r="I295" s="611">
        <f>(H295+H296)/2</f>
        <v>9.36</v>
      </c>
      <c r="J295" s="611">
        <f>(H295-H296)*100/I295</f>
        <v>-0.427350427350437</v>
      </c>
      <c r="K295" s="611">
        <f>H295-H296</f>
        <v>-0.0400000000000009</v>
      </c>
    </row>
    <row r="296" spans="2:11">
      <c r="B296" s="227"/>
      <c r="C296" s="418"/>
      <c r="D296" s="557">
        <v>11</v>
      </c>
      <c r="E296" s="312">
        <v>2.6183</v>
      </c>
      <c r="F296" s="311">
        <v>1</v>
      </c>
      <c r="G296" s="313">
        <v>11.2</v>
      </c>
      <c r="H296" s="313">
        <f t="shared" si="399"/>
        <v>9.38</v>
      </c>
      <c r="I296" s="439"/>
      <c r="J296" s="439"/>
      <c r="K296" s="439"/>
    </row>
    <row r="297" spans="2:11">
      <c r="B297" s="419" t="s">
        <v>294</v>
      </c>
      <c r="C297" s="417"/>
      <c r="D297" s="557">
        <v>11</v>
      </c>
      <c r="E297" s="312">
        <v>2.5562</v>
      </c>
      <c r="F297" s="311">
        <v>1</v>
      </c>
      <c r="G297" s="313">
        <v>8.2</v>
      </c>
      <c r="H297" s="313">
        <f t="shared" si="399"/>
        <v>13.12</v>
      </c>
      <c r="I297" s="611">
        <f>(H297+H298)/2</f>
        <v>13.12</v>
      </c>
      <c r="J297" s="611">
        <f>(H297-H298)*100/I297</f>
        <v>0</v>
      </c>
      <c r="K297" s="611">
        <f>H297-H298</f>
        <v>0</v>
      </c>
    </row>
    <row r="298" spans="2:11">
      <c r="B298" s="227"/>
      <c r="C298" s="418"/>
      <c r="D298" s="557">
        <v>11</v>
      </c>
      <c r="E298" s="312">
        <v>2.5562</v>
      </c>
      <c r="F298" s="311">
        <v>1</v>
      </c>
      <c r="G298" s="313">
        <v>8.2</v>
      </c>
      <c r="H298" s="313">
        <f t="shared" si="399"/>
        <v>13.12</v>
      </c>
      <c r="I298" s="439"/>
      <c r="J298" s="439"/>
      <c r="K298" s="439"/>
    </row>
    <row r="299" spans="2:11">
      <c r="B299" s="419" t="s">
        <v>295</v>
      </c>
      <c r="C299" s="417"/>
      <c r="D299" s="557">
        <v>11</v>
      </c>
      <c r="E299" s="312">
        <v>2.5623</v>
      </c>
      <c r="F299" s="311">
        <v>1</v>
      </c>
      <c r="G299" s="313">
        <v>11.3</v>
      </c>
      <c r="H299" s="313">
        <f t="shared" si="399"/>
        <v>9.5</v>
      </c>
      <c r="I299" s="611">
        <f>(H299+H300)/2</f>
        <v>9.5</v>
      </c>
      <c r="J299" s="611">
        <f>(H299-H300)*100/I299</f>
        <v>0</v>
      </c>
      <c r="K299" s="611">
        <f>H299-H300</f>
        <v>0</v>
      </c>
    </row>
    <row r="300" spans="2:11">
      <c r="B300" s="227"/>
      <c r="C300" s="418"/>
      <c r="D300" s="557">
        <v>11</v>
      </c>
      <c r="E300" s="312">
        <v>2.5623</v>
      </c>
      <c r="F300" s="311">
        <v>1</v>
      </c>
      <c r="G300" s="313">
        <v>11.3</v>
      </c>
      <c r="H300" s="313">
        <f t="shared" si="399"/>
        <v>9.5</v>
      </c>
      <c r="I300" s="439"/>
      <c r="J300" s="439"/>
      <c r="K300" s="439"/>
    </row>
    <row r="301" spans="2:11">
      <c r="B301" s="419" t="s">
        <v>296</v>
      </c>
      <c r="C301" s="417"/>
      <c r="D301" s="557">
        <v>11</v>
      </c>
      <c r="E301" s="312">
        <v>2.6797</v>
      </c>
      <c r="F301" s="311">
        <v>1</v>
      </c>
      <c r="G301" s="313">
        <v>7.8</v>
      </c>
      <c r="H301" s="313">
        <f t="shared" si="399"/>
        <v>13.16</v>
      </c>
      <c r="I301" s="611">
        <f>(H301+H302)/2</f>
        <v>13.16</v>
      </c>
      <c r="J301" s="611">
        <f>(H301-H302)*100/I301</f>
        <v>0</v>
      </c>
      <c r="K301" s="611">
        <f>H301-H302</f>
        <v>0</v>
      </c>
    </row>
    <row r="302" spans="2:11">
      <c r="B302" s="227"/>
      <c r="C302" s="418"/>
      <c r="D302" s="557">
        <v>11</v>
      </c>
      <c r="E302" s="312">
        <v>2.6797</v>
      </c>
      <c r="F302" s="311">
        <v>1</v>
      </c>
      <c r="G302" s="313">
        <v>7.8</v>
      </c>
      <c r="H302" s="313">
        <f t="shared" si="399"/>
        <v>13.16</v>
      </c>
      <c r="I302" s="439"/>
      <c r="J302" s="439"/>
      <c r="K302" s="439"/>
    </row>
    <row r="303" spans="2:11">
      <c r="B303" s="419" t="s">
        <v>297</v>
      </c>
      <c r="C303" s="417"/>
      <c r="D303" s="557">
        <v>11</v>
      </c>
      <c r="E303" s="312">
        <v>2.5119</v>
      </c>
      <c r="F303" s="311">
        <v>1</v>
      </c>
      <c r="G303" s="313">
        <v>8</v>
      </c>
      <c r="H303" s="313">
        <f t="shared" si="399"/>
        <v>13.68</v>
      </c>
      <c r="I303" s="611">
        <f>(H303+H304)/2</f>
        <v>13.68</v>
      </c>
      <c r="J303" s="611">
        <f>(H303-H304)*100/I303</f>
        <v>0</v>
      </c>
      <c r="K303" s="611">
        <f>H303-H304</f>
        <v>0</v>
      </c>
    </row>
    <row r="304" spans="2:11">
      <c r="B304" s="227"/>
      <c r="C304" s="418"/>
      <c r="D304" s="557">
        <v>11</v>
      </c>
      <c r="E304" s="312">
        <v>2.5119</v>
      </c>
      <c r="F304" s="311">
        <v>1</v>
      </c>
      <c r="G304" s="313">
        <v>8</v>
      </c>
      <c r="H304" s="313">
        <f t="shared" si="399"/>
        <v>13.68</v>
      </c>
      <c r="I304" s="439"/>
      <c r="J304" s="439"/>
      <c r="K304" s="439"/>
    </row>
    <row r="305" spans="2:11">
      <c r="B305" s="419" t="s">
        <v>298</v>
      </c>
      <c r="C305" s="417"/>
      <c r="D305" s="557">
        <v>11</v>
      </c>
      <c r="E305" s="312">
        <v>2.54</v>
      </c>
      <c r="F305" s="311">
        <v>1</v>
      </c>
      <c r="G305" s="313">
        <v>12.1</v>
      </c>
      <c r="H305" s="313">
        <f t="shared" si="399"/>
        <v>8.95</v>
      </c>
      <c r="I305" s="611">
        <f>(H305+H306)/2</f>
        <v>8.95</v>
      </c>
      <c r="J305" s="611">
        <f>(H305-H306)*100/I305</f>
        <v>0</v>
      </c>
      <c r="K305" s="611">
        <f>H305-H306</f>
        <v>0</v>
      </c>
    </row>
    <row r="306" spans="2:11">
      <c r="B306" s="227"/>
      <c r="C306" s="418"/>
      <c r="D306" s="557">
        <v>11</v>
      </c>
      <c r="E306" s="312">
        <v>2.54</v>
      </c>
      <c r="F306" s="311">
        <v>1</v>
      </c>
      <c r="G306" s="313">
        <v>12.1</v>
      </c>
      <c r="H306" s="313">
        <f t="shared" si="399"/>
        <v>8.95</v>
      </c>
      <c r="I306" s="439"/>
      <c r="J306" s="439"/>
      <c r="K306" s="439"/>
    </row>
    <row r="307" spans="2:11">
      <c r="B307" s="419" t="s">
        <v>299</v>
      </c>
      <c r="C307" s="417"/>
      <c r="D307" s="557">
        <v>11</v>
      </c>
      <c r="E307" s="312">
        <v>2.6117</v>
      </c>
      <c r="F307" s="311">
        <v>1</v>
      </c>
      <c r="G307" s="313">
        <v>8</v>
      </c>
      <c r="H307" s="313">
        <f t="shared" si="399"/>
        <v>13.16</v>
      </c>
      <c r="I307" s="611">
        <f>(H307+H308)/2</f>
        <v>13.16</v>
      </c>
      <c r="J307" s="611">
        <f>(H307-H308)*100/I307</f>
        <v>0</v>
      </c>
      <c r="K307" s="611">
        <f>H307-H308</f>
        <v>0</v>
      </c>
    </row>
    <row r="308" spans="2:11">
      <c r="B308" s="227"/>
      <c r="C308" s="418"/>
      <c r="D308" s="557">
        <v>11</v>
      </c>
      <c r="E308" s="312">
        <v>2.6117</v>
      </c>
      <c r="F308" s="311">
        <v>1</v>
      </c>
      <c r="G308" s="313">
        <v>8</v>
      </c>
      <c r="H308" s="313">
        <f t="shared" si="399"/>
        <v>13.16</v>
      </c>
      <c r="I308" s="439"/>
      <c r="J308" s="439"/>
      <c r="K308" s="439"/>
    </row>
    <row r="309" spans="2:11">
      <c r="B309" s="419" t="s">
        <v>300</v>
      </c>
      <c r="C309" s="417"/>
      <c r="D309" s="557">
        <v>11</v>
      </c>
      <c r="E309" s="312">
        <v>2.5804</v>
      </c>
      <c r="F309" s="311">
        <v>1</v>
      </c>
      <c r="G309" s="313">
        <v>10.8</v>
      </c>
      <c r="H309" s="313">
        <f t="shared" si="399"/>
        <v>9.87</v>
      </c>
      <c r="I309" s="611">
        <f>(H309+H310)/2</f>
        <v>9.87</v>
      </c>
      <c r="J309" s="611">
        <f>(H309-H310)*100/I309</f>
        <v>0</v>
      </c>
      <c r="K309" s="611">
        <f>H309-H310</f>
        <v>0</v>
      </c>
    </row>
    <row r="310" spans="2:11">
      <c r="B310" s="227"/>
      <c r="C310" s="418"/>
      <c r="D310" s="557">
        <v>11</v>
      </c>
      <c r="E310" s="312">
        <v>2.5804</v>
      </c>
      <c r="F310" s="311">
        <v>1</v>
      </c>
      <c r="G310" s="313">
        <v>10.8</v>
      </c>
      <c r="H310" s="313">
        <f t="shared" si="399"/>
        <v>9.87</v>
      </c>
      <c r="I310" s="439"/>
      <c r="J310" s="439"/>
      <c r="K310" s="439"/>
    </row>
    <row r="311" spans="2:11">
      <c r="B311" s="419" t="s">
        <v>301</v>
      </c>
      <c r="C311" s="417"/>
      <c r="D311" s="557">
        <v>11</v>
      </c>
      <c r="E311" s="312">
        <v>2.6275</v>
      </c>
      <c r="F311" s="311">
        <v>1</v>
      </c>
      <c r="G311" s="313">
        <v>8.1</v>
      </c>
      <c r="H311" s="313">
        <f t="shared" si="399"/>
        <v>12.92</v>
      </c>
      <c r="I311" s="611">
        <f>(H311+H312)/2</f>
        <v>12.92</v>
      </c>
      <c r="J311" s="611">
        <f>(H311-H312)*100/I311</f>
        <v>0</v>
      </c>
      <c r="K311" s="611">
        <f>H311-H312</f>
        <v>0</v>
      </c>
    </row>
    <row r="312" spans="2:11">
      <c r="B312" s="227"/>
      <c r="C312" s="418"/>
      <c r="D312" s="557">
        <v>11</v>
      </c>
      <c r="E312" s="312">
        <v>2.6275</v>
      </c>
      <c r="F312" s="311">
        <v>1</v>
      </c>
      <c r="G312" s="313">
        <v>8.1</v>
      </c>
      <c r="H312" s="313">
        <f t="shared" si="399"/>
        <v>12.92</v>
      </c>
      <c r="I312" s="439"/>
      <c r="J312" s="439"/>
      <c r="K312" s="439"/>
    </row>
    <row r="313" spans="2:11">
      <c r="B313" s="419" t="s">
        <v>302</v>
      </c>
      <c r="C313" s="417"/>
      <c r="D313" s="557">
        <v>11</v>
      </c>
      <c r="E313" s="312">
        <v>2.592</v>
      </c>
      <c r="F313" s="311">
        <v>1</v>
      </c>
      <c r="G313" s="313">
        <v>11</v>
      </c>
      <c r="H313" s="313">
        <f t="shared" si="399"/>
        <v>9.65</v>
      </c>
      <c r="I313" s="611">
        <f>(H313+H314)/2</f>
        <v>9.65</v>
      </c>
      <c r="J313" s="611">
        <f>(H313-H314)*100/I313</f>
        <v>0</v>
      </c>
      <c r="K313" s="611">
        <f>H313-H314</f>
        <v>0</v>
      </c>
    </row>
    <row r="314" spans="2:11">
      <c r="B314" s="227"/>
      <c r="C314" s="418"/>
      <c r="D314" s="557">
        <v>11</v>
      </c>
      <c r="E314" s="312">
        <v>2.592</v>
      </c>
      <c r="F314" s="311">
        <v>1</v>
      </c>
      <c r="G314" s="313">
        <v>11</v>
      </c>
      <c r="H314" s="313">
        <f t="shared" si="399"/>
        <v>9.65</v>
      </c>
      <c r="I314" s="439"/>
      <c r="J314" s="439"/>
      <c r="K314" s="439"/>
    </row>
    <row r="315" spans="2:11">
      <c r="B315" s="419" t="s">
        <v>303</v>
      </c>
      <c r="C315" s="417"/>
      <c r="D315" s="557">
        <v>11</v>
      </c>
      <c r="E315" s="312">
        <v>2.585</v>
      </c>
      <c r="F315" s="311">
        <v>1</v>
      </c>
      <c r="G315" s="313">
        <v>8.3</v>
      </c>
      <c r="H315" s="313">
        <f t="shared" si="399"/>
        <v>12.82</v>
      </c>
      <c r="I315" s="611">
        <f>(H315+H316)/2</f>
        <v>12.82</v>
      </c>
      <c r="J315" s="611">
        <f>(H315-H316)*100/I315</f>
        <v>0</v>
      </c>
      <c r="K315" s="611">
        <f>H315-H316</f>
        <v>0</v>
      </c>
    </row>
    <row r="316" spans="2:11">
      <c r="B316" s="227"/>
      <c r="C316" s="418"/>
      <c r="D316" s="557">
        <v>11</v>
      </c>
      <c r="E316" s="312">
        <v>2.585</v>
      </c>
      <c r="F316" s="311">
        <v>1</v>
      </c>
      <c r="G316" s="313">
        <v>8.3</v>
      </c>
      <c r="H316" s="313">
        <f t="shared" si="399"/>
        <v>12.82</v>
      </c>
      <c r="I316" s="439"/>
      <c r="J316" s="439"/>
      <c r="K316" s="439"/>
    </row>
    <row r="317" spans="2:11">
      <c r="B317" s="419" t="s">
        <v>304</v>
      </c>
      <c r="C317" s="417"/>
      <c r="D317" s="557">
        <v>11</v>
      </c>
      <c r="E317" s="312">
        <v>2.6066</v>
      </c>
      <c r="F317" s="311">
        <v>1</v>
      </c>
      <c r="G317" s="313">
        <v>10.1</v>
      </c>
      <c r="H317" s="313">
        <f t="shared" si="399"/>
        <v>10.45</v>
      </c>
      <c r="I317" s="611">
        <f t="shared" ref="I317:I321" si="400">(H317+H318)/2</f>
        <v>10.45</v>
      </c>
      <c r="J317" s="611">
        <f t="shared" ref="J317:J321" si="401">(H317-H318)*100/I317</f>
        <v>0</v>
      </c>
      <c r="K317" s="611">
        <f t="shared" ref="K317:K321" si="402">H317-H318</f>
        <v>0</v>
      </c>
    </row>
    <row r="318" spans="2:11">
      <c r="B318" s="227"/>
      <c r="C318" s="418"/>
      <c r="D318" s="557">
        <v>11</v>
      </c>
      <c r="E318" s="312">
        <v>2.6066</v>
      </c>
      <c r="F318" s="311">
        <v>1</v>
      </c>
      <c r="G318" s="313">
        <v>10.1</v>
      </c>
      <c r="H318" s="313">
        <f t="shared" si="399"/>
        <v>10.45</v>
      </c>
      <c r="I318" s="439"/>
      <c r="J318" s="439"/>
      <c r="K318" s="439"/>
    </row>
    <row r="319" spans="2:11">
      <c r="B319" s="419" t="s">
        <v>305</v>
      </c>
      <c r="C319" s="417"/>
      <c r="D319" s="557">
        <v>11</v>
      </c>
      <c r="E319" s="312">
        <v>2.6427</v>
      </c>
      <c r="F319" s="311">
        <v>1</v>
      </c>
      <c r="G319" s="313">
        <v>10.55</v>
      </c>
      <c r="H319" s="313">
        <f t="shared" si="399"/>
        <v>9.86</v>
      </c>
      <c r="I319" s="611">
        <f t="shared" si="400"/>
        <v>9.86</v>
      </c>
      <c r="J319" s="611">
        <f t="shared" si="401"/>
        <v>0</v>
      </c>
      <c r="K319" s="611">
        <f t="shared" si="402"/>
        <v>0</v>
      </c>
    </row>
    <row r="320" spans="2:11">
      <c r="B320" s="227"/>
      <c r="C320" s="418"/>
      <c r="D320" s="557">
        <v>11</v>
      </c>
      <c r="E320" s="312">
        <v>2.6427</v>
      </c>
      <c r="F320" s="311">
        <v>1</v>
      </c>
      <c r="G320" s="313">
        <v>10.55</v>
      </c>
      <c r="H320" s="313">
        <f t="shared" si="399"/>
        <v>9.86</v>
      </c>
      <c r="I320" s="439"/>
      <c r="J320" s="439"/>
      <c r="K320" s="439"/>
    </row>
    <row r="321" spans="1:11">
      <c r="A321" s="508">
        <v>77.8</v>
      </c>
      <c r="B321" s="419" t="s">
        <v>306</v>
      </c>
      <c r="C321" s="417"/>
      <c r="D321" s="557">
        <v>11</v>
      </c>
      <c r="E321" s="312">
        <v>2.5095</v>
      </c>
      <c r="F321" s="311">
        <v>1</v>
      </c>
      <c r="G321" s="313">
        <v>6.5</v>
      </c>
      <c r="H321" s="313">
        <f t="shared" si="399"/>
        <v>16.86</v>
      </c>
      <c r="I321" s="611">
        <f t="shared" si="400"/>
        <v>16.86</v>
      </c>
      <c r="J321" s="611">
        <f t="shared" si="401"/>
        <v>0</v>
      </c>
      <c r="K321" s="611">
        <f t="shared" si="402"/>
        <v>0</v>
      </c>
    </row>
    <row r="322" spans="2:11">
      <c r="B322" s="227"/>
      <c r="C322" s="418"/>
      <c r="D322" s="557">
        <v>11</v>
      </c>
      <c r="E322" s="312">
        <v>2.5095</v>
      </c>
      <c r="F322" s="311">
        <v>1</v>
      </c>
      <c r="G322" s="313">
        <v>6.5</v>
      </c>
      <c r="H322" s="313">
        <f t="shared" si="399"/>
        <v>16.86</v>
      </c>
      <c r="I322" s="439"/>
      <c r="J322" s="439"/>
      <c r="K322" s="439"/>
    </row>
    <row r="323" spans="2:11">
      <c r="B323" s="419" t="s">
        <v>307</v>
      </c>
      <c r="C323" s="417"/>
      <c r="D323" s="557">
        <v>11</v>
      </c>
      <c r="E323" s="312">
        <v>2.6643</v>
      </c>
      <c r="F323" s="311">
        <v>1</v>
      </c>
      <c r="G323" s="313">
        <v>18.2</v>
      </c>
      <c r="H323" s="313">
        <f t="shared" si="399"/>
        <v>5.67</v>
      </c>
      <c r="I323" s="611">
        <f t="shared" ref="I323:I327" si="403">(H323+H324)/2</f>
        <v>5.67</v>
      </c>
      <c r="J323" s="611">
        <f t="shared" ref="J323:J327" si="404">(H323-H324)*100/I323</f>
        <v>0</v>
      </c>
      <c r="K323" s="611">
        <f t="shared" ref="K323:K327" si="405">H323-H324</f>
        <v>0</v>
      </c>
    </row>
    <row r="324" spans="2:11">
      <c r="B324" s="227"/>
      <c r="C324" s="418"/>
      <c r="D324" s="557">
        <v>11</v>
      </c>
      <c r="E324" s="312">
        <v>2.6643</v>
      </c>
      <c r="F324" s="311">
        <v>1</v>
      </c>
      <c r="G324" s="313">
        <v>18.2</v>
      </c>
      <c r="H324" s="313">
        <f t="shared" si="399"/>
        <v>5.67</v>
      </c>
      <c r="I324" s="439"/>
      <c r="J324" s="439"/>
      <c r="K324" s="439"/>
    </row>
    <row r="325" spans="2:12">
      <c r="B325" s="419" t="s">
        <v>308</v>
      </c>
      <c r="C325" s="417"/>
      <c r="D325" s="557">
        <v>11</v>
      </c>
      <c r="E325" s="312">
        <v>1.8341</v>
      </c>
      <c r="F325" s="311">
        <v>2</v>
      </c>
      <c r="G325" s="313">
        <v>8</v>
      </c>
      <c r="H325" s="313">
        <f t="shared" si="399"/>
        <v>37.48</v>
      </c>
      <c r="I325" s="611">
        <f t="shared" si="403"/>
        <v>37.48</v>
      </c>
      <c r="J325" s="611">
        <f t="shared" si="404"/>
        <v>0</v>
      </c>
      <c r="K325" s="611">
        <f t="shared" si="405"/>
        <v>0</v>
      </c>
      <c r="L325" s="566">
        <f>I325/75.5*100</f>
        <v>49.6423841059603</v>
      </c>
    </row>
    <row r="326" spans="2:12">
      <c r="B326" s="227"/>
      <c r="C326" s="418"/>
      <c r="D326" s="557">
        <v>11</v>
      </c>
      <c r="E326" s="312">
        <v>1.8341</v>
      </c>
      <c r="F326" s="311">
        <v>2</v>
      </c>
      <c r="G326" s="313">
        <v>8</v>
      </c>
      <c r="H326" s="313">
        <f t="shared" si="399"/>
        <v>37.48</v>
      </c>
      <c r="I326" s="439"/>
      <c r="J326" s="439"/>
      <c r="K326" s="439"/>
      <c r="L326" s="566">
        <f>I326/75.5*100</f>
        <v>0</v>
      </c>
    </row>
    <row r="327" spans="2:12">
      <c r="B327" s="419" t="s">
        <v>309</v>
      </c>
      <c r="C327" s="417"/>
      <c r="D327" s="557">
        <v>11</v>
      </c>
      <c r="E327" s="312">
        <v>10.2423</v>
      </c>
      <c r="F327" s="311">
        <v>20</v>
      </c>
      <c r="G327" s="313">
        <v>9.3</v>
      </c>
      <c r="H327" s="313">
        <f t="shared" si="399"/>
        <v>57.74</v>
      </c>
      <c r="I327" s="611">
        <f t="shared" si="403"/>
        <v>57.74</v>
      </c>
      <c r="J327" s="611">
        <f t="shared" si="404"/>
        <v>0</v>
      </c>
      <c r="K327" s="611">
        <f t="shared" si="405"/>
        <v>0</v>
      </c>
      <c r="L327" s="566">
        <f>I327/60.6*100</f>
        <v>95.2805280528053</v>
      </c>
    </row>
    <row r="328" spans="2:12">
      <c r="B328" s="227"/>
      <c r="C328" s="418"/>
      <c r="D328" s="557">
        <v>11</v>
      </c>
      <c r="E328" s="312">
        <v>10.2423</v>
      </c>
      <c r="F328" s="311">
        <v>20</v>
      </c>
      <c r="G328" s="313">
        <v>9.3</v>
      </c>
      <c r="H328" s="313">
        <f t="shared" si="399"/>
        <v>57.74</v>
      </c>
      <c r="I328" s="439"/>
      <c r="J328" s="439"/>
      <c r="K328" s="439"/>
      <c r="L328" s="566">
        <f>I328/75.5*100</f>
        <v>0</v>
      </c>
    </row>
    <row r="329" spans="2:11">
      <c r="B329" s="419" t="s">
        <v>310</v>
      </c>
      <c r="C329" s="417"/>
      <c r="D329" s="557">
        <v>11</v>
      </c>
      <c r="E329" s="312">
        <v>9.8919</v>
      </c>
      <c r="F329" s="311">
        <v>20</v>
      </c>
      <c r="G329" s="313">
        <v>8.05</v>
      </c>
      <c r="H329" s="313">
        <f t="shared" si="399"/>
        <v>69.07</v>
      </c>
      <c r="I329" s="611">
        <f t="shared" ref="I329:I333" si="406">(H329+H330)/2</f>
        <v>69.07</v>
      </c>
      <c r="J329" s="611">
        <f t="shared" ref="J329:J333" si="407">(H329-H330)*100/I329</f>
        <v>0</v>
      </c>
      <c r="K329" s="611">
        <f t="shared" ref="K329:K333" si="408">H329-H330</f>
        <v>0</v>
      </c>
    </row>
    <row r="330" spans="2:11">
      <c r="B330" s="227"/>
      <c r="C330" s="418"/>
      <c r="D330" s="557">
        <v>11</v>
      </c>
      <c r="E330" s="312">
        <v>9.8919</v>
      </c>
      <c r="F330" s="311">
        <v>20</v>
      </c>
      <c r="G330" s="313">
        <v>8.05</v>
      </c>
      <c r="H330" s="313">
        <f t="shared" si="399"/>
        <v>69.07</v>
      </c>
      <c r="I330" s="439"/>
      <c r="J330" s="439"/>
      <c r="K330" s="439"/>
    </row>
    <row r="331" spans="2:11">
      <c r="B331" s="620" t="s">
        <v>311</v>
      </c>
      <c r="C331" s="566" t="s">
        <v>167</v>
      </c>
      <c r="D331" s="557">
        <v>11</v>
      </c>
      <c r="E331" s="312">
        <v>9.1</v>
      </c>
      <c r="F331" s="311">
        <v>1</v>
      </c>
      <c r="G331" s="313">
        <v>8.05</v>
      </c>
      <c r="H331" s="313">
        <f>ROUND(D331*100*F331*100/E331/G331/1000,2)</f>
        <v>1.5</v>
      </c>
      <c r="I331" s="611">
        <f t="shared" si="406"/>
        <v>1.5</v>
      </c>
      <c r="J331" s="611">
        <f t="shared" si="407"/>
        <v>0</v>
      </c>
      <c r="K331" s="611">
        <f t="shared" si="408"/>
        <v>0</v>
      </c>
    </row>
    <row r="332" spans="2:11">
      <c r="B332" s="621"/>
      <c r="C332" s="566" t="s">
        <v>167</v>
      </c>
      <c r="D332" s="557">
        <v>11</v>
      </c>
      <c r="E332" s="312">
        <v>9.1</v>
      </c>
      <c r="F332" s="311">
        <v>1</v>
      </c>
      <c r="G332" s="313">
        <v>8.05</v>
      </c>
      <c r="H332" s="313">
        <f>ROUND(D332*100*F332*100/E332/G332/1000,2)</f>
        <v>1.5</v>
      </c>
      <c r="I332" s="439"/>
      <c r="J332" s="439"/>
      <c r="K332" s="439"/>
    </row>
    <row r="333" spans="2:11">
      <c r="B333" s="419" t="s">
        <v>312</v>
      </c>
      <c r="C333" s="417"/>
      <c r="D333" s="557">
        <v>11</v>
      </c>
      <c r="E333" s="312">
        <v>2.5063</v>
      </c>
      <c r="F333" s="311">
        <v>1</v>
      </c>
      <c r="G333" s="313">
        <v>7.4</v>
      </c>
      <c r="H333" s="313">
        <f t="shared" si="399"/>
        <v>14.83</v>
      </c>
      <c r="I333" s="611">
        <f t="shared" si="406"/>
        <v>14.83</v>
      </c>
      <c r="J333" s="611">
        <f t="shared" si="407"/>
        <v>0</v>
      </c>
      <c r="K333" s="611">
        <f t="shared" si="408"/>
        <v>0</v>
      </c>
    </row>
    <row r="334" spans="2:11">
      <c r="B334" s="227"/>
      <c r="C334" s="418"/>
      <c r="D334" s="557">
        <v>11</v>
      </c>
      <c r="E334" s="312">
        <v>2.5063</v>
      </c>
      <c r="F334" s="311">
        <v>1</v>
      </c>
      <c r="G334" s="313">
        <v>7.4</v>
      </c>
      <c r="H334" s="313">
        <f t="shared" si="399"/>
        <v>14.83</v>
      </c>
      <c r="I334" s="439"/>
      <c r="J334" s="439"/>
      <c r="K334" s="439"/>
    </row>
    <row r="335" spans="1:11">
      <c r="A335" s="508">
        <v>720</v>
      </c>
      <c r="B335" s="419" t="s">
        <v>313</v>
      </c>
      <c r="C335" s="566" t="s">
        <v>167</v>
      </c>
      <c r="D335" s="557">
        <v>10.8</v>
      </c>
      <c r="E335" s="312">
        <v>3.9971</v>
      </c>
      <c r="F335" s="311">
        <v>1</v>
      </c>
      <c r="G335" s="313">
        <v>13.7</v>
      </c>
      <c r="H335" s="313">
        <f>ROUND(D335*100*F335*100/E335/G335/1000,2)</f>
        <v>1.97</v>
      </c>
      <c r="I335" s="611">
        <f t="shared" ref="I335:I339" si="409">(H335+H336)/2</f>
        <v>1.97</v>
      </c>
      <c r="J335" s="611">
        <f t="shared" ref="J335:J339" si="410">(H335-H336)*100/I335</f>
        <v>0</v>
      </c>
      <c r="K335" s="611">
        <f t="shared" ref="K335:K339" si="411">H335-H336</f>
        <v>0</v>
      </c>
    </row>
    <row r="336" spans="2:11">
      <c r="B336" s="227"/>
      <c r="C336" s="566" t="s">
        <v>167</v>
      </c>
      <c r="D336" s="557">
        <v>10.8</v>
      </c>
      <c r="E336" s="312">
        <v>3.9971</v>
      </c>
      <c r="F336" s="311">
        <v>1</v>
      </c>
      <c r="G336" s="313">
        <v>13.7</v>
      </c>
      <c r="H336" s="313">
        <f>ROUND(D336*100*F336*100/E336/G336/1000,2)</f>
        <v>1.97</v>
      </c>
      <c r="I336" s="439"/>
      <c r="J336" s="439"/>
      <c r="K336" s="439"/>
    </row>
    <row r="337" spans="1:11">
      <c r="A337" s="508">
        <v>7.22</v>
      </c>
      <c r="B337" s="419" t="s">
        <v>314</v>
      </c>
      <c r="C337" s="417" t="s">
        <v>315</v>
      </c>
      <c r="D337" s="557">
        <v>11</v>
      </c>
      <c r="E337" s="312">
        <v>2.5942</v>
      </c>
      <c r="F337" s="311">
        <v>1</v>
      </c>
      <c r="G337" s="313">
        <v>6.6</v>
      </c>
      <c r="H337" s="313">
        <f>ROUND(D337*100*F337*250/E337/G337/1000,2)</f>
        <v>16.06</v>
      </c>
      <c r="I337" s="611">
        <f t="shared" si="409"/>
        <v>16.06</v>
      </c>
      <c r="J337" s="611">
        <f t="shared" si="410"/>
        <v>0</v>
      </c>
      <c r="K337" s="611">
        <f t="shared" si="411"/>
        <v>0</v>
      </c>
    </row>
    <row r="338" spans="2:11">
      <c r="B338" s="227"/>
      <c r="C338" s="418"/>
      <c r="D338" s="557">
        <v>11</v>
      </c>
      <c r="E338" s="312">
        <v>2.5942</v>
      </c>
      <c r="F338" s="311">
        <v>1</v>
      </c>
      <c r="G338" s="313">
        <v>6.6</v>
      </c>
      <c r="H338" s="313">
        <f>ROUND(D338*100*F338*250/E338/G338/1000,2)</f>
        <v>16.06</v>
      </c>
      <c r="I338" s="439"/>
      <c r="J338" s="439"/>
      <c r="K338" s="439"/>
    </row>
    <row r="339" spans="1:11">
      <c r="A339" s="508">
        <v>8.3</v>
      </c>
      <c r="B339" s="419" t="s">
        <v>316</v>
      </c>
      <c r="C339" s="417"/>
      <c r="D339" s="557">
        <v>11</v>
      </c>
      <c r="E339" s="312">
        <v>2.2892</v>
      </c>
      <c r="F339" s="311">
        <v>1</v>
      </c>
      <c r="G339" s="313">
        <v>10.8</v>
      </c>
      <c r="H339" s="313">
        <f>ROUND(D339*100*F339*250/E339/G339/1000,2)</f>
        <v>11.12</v>
      </c>
      <c r="I339" s="611">
        <f t="shared" si="409"/>
        <v>11.055</v>
      </c>
      <c r="J339" s="611">
        <f t="shared" si="410"/>
        <v>1.17593848937132</v>
      </c>
      <c r="K339" s="611">
        <f t="shared" si="411"/>
        <v>0.129999999999999</v>
      </c>
    </row>
    <row r="340" spans="2:11">
      <c r="B340" s="227"/>
      <c r="C340" s="418"/>
      <c r="D340" s="557">
        <v>11</v>
      </c>
      <c r="E340" s="312">
        <v>2.5014</v>
      </c>
      <c r="F340" s="311">
        <v>1</v>
      </c>
      <c r="G340" s="564">
        <v>10</v>
      </c>
      <c r="H340" s="313">
        <f t="shared" ref="H340:H352" si="412">ROUND(D340*100*F340*250/E340/G340/1000,2)</f>
        <v>10.99</v>
      </c>
      <c r="I340" s="439"/>
      <c r="J340" s="439"/>
      <c r="K340" s="439"/>
    </row>
    <row r="341" spans="2:11">
      <c r="B341" s="419" t="s">
        <v>317</v>
      </c>
      <c r="C341" s="417"/>
      <c r="D341" s="557">
        <v>11</v>
      </c>
      <c r="E341" s="312">
        <v>3.2491</v>
      </c>
      <c r="F341" s="311">
        <v>1</v>
      </c>
      <c r="G341" s="313">
        <v>7.8</v>
      </c>
      <c r="H341" s="313">
        <f t="shared" si="412"/>
        <v>10.85</v>
      </c>
      <c r="I341" s="611">
        <f>(H341+H342)/2</f>
        <v>10.815</v>
      </c>
      <c r="J341" s="611">
        <f>(H341-H342)*100/I341</f>
        <v>0.647249190938514</v>
      </c>
      <c r="K341" s="611">
        <f>H341-H342</f>
        <v>0.0700000000000003</v>
      </c>
    </row>
    <row r="342" spans="2:11">
      <c r="B342" s="227"/>
      <c r="C342" s="418"/>
      <c r="D342" s="557">
        <v>11</v>
      </c>
      <c r="E342" s="312">
        <v>3.0017</v>
      </c>
      <c r="F342" s="311">
        <v>1</v>
      </c>
      <c r="G342" s="313">
        <v>8.5</v>
      </c>
      <c r="H342" s="313">
        <f t="shared" si="412"/>
        <v>10.78</v>
      </c>
      <c r="I342" s="439"/>
      <c r="J342" s="439"/>
      <c r="K342" s="439"/>
    </row>
    <row r="343" spans="2:11">
      <c r="B343" s="419" t="s">
        <v>318</v>
      </c>
      <c r="C343" s="417"/>
      <c r="D343" s="557">
        <v>11</v>
      </c>
      <c r="E343" s="312">
        <v>2.4523</v>
      </c>
      <c r="F343" s="311">
        <v>1</v>
      </c>
      <c r="G343" s="313">
        <v>7</v>
      </c>
      <c r="H343" s="313">
        <f t="shared" si="412"/>
        <v>16.02</v>
      </c>
      <c r="I343" s="611">
        <f>(H343+H344)/2</f>
        <v>15.94</v>
      </c>
      <c r="J343" s="611">
        <f>(H343-H344)*100/I343</f>
        <v>1.00376411543287</v>
      </c>
      <c r="K343" s="611">
        <f>H343-H344</f>
        <v>0.16</v>
      </c>
    </row>
    <row r="344" spans="2:11">
      <c r="B344" s="227"/>
      <c r="C344" s="418"/>
      <c r="D344" s="557">
        <v>11</v>
      </c>
      <c r="E344" s="312">
        <v>2.028</v>
      </c>
      <c r="F344" s="311">
        <v>1</v>
      </c>
      <c r="G344" s="313">
        <v>8.55</v>
      </c>
      <c r="H344" s="313">
        <f t="shared" si="412"/>
        <v>15.86</v>
      </c>
      <c r="I344" s="439"/>
      <c r="J344" s="439"/>
      <c r="K344" s="439"/>
    </row>
    <row r="345" spans="2:11">
      <c r="B345" s="419" t="s">
        <v>319</v>
      </c>
      <c r="C345" s="417"/>
      <c r="D345" s="557">
        <v>11</v>
      </c>
      <c r="E345" s="312">
        <v>2.6353</v>
      </c>
      <c r="F345" s="311">
        <v>1</v>
      </c>
      <c r="G345" s="313">
        <v>9.5</v>
      </c>
      <c r="H345" s="313">
        <f t="shared" si="412"/>
        <v>10.98</v>
      </c>
      <c r="I345" s="611">
        <f>(H345+H346)/2</f>
        <v>11.025</v>
      </c>
      <c r="J345" s="611">
        <f>(H345-H346)*100/I345</f>
        <v>-0.816326530612244</v>
      </c>
      <c r="K345" s="611">
        <f>H345-H346</f>
        <v>-0.0899999999999999</v>
      </c>
    </row>
    <row r="346" spans="2:11">
      <c r="B346" s="227"/>
      <c r="C346" s="418"/>
      <c r="D346" s="557">
        <v>11</v>
      </c>
      <c r="E346" s="312">
        <v>2.5474</v>
      </c>
      <c r="F346" s="311">
        <v>1</v>
      </c>
      <c r="G346" s="313">
        <v>9.75</v>
      </c>
      <c r="H346" s="313">
        <f t="shared" si="412"/>
        <v>11.07</v>
      </c>
      <c r="I346" s="439"/>
      <c r="J346" s="439"/>
      <c r="K346" s="439"/>
    </row>
    <row r="347" spans="2:11">
      <c r="B347" s="419" t="s">
        <v>320</v>
      </c>
      <c r="C347" s="417"/>
      <c r="D347" s="557">
        <v>11</v>
      </c>
      <c r="E347" s="312">
        <v>2.9012</v>
      </c>
      <c r="F347" s="311">
        <v>1</v>
      </c>
      <c r="G347" s="313">
        <v>8.3</v>
      </c>
      <c r="H347" s="313">
        <f t="shared" si="412"/>
        <v>11.42</v>
      </c>
      <c r="I347" s="611">
        <f t="shared" ref="I347:I349" si="413">(H347+H348)/2</f>
        <v>11.365</v>
      </c>
      <c r="J347" s="611">
        <f t="shared" ref="J347:J349" si="414">(H347-H348)*100/I347</f>
        <v>0.967883853937523</v>
      </c>
      <c r="K347" s="611">
        <f t="shared" ref="K347:K349" si="415">H347-H348</f>
        <v>0.109999999999999</v>
      </c>
    </row>
    <row r="348" spans="2:11">
      <c r="B348" s="227"/>
      <c r="C348" s="418"/>
      <c r="D348" s="557">
        <v>11</v>
      </c>
      <c r="E348" s="312">
        <v>3.0008</v>
      </c>
      <c r="F348" s="311">
        <v>1</v>
      </c>
      <c r="G348" s="313">
        <v>8.1</v>
      </c>
      <c r="H348" s="313">
        <f t="shared" si="412"/>
        <v>11.31</v>
      </c>
      <c r="I348" s="439"/>
      <c r="J348" s="439"/>
      <c r="K348" s="439"/>
    </row>
    <row r="349" spans="2:11">
      <c r="B349" s="419" t="s">
        <v>321</v>
      </c>
      <c r="C349" s="417"/>
      <c r="D349" s="557">
        <v>11</v>
      </c>
      <c r="E349" s="312">
        <v>3.2161</v>
      </c>
      <c r="F349" s="311">
        <v>2</v>
      </c>
      <c r="G349" s="313">
        <v>8.95</v>
      </c>
      <c r="H349" s="313">
        <f t="shared" si="412"/>
        <v>19.11</v>
      </c>
      <c r="I349" s="611">
        <f t="shared" si="413"/>
        <v>19.27</v>
      </c>
      <c r="J349" s="611">
        <f t="shared" si="414"/>
        <v>-1.66061235080436</v>
      </c>
      <c r="K349" s="611">
        <f t="shared" si="415"/>
        <v>-0.32</v>
      </c>
    </row>
    <row r="350" spans="2:11">
      <c r="B350" s="227"/>
      <c r="C350" s="418"/>
      <c r="D350" s="557">
        <v>11</v>
      </c>
      <c r="E350" s="312">
        <v>3.3307</v>
      </c>
      <c r="F350" s="311">
        <v>2</v>
      </c>
      <c r="G350" s="313">
        <v>8.5</v>
      </c>
      <c r="H350" s="313">
        <f t="shared" si="412"/>
        <v>19.43</v>
      </c>
      <c r="I350" s="439"/>
      <c r="J350" s="439"/>
      <c r="K350" s="439"/>
    </row>
    <row r="351" spans="2:11">
      <c r="B351" s="419" t="s">
        <v>322</v>
      </c>
      <c r="C351" s="417"/>
      <c r="D351" s="557">
        <v>11</v>
      </c>
      <c r="E351" s="312">
        <v>2.2304</v>
      </c>
      <c r="F351" s="311">
        <v>1</v>
      </c>
      <c r="G351" s="313">
        <v>8.9</v>
      </c>
      <c r="H351" s="313">
        <f t="shared" si="412"/>
        <v>13.85</v>
      </c>
      <c r="I351" s="611">
        <f t="shared" ref="I351:I355" si="416">(H351+H352)/2</f>
        <v>13.585</v>
      </c>
      <c r="J351" s="611">
        <f t="shared" ref="J351:J355" si="417">(H351-H352)*100/I351</f>
        <v>3.90136179609863</v>
      </c>
      <c r="K351" s="611">
        <f t="shared" ref="K351:K355" si="418">H351-H352</f>
        <v>0.529999999999999</v>
      </c>
    </row>
    <row r="352" spans="2:11">
      <c r="B352" s="227"/>
      <c r="C352" s="418"/>
      <c r="D352" s="557">
        <v>11</v>
      </c>
      <c r="E352" s="312">
        <v>2.5018</v>
      </c>
      <c r="F352" s="311">
        <v>1</v>
      </c>
      <c r="G352" s="313">
        <v>8.25</v>
      </c>
      <c r="H352" s="313">
        <f t="shared" si="412"/>
        <v>13.32</v>
      </c>
      <c r="I352" s="439"/>
      <c r="J352" s="439"/>
      <c r="K352" s="439"/>
    </row>
    <row r="353" spans="2:11">
      <c r="B353" s="419" t="s">
        <v>323</v>
      </c>
      <c r="C353" s="566" t="s">
        <v>167</v>
      </c>
      <c r="D353" s="557">
        <v>11</v>
      </c>
      <c r="E353" s="312">
        <v>2</v>
      </c>
      <c r="F353" s="311">
        <v>1</v>
      </c>
      <c r="G353" s="313">
        <v>7.2</v>
      </c>
      <c r="H353" s="313">
        <f t="shared" ref="H353:H358" si="419">ROUND(D353*100*F353*100/E353/G353/1000,2)</f>
        <v>7.64</v>
      </c>
      <c r="I353" s="611">
        <f t="shared" si="416"/>
        <v>7.64</v>
      </c>
      <c r="J353" s="611">
        <f t="shared" si="417"/>
        <v>0</v>
      </c>
      <c r="K353" s="611">
        <f t="shared" si="418"/>
        <v>0</v>
      </c>
    </row>
    <row r="354" spans="2:11">
      <c r="B354" s="227"/>
      <c r="C354" s="566" t="s">
        <v>167</v>
      </c>
      <c r="D354" s="557">
        <v>11</v>
      </c>
      <c r="E354" s="312">
        <v>2</v>
      </c>
      <c r="F354" s="311">
        <v>1</v>
      </c>
      <c r="G354" s="313">
        <v>7.2</v>
      </c>
      <c r="H354" s="313">
        <f t="shared" si="419"/>
        <v>7.64</v>
      </c>
      <c r="I354" s="439"/>
      <c r="J354" s="439"/>
      <c r="K354" s="439"/>
    </row>
    <row r="355" spans="2:11">
      <c r="B355" s="419" t="s">
        <v>324</v>
      </c>
      <c r="C355" s="566" t="s">
        <v>167</v>
      </c>
      <c r="D355" s="557">
        <v>11</v>
      </c>
      <c r="E355" s="312">
        <v>2</v>
      </c>
      <c r="F355" s="311">
        <v>1</v>
      </c>
      <c r="G355" s="313">
        <v>8.9</v>
      </c>
      <c r="H355" s="313">
        <f t="shared" si="419"/>
        <v>6.18</v>
      </c>
      <c r="I355" s="611">
        <f t="shared" si="416"/>
        <v>6.18</v>
      </c>
      <c r="J355" s="611">
        <f t="shared" si="417"/>
        <v>0</v>
      </c>
      <c r="K355" s="611">
        <f t="shared" si="418"/>
        <v>0</v>
      </c>
    </row>
    <row r="356" spans="2:11">
      <c r="B356" s="227"/>
      <c r="C356" s="566" t="s">
        <v>167</v>
      </c>
      <c r="D356" s="557">
        <v>11</v>
      </c>
      <c r="E356" s="312">
        <v>2</v>
      </c>
      <c r="F356" s="311">
        <v>1</v>
      </c>
      <c r="G356" s="313">
        <v>8.9</v>
      </c>
      <c r="H356" s="313">
        <f t="shared" si="419"/>
        <v>6.18</v>
      </c>
      <c r="I356" s="439"/>
      <c r="J356" s="439"/>
      <c r="K356" s="439"/>
    </row>
    <row r="357" spans="2:11">
      <c r="B357" s="419" t="s">
        <v>325</v>
      </c>
      <c r="C357" s="566" t="s">
        <v>326</v>
      </c>
      <c r="D357" s="557">
        <v>11</v>
      </c>
      <c r="E357" s="312">
        <v>4.5722</v>
      </c>
      <c r="F357" s="311">
        <v>1</v>
      </c>
      <c r="G357" s="313">
        <v>9.9</v>
      </c>
      <c r="H357" s="313">
        <f t="shared" si="419"/>
        <v>2.43</v>
      </c>
      <c r="I357" s="611" t="s">
        <v>327</v>
      </c>
      <c r="J357" s="611" t="e">
        <f t="shared" ref="J357:J361" si="420">(H357-H358)*100/I357</f>
        <v>#VALUE!</v>
      </c>
      <c r="K357" s="611">
        <f t="shared" ref="K357:K361" si="421">H357-H358</f>
        <v>0</v>
      </c>
    </row>
    <row r="358" spans="2:11">
      <c r="B358" s="227"/>
      <c r="C358" s="566" t="s">
        <v>326</v>
      </c>
      <c r="D358" s="557">
        <v>11</v>
      </c>
      <c r="E358" s="312">
        <v>4.5722</v>
      </c>
      <c r="F358" s="311">
        <v>1</v>
      </c>
      <c r="G358" s="313">
        <v>9.9</v>
      </c>
      <c r="H358" s="313">
        <f t="shared" si="419"/>
        <v>2.43</v>
      </c>
      <c r="I358" s="439"/>
      <c r="J358" s="439"/>
      <c r="K358" s="439"/>
    </row>
    <row r="359" spans="2:11">
      <c r="B359" s="440" t="s">
        <v>328</v>
      </c>
      <c r="C359" s="417"/>
      <c r="D359" s="557">
        <v>11</v>
      </c>
      <c r="E359" s="312">
        <v>7.8881</v>
      </c>
      <c r="F359" s="311">
        <v>10</v>
      </c>
      <c r="G359" s="313">
        <v>4.8</v>
      </c>
      <c r="H359" s="313">
        <f t="shared" ref="H359:H398" si="422">ROUND(D359*100*F359*250/E359/G359/1000,2)</f>
        <v>72.63</v>
      </c>
      <c r="I359" s="611">
        <f t="shared" ref="I359:I363" si="423">(H359+H360)/2</f>
        <v>72.63</v>
      </c>
      <c r="J359" s="611">
        <f t="shared" si="420"/>
        <v>0</v>
      </c>
      <c r="K359" s="611">
        <f t="shared" si="421"/>
        <v>0</v>
      </c>
    </row>
    <row r="360" spans="2:11">
      <c r="B360" s="441"/>
      <c r="C360" s="418"/>
      <c r="D360" s="557">
        <v>11</v>
      </c>
      <c r="E360" s="312">
        <v>7.8881</v>
      </c>
      <c r="F360" s="311">
        <v>10</v>
      </c>
      <c r="G360" s="313">
        <v>4.8</v>
      </c>
      <c r="H360" s="313">
        <f t="shared" si="422"/>
        <v>72.63</v>
      </c>
      <c r="I360" s="439"/>
      <c r="J360" s="439"/>
      <c r="K360" s="439"/>
    </row>
    <row r="361" spans="2:11">
      <c r="B361" s="440" t="s">
        <v>329</v>
      </c>
      <c r="C361" s="417"/>
      <c r="D361" s="557">
        <v>11</v>
      </c>
      <c r="E361" s="312">
        <v>20.8161</v>
      </c>
      <c r="F361" s="311">
        <v>5</v>
      </c>
      <c r="G361" s="313">
        <v>5.9</v>
      </c>
      <c r="H361" s="313">
        <f t="shared" si="422"/>
        <v>11.2</v>
      </c>
      <c r="I361" s="611">
        <f t="shared" si="423"/>
        <v>11.2</v>
      </c>
      <c r="J361" s="611">
        <f t="shared" si="420"/>
        <v>0</v>
      </c>
      <c r="K361" s="611">
        <f t="shared" si="421"/>
        <v>0</v>
      </c>
    </row>
    <row r="362" spans="2:11">
      <c r="B362" s="441"/>
      <c r="C362" s="418"/>
      <c r="D362" s="557">
        <v>11</v>
      </c>
      <c r="E362" s="312">
        <v>20.8161</v>
      </c>
      <c r="F362" s="311">
        <v>5</v>
      </c>
      <c r="G362" s="313">
        <v>5.9</v>
      </c>
      <c r="H362" s="313">
        <f t="shared" si="422"/>
        <v>11.2</v>
      </c>
      <c r="I362" s="439"/>
      <c r="J362" s="439"/>
      <c r="K362" s="439"/>
    </row>
    <row r="363" spans="2:11">
      <c r="B363" s="440" t="s">
        <v>330</v>
      </c>
      <c r="C363" s="417"/>
      <c r="D363" s="557">
        <v>11</v>
      </c>
      <c r="E363" s="312">
        <v>10.5022</v>
      </c>
      <c r="F363" s="311">
        <v>5</v>
      </c>
      <c r="G363" s="313">
        <v>12.1</v>
      </c>
      <c r="H363" s="313">
        <f t="shared" si="422"/>
        <v>10.82</v>
      </c>
      <c r="I363" s="611">
        <f t="shared" si="423"/>
        <v>10.82</v>
      </c>
      <c r="J363" s="611">
        <f t="shared" ref="J363:J367" si="424">(H363-H364)*100/I363</f>
        <v>0</v>
      </c>
      <c r="K363" s="611">
        <f t="shared" ref="K363:K367" si="425">H363-H364</f>
        <v>0</v>
      </c>
    </row>
    <row r="364" spans="2:11">
      <c r="B364" s="441"/>
      <c r="C364" s="418"/>
      <c r="D364" s="557">
        <v>11</v>
      </c>
      <c r="E364" s="312">
        <v>10.5022</v>
      </c>
      <c r="F364" s="311">
        <v>5</v>
      </c>
      <c r="G364" s="313">
        <v>12.1</v>
      </c>
      <c r="H364" s="313">
        <f t="shared" si="422"/>
        <v>10.82</v>
      </c>
      <c r="I364" s="439"/>
      <c r="J364" s="439"/>
      <c r="K364" s="439"/>
    </row>
    <row r="365" spans="2:11">
      <c r="B365" s="440" t="s">
        <v>331</v>
      </c>
      <c r="C365" s="417"/>
      <c r="D365" s="557">
        <v>11</v>
      </c>
      <c r="E365" s="312">
        <v>12.9855</v>
      </c>
      <c r="F365" s="311">
        <v>1</v>
      </c>
      <c r="G365" s="313">
        <v>9.8</v>
      </c>
      <c r="H365" s="313">
        <f t="shared" si="422"/>
        <v>2.16</v>
      </c>
      <c r="I365" s="611">
        <f t="shared" ref="I365:I369" si="426">(H365+H366)/2</f>
        <v>2.16</v>
      </c>
      <c r="J365" s="611">
        <f t="shared" si="424"/>
        <v>0</v>
      </c>
      <c r="K365" s="611">
        <f t="shared" si="425"/>
        <v>0</v>
      </c>
    </row>
    <row r="366" spans="2:11">
      <c r="B366" s="441"/>
      <c r="C366" s="418"/>
      <c r="D366" s="557">
        <v>11</v>
      </c>
      <c r="E366" s="312">
        <v>12.9855</v>
      </c>
      <c r="F366" s="311">
        <v>1</v>
      </c>
      <c r="G366" s="313">
        <v>9.8</v>
      </c>
      <c r="H366" s="313">
        <f t="shared" si="422"/>
        <v>2.16</v>
      </c>
      <c r="I366" s="439"/>
      <c r="J366" s="439"/>
      <c r="K366" s="439"/>
    </row>
    <row r="367" spans="1:11">
      <c r="A367" s="508">
        <v>810</v>
      </c>
      <c r="B367" s="440" t="s">
        <v>332</v>
      </c>
      <c r="C367" s="417"/>
      <c r="D367" s="557">
        <v>11</v>
      </c>
      <c r="E367" s="312">
        <v>2.592</v>
      </c>
      <c r="F367" s="311">
        <v>1</v>
      </c>
      <c r="G367" s="313">
        <v>7.7</v>
      </c>
      <c r="H367" s="313">
        <f t="shared" si="422"/>
        <v>13.78</v>
      </c>
      <c r="I367" s="611">
        <f t="shared" si="426"/>
        <v>13.78</v>
      </c>
      <c r="J367" s="611">
        <f t="shared" si="424"/>
        <v>0</v>
      </c>
      <c r="K367" s="611">
        <f t="shared" si="425"/>
        <v>0</v>
      </c>
    </row>
    <row r="368" spans="2:11">
      <c r="B368" s="441"/>
      <c r="C368" s="418"/>
      <c r="D368" s="557">
        <v>11</v>
      </c>
      <c r="E368" s="312">
        <v>2.592</v>
      </c>
      <c r="F368" s="311">
        <v>1</v>
      </c>
      <c r="G368" s="313">
        <v>7.7</v>
      </c>
      <c r="H368" s="313">
        <f t="shared" si="422"/>
        <v>13.78</v>
      </c>
      <c r="I368" s="439"/>
      <c r="J368" s="439"/>
      <c r="K368" s="439"/>
    </row>
    <row r="369" spans="2:11">
      <c r="B369" s="440" t="s">
        <v>333</v>
      </c>
      <c r="C369" s="417"/>
      <c r="D369" s="557">
        <v>11</v>
      </c>
      <c r="E369" s="312">
        <v>2.262</v>
      </c>
      <c r="F369" s="311">
        <v>1</v>
      </c>
      <c r="G369" s="313">
        <v>7.6</v>
      </c>
      <c r="H369" s="313">
        <f t="shared" si="422"/>
        <v>16</v>
      </c>
      <c r="I369" s="611">
        <f t="shared" si="426"/>
        <v>16</v>
      </c>
      <c r="J369" s="611">
        <f t="shared" ref="J369:J373" si="427">(H369-H370)*100/I369</f>
        <v>0</v>
      </c>
      <c r="K369" s="611">
        <f t="shared" ref="K369:K373" si="428">H369-H370</f>
        <v>0</v>
      </c>
    </row>
    <row r="370" spans="2:11">
      <c r="B370" s="441"/>
      <c r="C370" s="418"/>
      <c r="D370" s="557">
        <v>11</v>
      </c>
      <c r="E370" s="312">
        <v>2.262</v>
      </c>
      <c r="F370" s="311">
        <v>1</v>
      </c>
      <c r="G370" s="313">
        <v>7.6</v>
      </c>
      <c r="H370" s="313">
        <f t="shared" si="422"/>
        <v>16</v>
      </c>
      <c r="I370" s="439"/>
      <c r="J370" s="439"/>
      <c r="K370" s="439"/>
    </row>
    <row r="371" spans="2:11">
      <c r="B371" s="440" t="s">
        <v>334</v>
      </c>
      <c r="C371" s="417"/>
      <c r="D371" s="557">
        <v>11</v>
      </c>
      <c r="E371" s="312">
        <v>2.4871</v>
      </c>
      <c r="F371" s="311">
        <v>1</v>
      </c>
      <c r="G371" s="313">
        <v>7.25</v>
      </c>
      <c r="H371" s="313">
        <f t="shared" si="422"/>
        <v>15.25</v>
      </c>
      <c r="I371" s="611">
        <f t="shared" ref="I371:I375" si="429">(H371+H372)/2</f>
        <v>15.25</v>
      </c>
      <c r="J371" s="611">
        <f t="shared" si="427"/>
        <v>0</v>
      </c>
      <c r="K371" s="611">
        <f t="shared" si="428"/>
        <v>0</v>
      </c>
    </row>
    <row r="372" spans="2:11">
      <c r="B372" s="441"/>
      <c r="C372" s="418"/>
      <c r="D372" s="557">
        <v>11</v>
      </c>
      <c r="E372" s="312">
        <v>2.4874</v>
      </c>
      <c r="F372" s="311">
        <v>1</v>
      </c>
      <c r="G372" s="313">
        <v>7.25</v>
      </c>
      <c r="H372" s="313">
        <f t="shared" si="422"/>
        <v>15.25</v>
      </c>
      <c r="I372" s="439"/>
      <c r="J372" s="439"/>
      <c r="K372" s="439"/>
    </row>
    <row r="373" spans="2:11">
      <c r="B373" s="440" t="s">
        <v>335</v>
      </c>
      <c r="C373" s="417"/>
      <c r="D373" s="557">
        <v>11</v>
      </c>
      <c r="E373" s="312">
        <v>2.573</v>
      </c>
      <c r="F373" s="311">
        <v>1</v>
      </c>
      <c r="G373" s="313">
        <v>10.6</v>
      </c>
      <c r="H373" s="313">
        <f t="shared" si="422"/>
        <v>10.08</v>
      </c>
      <c r="I373" s="611">
        <f t="shared" si="429"/>
        <v>10.08</v>
      </c>
      <c r="J373" s="611">
        <f t="shared" si="427"/>
        <v>0</v>
      </c>
      <c r="K373" s="611">
        <f t="shared" si="428"/>
        <v>0</v>
      </c>
    </row>
    <row r="374" spans="2:11">
      <c r="B374" s="441"/>
      <c r="C374" s="418"/>
      <c r="D374" s="557">
        <v>11</v>
      </c>
      <c r="E374" s="312">
        <v>2.573</v>
      </c>
      <c r="F374" s="311">
        <v>1</v>
      </c>
      <c r="G374" s="313">
        <v>10.6</v>
      </c>
      <c r="H374" s="313">
        <f t="shared" si="422"/>
        <v>10.08</v>
      </c>
      <c r="I374" s="439"/>
      <c r="J374" s="439"/>
      <c r="K374" s="439"/>
    </row>
    <row r="375" spans="2:11">
      <c r="B375" s="440" t="s">
        <v>336</v>
      </c>
      <c r="C375" s="417"/>
      <c r="D375" s="557">
        <v>11</v>
      </c>
      <c r="E375" s="312">
        <v>2.715</v>
      </c>
      <c r="F375" s="311">
        <v>1</v>
      </c>
      <c r="G375" s="313">
        <v>8.05</v>
      </c>
      <c r="H375" s="313">
        <f t="shared" si="422"/>
        <v>12.58</v>
      </c>
      <c r="I375" s="611">
        <f t="shared" si="429"/>
        <v>12.58</v>
      </c>
      <c r="J375" s="611">
        <f t="shared" ref="J375:J379" si="430">(H375-H376)*100/I375</f>
        <v>0</v>
      </c>
      <c r="K375" s="611">
        <f t="shared" ref="K375:K379" si="431">H375-H376</f>
        <v>0</v>
      </c>
    </row>
    <row r="376" spans="2:11">
      <c r="B376" s="441"/>
      <c r="C376" s="418"/>
      <c r="D376" s="557">
        <v>11</v>
      </c>
      <c r="E376" s="312">
        <v>2.715</v>
      </c>
      <c r="F376" s="311">
        <v>1</v>
      </c>
      <c r="G376" s="313">
        <v>8.05</v>
      </c>
      <c r="H376" s="313">
        <f t="shared" si="422"/>
        <v>12.58</v>
      </c>
      <c r="I376" s="439"/>
      <c r="J376" s="439"/>
      <c r="K376" s="439"/>
    </row>
    <row r="377" spans="2:11">
      <c r="B377" s="440" t="s">
        <v>337</v>
      </c>
      <c r="C377" s="417"/>
      <c r="D377" s="557">
        <v>11</v>
      </c>
      <c r="E377" s="312">
        <v>2.53</v>
      </c>
      <c r="F377" s="311">
        <v>1</v>
      </c>
      <c r="G377" s="313">
        <v>10.5</v>
      </c>
      <c r="H377" s="313">
        <f t="shared" si="422"/>
        <v>10.35</v>
      </c>
      <c r="I377" s="611">
        <f t="shared" ref="I377:I381" si="432">(H377+H378)/2</f>
        <v>10.35</v>
      </c>
      <c r="J377" s="611">
        <f t="shared" si="430"/>
        <v>0</v>
      </c>
      <c r="K377" s="611">
        <f t="shared" si="431"/>
        <v>0</v>
      </c>
    </row>
    <row r="378" spans="2:11">
      <c r="B378" s="441"/>
      <c r="C378" s="418"/>
      <c r="D378" s="557">
        <v>11</v>
      </c>
      <c r="E378" s="312">
        <v>2.53</v>
      </c>
      <c r="F378" s="311">
        <v>1</v>
      </c>
      <c r="G378" s="313">
        <v>10.5</v>
      </c>
      <c r="H378" s="313">
        <f t="shared" si="422"/>
        <v>10.35</v>
      </c>
      <c r="I378" s="439"/>
      <c r="J378" s="439"/>
      <c r="K378" s="439"/>
    </row>
    <row r="379" spans="2:11">
      <c r="B379" s="440" t="s">
        <v>338</v>
      </c>
      <c r="C379" s="417"/>
      <c r="D379" s="557">
        <v>11</v>
      </c>
      <c r="E379" s="312">
        <v>2.3329</v>
      </c>
      <c r="F379" s="311">
        <v>1</v>
      </c>
      <c r="G379" s="313">
        <v>11</v>
      </c>
      <c r="H379" s="313">
        <f t="shared" si="422"/>
        <v>10.72</v>
      </c>
      <c r="I379" s="611">
        <f t="shared" si="432"/>
        <v>10.72</v>
      </c>
      <c r="J379" s="611">
        <f t="shared" si="430"/>
        <v>0</v>
      </c>
      <c r="K379" s="611">
        <f t="shared" si="431"/>
        <v>0</v>
      </c>
    </row>
    <row r="380" spans="2:11">
      <c r="B380" s="441"/>
      <c r="C380" s="418"/>
      <c r="D380" s="557">
        <v>11</v>
      </c>
      <c r="E380" s="312">
        <v>2.3329</v>
      </c>
      <c r="F380" s="311">
        <v>1</v>
      </c>
      <c r="G380" s="313">
        <v>11</v>
      </c>
      <c r="H380" s="313">
        <f t="shared" si="422"/>
        <v>10.72</v>
      </c>
      <c r="I380" s="439"/>
      <c r="J380" s="439"/>
      <c r="K380" s="439"/>
    </row>
    <row r="381" spans="2:11">
      <c r="B381" s="440" t="s">
        <v>339</v>
      </c>
      <c r="C381" s="417"/>
      <c r="D381" s="557">
        <v>11</v>
      </c>
      <c r="E381" s="312">
        <v>2.4092</v>
      </c>
      <c r="F381" s="311">
        <v>1</v>
      </c>
      <c r="G381" s="313">
        <v>12.6</v>
      </c>
      <c r="H381" s="313">
        <f t="shared" si="422"/>
        <v>9.06</v>
      </c>
      <c r="I381" s="611">
        <f t="shared" si="432"/>
        <v>9.06</v>
      </c>
      <c r="J381" s="611">
        <f t="shared" ref="J381:J385" si="433">(H381-H382)*100/I381</f>
        <v>0</v>
      </c>
      <c r="K381" s="611">
        <f t="shared" ref="K381:K385" si="434">H381-H382</f>
        <v>0</v>
      </c>
    </row>
    <row r="382" spans="2:11">
      <c r="B382" s="441"/>
      <c r="C382" s="418"/>
      <c r="D382" s="557">
        <v>11</v>
      </c>
      <c r="E382" s="312">
        <v>2.4092</v>
      </c>
      <c r="F382" s="311">
        <v>1</v>
      </c>
      <c r="G382" s="313">
        <v>12.6</v>
      </c>
      <c r="H382" s="313">
        <f t="shared" si="422"/>
        <v>9.06</v>
      </c>
      <c r="I382" s="439"/>
      <c r="J382" s="439"/>
      <c r="K382" s="439"/>
    </row>
    <row r="383" spans="2:11">
      <c r="B383" s="440" t="s">
        <v>340</v>
      </c>
      <c r="C383" s="417"/>
      <c r="D383" s="557">
        <v>11</v>
      </c>
      <c r="E383" s="312">
        <v>2.5204</v>
      </c>
      <c r="F383" s="311">
        <v>1</v>
      </c>
      <c r="G383" s="313">
        <v>7.1</v>
      </c>
      <c r="H383" s="313">
        <f t="shared" si="422"/>
        <v>15.37</v>
      </c>
      <c r="I383" s="611">
        <f t="shared" ref="I383:I387" si="435">(H383+H384)/2</f>
        <v>15.37</v>
      </c>
      <c r="J383" s="611">
        <f t="shared" si="433"/>
        <v>0</v>
      </c>
      <c r="K383" s="611">
        <f t="shared" si="434"/>
        <v>0</v>
      </c>
    </row>
    <row r="384" spans="2:11">
      <c r="B384" s="441"/>
      <c r="C384" s="418"/>
      <c r="D384" s="557">
        <v>11</v>
      </c>
      <c r="E384" s="312">
        <v>2.5204</v>
      </c>
      <c r="F384" s="311">
        <v>1</v>
      </c>
      <c r="G384" s="313">
        <v>7.1</v>
      </c>
      <c r="H384" s="313">
        <f t="shared" si="422"/>
        <v>15.37</v>
      </c>
      <c r="I384" s="439"/>
      <c r="J384" s="439"/>
      <c r="K384" s="439"/>
    </row>
    <row r="385" spans="2:11">
      <c r="B385" s="440" t="s">
        <v>341</v>
      </c>
      <c r="C385" s="417"/>
      <c r="D385" s="557">
        <v>11</v>
      </c>
      <c r="E385" s="312">
        <v>2.6118</v>
      </c>
      <c r="F385" s="311">
        <v>1</v>
      </c>
      <c r="G385" s="313">
        <v>12.6</v>
      </c>
      <c r="H385" s="313">
        <f t="shared" si="422"/>
        <v>8.36</v>
      </c>
      <c r="I385" s="611">
        <f t="shared" si="435"/>
        <v>8.36</v>
      </c>
      <c r="J385" s="611">
        <f t="shared" si="433"/>
        <v>0</v>
      </c>
      <c r="K385" s="611">
        <f t="shared" si="434"/>
        <v>0</v>
      </c>
    </row>
    <row r="386" spans="2:11">
      <c r="B386" s="441"/>
      <c r="C386" s="418"/>
      <c r="D386" s="557">
        <v>11</v>
      </c>
      <c r="E386" s="312">
        <v>2.6118</v>
      </c>
      <c r="F386" s="311">
        <v>1</v>
      </c>
      <c r="G386" s="313">
        <v>12.6</v>
      </c>
      <c r="H386" s="313">
        <f t="shared" si="422"/>
        <v>8.36</v>
      </c>
      <c r="I386" s="439"/>
      <c r="J386" s="439"/>
      <c r="K386" s="439"/>
    </row>
    <row r="387" spans="2:11">
      <c r="B387" s="440" t="s">
        <v>342</v>
      </c>
      <c r="C387" s="417"/>
      <c r="D387" s="557">
        <v>11</v>
      </c>
      <c r="E387" s="312">
        <v>2.4947</v>
      </c>
      <c r="F387" s="311">
        <v>1</v>
      </c>
      <c r="G387" s="313">
        <v>8.5</v>
      </c>
      <c r="H387" s="313">
        <f t="shared" si="422"/>
        <v>12.97</v>
      </c>
      <c r="I387" s="611">
        <f t="shared" si="435"/>
        <v>12.97</v>
      </c>
      <c r="J387" s="611">
        <f t="shared" ref="J387:J391" si="436">(H387-H388)*100/I387</f>
        <v>0</v>
      </c>
      <c r="K387" s="611">
        <f t="shared" ref="K387:K391" si="437">H387-H388</f>
        <v>0</v>
      </c>
    </row>
    <row r="388" spans="2:11">
      <c r="B388" s="441"/>
      <c r="C388" s="418"/>
      <c r="D388" s="557">
        <v>11</v>
      </c>
      <c r="E388" s="312">
        <v>2.4947</v>
      </c>
      <c r="F388" s="311">
        <v>1</v>
      </c>
      <c r="G388" s="313">
        <v>8.5</v>
      </c>
      <c r="H388" s="313">
        <f t="shared" si="422"/>
        <v>12.97</v>
      </c>
      <c r="I388" s="439"/>
      <c r="J388" s="439"/>
      <c r="K388" s="439"/>
    </row>
    <row r="389" spans="2:11">
      <c r="B389" s="440" t="s">
        <v>343</v>
      </c>
      <c r="C389" s="417"/>
      <c r="D389" s="557">
        <v>11</v>
      </c>
      <c r="E389" s="312">
        <v>2.293</v>
      </c>
      <c r="F389" s="311">
        <v>1</v>
      </c>
      <c r="G389" s="313">
        <v>6.25</v>
      </c>
      <c r="H389" s="313">
        <f t="shared" si="422"/>
        <v>19.19</v>
      </c>
      <c r="I389" s="611">
        <f t="shared" ref="I389:I393" si="438">(H389+H390)/2</f>
        <v>19.19</v>
      </c>
      <c r="J389" s="611">
        <f t="shared" si="436"/>
        <v>0</v>
      </c>
      <c r="K389" s="611">
        <f t="shared" si="437"/>
        <v>0</v>
      </c>
    </row>
    <row r="390" spans="2:11">
      <c r="B390" s="441"/>
      <c r="C390" s="418"/>
      <c r="D390" s="557">
        <v>11</v>
      </c>
      <c r="E390" s="312">
        <v>2.293</v>
      </c>
      <c r="F390" s="311">
        <v>1</v>
      </c>
      <c r="G390" s="313">
        <v>6.25</v>
      </c>
      <c r="H390" s="313">
        <f t="shared" si="422"/>
        <v>19.19</v>
      </c>
      <c r="I390" s="439"/>
      <c r="J390" s="439"/>
      <c r="K390" s="439"/>
    </row>
    <row r="391" spans="2:11">
      <c r="B391" s="440" t="s">
        <v>344</v>
      </c>
      <c r="C391" s="417"/>
      <c r="D391" s="557">
        <v>11</v>
      </c>
      <c r="E391" s="312">
        <v>2.5059</v>
      </c>
      <c r="F391" s="311">
        <v>1</v>
      </c>
      <c r="G391" s="313">
        <v>6.65</v>
      </c>
      <c r="H391" s="313">
        <f t="shared" si="422"/>
        <v>16.5</v>
      </c>
      <c r="I391" s="611">
        <f t="shared" si="438"/>
        <v>16.5</v>
      </c>
      <c r="J391" s="611">
        <f t="shared" si="436"/>
        <v>0</v>
      </c>
      <c r="K391" s="611">
        <f t="shared" si="437"/>
        <v>0</v>
      </c>
    </row>
    <row r="392" spans="2:11">
      <c r="B392" s="441"/>
      <c r="C392" s="418"/>
      <c r="D392" s="557">
        <v>11</v>
      </c>
      <c r="E392" s="312">
        <v>2.5059</v>
      </c>
      <c r="F392" s="311">
        <v>1</v>
      </c>
      <c r="G392" s="313">
        <v>6.65</v>
      </c>
      <c r="H392" s="313">
        <f t="shared" si="422"/>
        <v>16.5</v>
      </c>
      <c r="I392" s="439"/>
      <c r="J392" s="439"/>
      <c r="K392" s="439"/>
    </row>
    <row r="393" spans="2:11">
      <c r="B393" s="440" t="s">
        <v>345</v>
      </c>
      <c r="C393" s="417"/>
      <c r="D393" s="557">
        <v>11</v>
      </c>
      <c r="E393" s="312">
        <v>2.5751</v>
      </c>
      <c r="F393" s="311">
        <v>1</v>
      </c>
      <c r="G393" s="313">
        <v>11.5</v>
      </c>
      <c r="H393" s="313">
        <f t="shared" si="422"/>
        <v>9.29</v>
      </c>
      <c r="I393" s="611">
        <f t="shared" si="438"/>
        <v>9.29</v>
      </c>
      <c r="J393" s="611">
        <f t="shared" ref="J393:J397" si="439">(H393-H394)*100/I393</f>
        <v>0</v>
      </c>
      <c r="K393" s="611">
        <f t="shared" ref="K393:K397" si="440">H393-H394</f>
        <v>0</v>
      </c>
    </row>
    <row r="394" spans="2:11">
      <c r="B394" s="441"/>
      <c r="C394" s="418"/>
      <c r="D394" s="557">
        <v>11</v>
      </c>
      <c r="E394" s="312">
        <v>2.5751</v>
      </c>
      <c r="F394" s="311">
        <v>1</v>
      </c>
      <c r="G394" s="313">
        <v>11.5</v>
      </c>
      <c r="H394" s="313">
        <f t="shared" si="422"/>
        <v>9.29</v>
      </c>
      <c r="I394" s="439"/>
      <c r="J394" s="439"/>
      <c r="K394" s="439"/>
    </row>
    <row r="395" spans="2:11">
      <c r="B395" s="440" t="s">
        <v>346</v>
      </c>
      <c r="C395" s="417"/>
      <c r="D395" s="557">
        <v>11</v>
      </c>
      <c r="E395" s="312">
        <v>2.4515</v>
      </c>
      <c r="F395" s="311">
        <v>1</v>
      </c>
      <c r="G395" s="313">
        <v>12.45</v>
      </c>
      <c r="H395" s="313">
        <f t="shared" si="422"/>
        <v>9.01</v>
      </c>
      <c r="I395" s="611">
        <f>(H395+H396)/2</f>
        <v>9.01</v>
      </c>
      <c r="J395" s="611">
        <f t="shared" si="439"/>
        <v>0</v>
      </c>
      <c r="K395" s="611">
        <f t="shared" si="440"/>
        <v>0</v>
      </c>
    </row>
    <row r="396" spans="2:11">
      <c r="B396" s="441"/>
      <c r="C396" s="418"/>
      <c r="D396" s="557">
        <v>11</v>
      </c>
      <c r="E396" s="312">
        <v>2.4515</v>
      </c>
      <c r="F396" s="311">
        <v>1</v>
      </c>
      <c r="G396" s="313">
        <v>12.45</v>
      </c>
      <c r="H396" s="313">
        <f t="shared" si="422"/>
        <v>9.01</v>
      </c>
      <c r="I396" s="439"/>
      <c r="J396" s="439"/>
      <c r="K396" s="439"/>
    </row>
    <row r="397" spans="2:11">
      <c r="B397" s="440" t="s">
        <v>347</v>
      </c>
      <c r="C397" s="417"/>
      <c r="D397" s="557">
        <v>11</v>
      </c>
      <c r="E397" s="312">
        <v>3.0095</v>
      </c>
      <c r="F397" s="311">
        <v>1</v>
      </c>
      <c r="G397" s="313">
        <v>10.25</v>
      </c>
      <c r="H397" s="313">
        <f t="shared" si="422"/>
        <v>8.91</v>
      </c>
      <c r="I397" s="611">
        <f t="shared" ref="I397:I401" si="441">(H397+H398)/2</f>
        <v>8.91</v>
      </c>
      <c r="J397" s="611">
        <f t="shared" si="439"/>
        <v>0</v>
      </c>
      <c r="K397" s="611">
        <f t="shared" si="440"/>
        <v>0</v>
      </c>
    </row>
    <row r="398" spans="2:11">
      <c r="B398" s="441"/>
      <c r="C398" s="418"/>
      <c r="D398" s="557">
        <v>11</v>
      </c>
      <c r="E398" s="312">
        <v>3.0095</v>
      </c>
      <c r="F398" s="311">
        <v>1</v>
      </c>
      <c r="G398" s="313">
        <v>10.25</v>
      </c>
      <c r="H398" s="313">
        <f t="shared" si="422"/>
        <v>8.91</v>
      </c>
      <c r="I398" s="439"/>
      <c r="J398" s="439"/>
      <c r="K398" s="439"/>
    </row>
    <row r="399" spans="2:11">
      <c r="B399" s="440" t="s">
        <v>348</v>
      </c>
      <c r="C399" s="417"/>
      <c r="D399" s="557">
        <v>11</v>
      </c>
      <c r="E399" s="312">
        <v>9.0727</v>
      </c>
      <c r="F399" s="311">
        <v>10</v>
      </c>
      <c r="G399" s="313">
        <v>9.55</v>
      </c>
      <c r="H399" s="313">
        <f t="shared" ref="H399:H408" si="442">ROUND(D399*100*F399*250/E399/G399/1000,2)</f>
        <v>31.74</v>
      </c>
      <c r="I399" s="611">
        <f t="shared" si="441"/>
        <v>31.915</v>
      </c>
      <c r="J399" s="611">
        <f t="shared" ref="J399" si="443">(H399-H400)*100/I399</f>
        <v>-1.09666301112331</v>
      </c>
      <c r="K399" s="611">
        <f t="shared" ref="K399" si="444">H399-H400</f>
        <v>-0.350000000000005</v>
      </c>
    </row>
    <row r="400" spans="2:11">
      <c r="B400" s="441"/>
      <c r="C400" s="418"/>
      <c r="D400" s="557">
        <v>11</v>
      </c>
      <c r="E400" s="312">
        <v>10.0224</v>
      </c>
      <c r="F400" s="311">
        <v>10</v>
      </c>
      <c r="G400" s="313">
        <v>8.55</v>
      </c>
      <c r="H400" s="313">
        <f t="shared" si="442"/>
        <v>32.09</v>
      </c>
      <c r="I400" s="439"/>
      <c r="J400" s="439"/>
      <c r="K400" s="439"/>
    </row>
    <row r="401" spans="1:11">
      <c r="A401" s="508">
        <v>8.11</v>
      </c>
      <c r="B401" s="440" t="s">
        <v>349</v>
      </c>
      <c r="C401" s="417"/>
      <c r="D401" s="557">
        <v>11</v>
      </c>
      <c r="E401" s="312">
        <v>2.9923</v>
      </c>
      <c r="F401" s="311">
        <v>1</v>
      </c>
      <c r="G401" s="313">
        <v>11.65</v>
      </c>
      <c r="H401" s="313">
        <f t="shared" si="442"/>
        <v>7.89</v>
      </c>
      <c r="I401" s="611">
        <f t="shared" si="441"/>
        <v>7.895</v>
      </c>
      <c r="J401" s="611">
        <f t="shared" ref="J401:J405" si="445">(H401-H402)*100/I401</f>
        <v>-0.126662444585189</v>
      </c>
      <c r="K401" s="611">
        <f t="shared" ref="K401:K405" si="446">H401-H402</f>
        <v>-0.0100000000000007</v>
      </c>
    </row>
    <row r="402" spans="2:11">
      <c r="B402" s="441"/>
      <c r="C402" s="418"/>
      <c r="D402" s="557">
        <v>11</v>
      </c>
      <c r="E402" s="312">
        <v>3.0017</v>
      </c>
      <c r="F402" s="311">
        <v>1</v>
      </c>
      <c r="G402" s="313">
        <v>11.6</v>
      </c>
      <c r="H402" s="313">
        <f t="shared" si="442"/>
        <v>7.9</v>
      </c>
      <c r="I402" s="439"/>
      <c r="J402" s="439"/>
      <c r="K402" s="439"/>
    </row>
    <row r="403" spans="2:11">
      <c r="B403" s="440" t="s">
        <v>350</v>
      </c>
      <c r="C403" s="417"/>
      <c r="D403" s="557">
        <v>10.7</v>
      </c>
      <c r="E403" s="312">
        <v>1.3933</v>
      </c>
      <c r="F403" s="311">
        <v>2</v>
      </c>
      <c r="G403" s="313">
        <v>9.6</v>
      </c>
      <c r="H403" s="313">
        <f t="shared" si="442"/>
        <v>40</v>
      </c>
      <c r="I403" s="611">
        <f t="shared" ref="I403:I407" si="447">(H403+H404)/2</f>
        <v>40.045</v>
      </c>
      <c r="J403" s="611">
        <f t="shared" si="445"/>
        <v>-0.224747159445632</v>
      </c>
      <c r="K403" s="611">
        <f t="shared" si="446"/>
        <v>-0.0900000000000034</v>
      </c>
    </row>
    <row r="404" spans="2:11">
      <c r="B404" s="441"/>
      <c r="C404" s="418"/>
      <c r="D404" s="557">
        <v>10.7</v>
      </c>
      <c r="E404" s="312">
        <v>1.45044</v>
      </c>
      <c r="F404" s="311">
        <v>2</v>
      </c>
      <c r="G404" s="313">
        <v>9.2</v>
      </c>
      <c r="H404" s="313">
        <f t="shared" si="442"/>
        <v>40.09</v>
      </c>
      <c r="I404" s="439"/>
      <c r="J404" s="439"/>
      <c r="K404" s="439"/>
    </row>
    <row r="405" spans="2:11">
      <c r="B405" s="440" t="s">
        <v>351</v>
      </c>
      <c r="C405" s="417"/>
      <c r="D405" s="557">
        <v>10.7</v>
      </c>
      <c r="E405" s="312">
        <v>2.0511</v>
      </c>
      <c r="F405" s="311">
        <v>4</v>
      </c>
      <c r="G405" s="313">
        <v>12.75</v>
      </c>
      <c r="H405" s="313">
        <f t="shared" si="442"/>
        <v>40.92</v>
      </c>
      <c r="I405" s="611">
        <f t="shared" si="447"/>
        <v>40.965</v>
      </c>
      <c r="J405" s="611">
        <f t="shared" si="445"/>
        <v>-0.219699743683623</v>
      </c>
      <c r="K405" s="611">
        <f t="shared" si="446"/>
        <v>-0.0899999999999963</v>
      </c>
    </row>
    <row r="406" spans="2:11">
      <c r="B406" s="441"/>
      <c r="C406" s="418"/>
      <c r="D406" s="557">
        <v>10.7</v>
      </c>
      <c r="E406" s="312">
        <v>2.0384</v>
      </c>
      <c r="F406" s="311">
        <v>4</v>
      </c>
      <c r="G406" s="313">
        <v>12.8</v>
      </c>
      <c r="H406" s="313">
        <f t="shared" si="442"/>
        <v>41.01</v>
      </c>
      <c r="I406" s="439"/>
      <c r="J406" s="439"/>
      <c r="K406" s="439"/>
    </row>
    <row r="407" spans="2:11">
      <c r="B407" s="440" t="s">
        <v>352</v>
      </c>
      <c r="C407" s="417"/>
      <c r="D407" s="557">
        <v>10.7</v>
      </c>
      <c r="E407" s="312">
        <v>1.214</v>
      </c>
      <c r="F407" s="311">
        <v>2</v>
      </c>
      <c r="G407" s="313">
        <v>10.9</v>
      </c>
      <c r="H407" s="313">
        <f t="shared" si="442"/>
        <v>40.43</v>
      </c>
      <c r="I407" s="611">
        <f t="shared" si="447"/>
        <v>40.355</v>
      </c>
      <c r="J407" s="611">
        <f>(H407-H408)*100/I407</f>
        <v>0.371701152273568</v>
      </c>
      <c r="K407" s="611">
        <f>H407-H408</f>
        <v>0.149999999999999</v>
      </c>
    </row>
    <row r="408" spans="2:11">
      <c r="B408" s="441"/>
      <c r="C408" s="418"/>
      <c r="D408" s="557">
        <v>10.7</v>
      </c>
      <c r="E408" s="312">
        <v>1.1209</v>
      </c>
      <c r="F408" s="311">
        <v>2</v>
      </c>
      <c r="G408" s="313">
        <v>11.85</v>
      </c>
      <c r="H408" s="313">
        <f t="shared" si="442"/>
        <v>40.28</v>
      </c>
      <c r="I408" s="439"/>
      <c r="J408" s="439"/>
      <c r="K408" s="439"/>
    </row>
    <row r="409" spans="2:11">
      <c r="B409" s="440" t="s">
        <v>353</v>
      </c>
      <c r="C409" s="302"/>
      <c r="D409" s="311">
        <v>11</v>
      </c>
      <c r="E409" s="312">
        <v>2.498</v>
      </c>
      <c r="F409" s="508">
        <v>1</v>
      </c>
      <c r="G409" s="324">
        <v>12.2</v>
      </c>
      <c r="H409" s="313">
        <f t="shared" ref="H409:H418" si="448">ROUND(D409*100*F409*250/E409/G409/1000,2)</f>
        <v>9.02</v>
      </c>
      <c r="I409" s="611">
        <f>(H409+H410)/2</f>
        <v>9.02</v>
      </c>
      <c r="J409" s="611">
        <f>(H409-H410)*100/I409</f>
        <v>0</v>
      </c>
      <c r="K409" s="611">
        <f>H409-H410</f>
        <v>0</v>
      </c>
    </row>
    <row r="410" spans="2:11">
      <c r="B410" s="441"/>
      <c r="C410" s="302"/>
      <c r="D410" s="311">
        <v>11</v>
      </c>
      <c r="E410" s="312">
        <v>2.498</v>
      </c>
      <c r="F410" s="508">
        <v>1</v>
      </c>
      <c r="G410" s="324">
        <v>12.2</v>
      </c>
      <c r="H410" s="313">
        <f t="shared" si="448"/>
        <v>9.02</v>
      </c>
      <c r="I410" s="439"/>
      <c r="J410" s="439"/>
      <c r="K410" s="439"/>
    </row>
    <row r="411" spans="2:11">
      <c r="B411" s="440" t="s">
        <v>354</v>
      </c>
      <c r="C411" s="302"/>
      <c r="D411" s="311">
        <v>11</v>
      </c>
      <c r="E411" s="312">
        <v>2.432</v>
      </c>
      <c r="F411" s="508">
        <v>1</v>
      </c>
      <c r="G411" s="324">
        <v>12.45</v>
      </c>
      <c r="H411" s="313">
        <f t="shared" si="448"/>
        <v>9.08</v>
      </c>
      <c r="I411" s="611">
        <f>(H411+H412)/2</f>
        <v>9.08</v>
      </c>
      <c r="J411" s="611">
        <f>(H411-H412)*100/I411</f>
        <v>0</v>
      </c>
      <c r="K411" s="611">
        <f>H411-H412</f>
        <v>0</v>
      </c>
    </row>
    <row r="412" spans="2:11">
      <c r="B412" s="441"/>
      <c r="C412" s="302"/>
      <c r="D412" s="311">
        <v>11</v>
      </c>
      <c r="E412" s="312">
        <v>2.432</v>
      </c>
      <c r="F412" s="508">
        <v>1</v>
      </c>
      <c r="G412" s="324">
        <v>12.45</v>
      </c>
      <c r="H412" s="313">
        <f t="shared" si="448"/>
        <v>9.08</v>
      </c>
      <c r="I412" s="439"/>
      <c r="J412" s="439"/>
      <c r="K412" s="439"/>
    </row>
    <row r="413" spans="2:11">
      <c r="B413" s="440" t="s">
        <v>355</v>
      </c>
      <c r="C413" s="302"/>
      <c r="D413" s="311">
        <v>11</v>
      </c>
      <c r="E413" s="312">
        <v>2.9424</v>
      </c>
      <c r="F413" s="508">
        <v>1</v>
      </c>
      <c r="G413" s="324">
        <v>10.65</v>
      </c>
      <c r="H413" s="313">
        <f t="shared" si="448"/>
        <v>8.78</v>
      </c>
      <c r="I413" s="611">
        <f t="shared" ref="I413:I417" si="449">(H413+H414)/2</f>
        <v>8.78</v>
      </c>
      <c r="J413" s="611">
        <f t="shared" ref="J413:J417" si="450">(H413-H414)*100/I413</f>
        <v>0</v>
      </c>
      <c r="K413" s="611">
        <f t="shared" ref="K413:K417" si="451">H413-H414</f>
        <v>0</v>
      </c>
    </row>
    <row r="414" spans="2:11">
      <c r="B414" s="441"/>
      <c r="C414" s="302"/>
      <c r="D414" s="311">
        <v>11</v>
      </c>
      <c r="E414" s="312">
        <v>2.9424</v>
      </c>
      <c r="F414" s="508">
        <v>1</v>
      </c>
      <c r="G414" s="324">
        <v>10.65</v>
      </c>
      <c r="H414" s="313">
        <f t="shared" si="448"/>
        <v>8.78</v>
      </c>
      <c r="I414" s="439"/>
      <c r="J414" s="439"/>
      <c r="K414" s="439"/>
    </row>
    <row r="415" spans="2:11">
      <c r="B415" s="440" t="s">
        <v>356</v>
      </c>
      <c r="C415" s="302"/>
      <c r="D415" s="311">
        <v>11</v>
      </c>
      <c r="E415" s="312">
        <v>2.5509</v>
      </c>
      <c r="F415" s="508">
        <v>1</v>
      </c>
      <c r="G415" s="324">
        <v>11.95</v>
      </c>
      <c r="H415" s="313">
        <f t="shared" si="448"/>
        <v>9.02</v>
      </c>
      <c r="I415" s="611">
        <f t="shared" si="449"/>
        <v>9.02</v>
      </c>
      <c r="J415" s="611">
        <f t="shared" si="450"/>
        <v>0</v>
      </c>
      <c r="K415" s="611">
        <f t="shared" si="451"/>
        <v>0</v>
      </c>
    </row>
    <row r="416" spans="2:11">
      <c r="B416" s="441"/>
      <c r="C416" s="302"/>
      <c r="D416" s="311">
        <v>11</v>
      </c>
      <c r="E416" s="312">
        <v>2.5509</v>
      </c>
      <c r="F416" s="508">
        <v>1</v>
      </c>
      <c r="G416" s="324">
        <v>11.95</v>
      </c>
      <c r="H416" s="313">
        <f t="shared" si="448"/>
        <v>9.02</v>
      </c>
      <c r="I416" s="439"/>
      <c r="J416" s="439"/>
      <c r="K416" s="439"/>
    </row>
    <row r="417" spans="2:11">
      <c r="B417" s="440" t="s">
        <v>357</v>
      </c>
      <c r="C417" s="302"/>
      <c r="D417" s="311">
        <v>11</v>
      </c>
      <c r="E417" s="312">
        <v>19.2865</v>
      </c>
      <c r="F417" s="508">
        <v>10</v>
      </c>
      <c r="G417" s="324">
        <v>10.7</v>
      </c>
      <c r="H417" s="313">
        <f t="shared" si="448"/>
        <v>13.33</v>
      </c>
      <c r="I417" s="611">
        <f t="shared" si="449"/>
        <v>13.33</v>
      </c>
      <c r="J417" s="611">
        <f t="shared" si="450"/>
        <v>0</v>
      </c>
      <c r="K417" s="611">
        <f t="shared" si="451"/>
        <v>0</v>
      </c>
    </row>
    <row r="418" spans="2:11">
      <c r="B418" s="441"/>
      <c r="C418" s="302"/>
      <c r="D418" s="311">
        <v>11</v>
      </c>
      <c r="E418" s="312">
        <v>19.2865</v>
      </c>
      <c r="F418" s="508">
        <v>10</v>
      </c>
      <c r="G418" s="324">
        <v>10.7</v>
      </c>
      <c r="H418" s="313">
        <f t="shared" si="448"/>
        <v>13.33</v>
      </c>
      <c r="I418" s="439"/>
      <c r="J418" s="439"/>
      <c r="K418" s="439"/>
    </row>
    <row r="419" spans="1:11">
      <c r="A419" s="508">
        <v>8.15</v>
      </c>
      <c r="B419" s="440" t="s">
        <v>358</v>
      </c>
      <c r="C419" s="302" t="s">
        <v>359</v>
      </c>
      <c r="D419" s="311">
        <v>11</v>
      </c>
      <c r="E419" s="312">
        <v>4.4213</v>
      </c>
      <c r="F419" s="508">
        <v>1</v>
      </c>
      <c r="G419" s="324">
        <v>10.7</v>
      </c>
      <c r="H419" s="313">
        <f>ROUND(D419*100*F419*100/E419/G419/1000,2)</f>
        <v>2.33</v>
      </c>
      <c r="I419" s="611">
        <f t="shared" ref="I419:I423" si="452">(H419+H420)/2</f>
        <v>2.33</v>
      </c>
      <c r="J419" s="611">
        <f t="shared" ref="J419:J423" si="453">(H419-H420)*100/I419</f>
        <v>0</v>
      </c>
      <c r="K419" s="611">
        <f t="shared" ref="K419:K423" si="454">H419-H420</f>
        <v>0</v>
      </c>
    </row>
    <row r="420" spans="2:11">
      <c r="B420" s="441"/>
      <c r="C420" s="302" t="s">
        <v>359</v>
      </c>
      <c r="D420" s="311">
        <v>11</v>
      </c>
      <c r="E420" s="312">
        <v>4.4213</v>
      </c>
      <c r="F420" s="508">
        <v>1</v>
      </c>
      <c r="G420" s="324">
        <v>10.7</v>
      </c>
      <c r="H420" s="313">
        <f>ROUND(D420*100*F420*100/E420/G420/1000,2)</f>
        <v>2.33</v>
      </c>
      <c r="I420" s="439"/>
      <c r="J420" s="439"/>
      <c r="K420" s="439"/>
    </row>
    <row r="421" spans="2:11">
      <c r="B421" s="440" t="s">
        <v>360</v>
      </c>
      <c r="C421" s="302"/>
      <c r="D421" s="311">
        <v>11</v>
      </c>
      <c r="E421" s="312">
        <v>2.6858</v>
      </c>
      <c r="F421" s="508">
        <v>1</v>
      </c>
      <c r="G421" s="324">
        <v>9.4</v>
      </c>
      <c r="H421" s="313">
        <f>ROUND(D421*100*F421*250/E421/G421/1000,2)</f>
        <v>10.89</v>
      </c>
      <c r="I421" s="611">
        <f t="shared" si="452"/>
        <v>10.89</v>
      </c>
      <c r="J421" s="611">
        <f t="shared" si="453"/>
        <v>0</v>
      </c>
      <c r="K421" s="611">
        <f t="shared" si="454"/>
        <v>0</v>
      </c>
    </row>
    <row r="422" spans="2:11">
      <c r="B422" s="441"/>
      <c r="C422" s="302"/>
      <c r="D422" s="311">
        <v>11</v>
      </c>
      <c r="E422" s="312">
        <v>2.6858</v>
      </c>
      <c r="F422" s="508">
        <v>1</v>
      </c>
      <c r="G422" s="324">
        <v>9.4</v>
      </c>
      <c r="H422" s="313">
        <f>ROUND(D422*100*F422*250/E422/G422/1000,2)</f>
        <v>10.89</v>
      </c>
      <c r="I422" s="439"/>
      <c r="J422" s="439"/>
      <c r="K422" s="439"/>
    </row>
    <row r="423" spans="2:11">
      <c r="B423" s="440" t="s">
        <v>361</v>
      </c>
      <c r="C423" s="302"/>
      <c r="D423" s="311">
        <v>11</v>
      </c>
      <c r="E423" s="312">
        <v>2.5327</v>
      </c>
      <c r="F423" s="508">
        <v>1</v>
      </c>
      <c r="G423" s="324">
        <v>9.95</v>
      </c>
      <c r="H423" s="313">
        <f t="shared" ref="H423:H426" si="455">ROUND(D423*100*F423*250/E423/G423/1000,2)</f>
        <v>10.91</v>
      </c>
      <c r="I423" s="611">
        <f t="shared" si="452"/>
        <v>10.91</v>
      </c>
      <c r="J423" s="611">
        <f t="shared" si="453"/>
        <v>0</v>
      </c>
      <c r="K423" s="611">
        <f t="shared" si="454"/>
        <v>0</v>
      </c>
    </row>
    <row r="424" spans="2:11">
      <c r="B424" s="441"/>
      <c r="C424" s="302"/>
      <c r="D424" s="311">
        <v>11</v>
      </c>
      <c r="E424" s="312">
        <v>2.5327</v>
      </c>
      <c r="F424" s="508">
        <v>1</v>
      </c>
      <c r="G424" s="324">
        <v>9.95</v>
      </c>
      <c r="H424" s="313">
        <f t="shared" si="455"/>
        <v>10.91</v>
      </c>
      <c r="I424" s="439"/>
      <c r="J424" s="439"/>
      <c r="K424" s="439"/>
    </row>
    <row r="425" spans="2:11">
      <c r="B425" s="440" t="s">
        <v>362</v>
      </c>
      <c r="C425" s="302"/>
      <c r="D425" s="311">
        <v>11</v>
      </c>
      <c r="E425" s="312">
        <v>2.7905</v>
      </c>
      <c r="F425" s="508">
        <v>1</v>
      </c>
      <c r="G425" s="324">
        <v>6.2</v>
      </c>
      <c r="H425" s="313">
        <f t="shared" si="455"/>
        <v>15.89</v>
      </c>
      <c r="I425" s="611">
        <f t="shared" ref="I425:I429" si="456">(H425+H426)/2</f>
        <v>15.89</v>
      </c>
      <c r="J425" s="611">
        <f t="shared" ref="J425:J429" si="457">(H425-H426)*100/I425</f>
        <v>0</v>
      </c>
      <c r="K425" s="611">
        <f t="shared" ref="K425:K429" si="458">H425-H426</f>
        <v>0</v>
      </c>
    </row>
    <row r="426" spans="2:11">
      <c r="B426" s="441"/>
      <c r="C426" s="302"/>
      <c r="D426" s="311">
        <v>11</v>
      </c>
      <c r="E426" s="312">
        <v>2.7905</v>
      </c>
      <c r="F426" s="508">
        <v>1</v>
      </c>
      <c r="G426" s="324">
        <v>6.2</v>
      </c>
      <c r="H426" s="313">
        <f t="shared" si="455"/>
        <v>15.89</v>
      </c>
      <c r="I426" s="439"/>
      <c r="J426" s="439"/>
      <c r="K426" s="439"/>
    </row>
    <row r="427" spans="3:11">
      <c r="C427" s="302"/>
      <c r="D427" s="311">
        <v>11</v>
      </c>
      <c r="E427" s="312">
        <v>10</v>
      </c>
      <c r="F427" s="508">
        <v>10</v>
      </c>
      <c r="G427" s="324">
        <v>13.7</v>
      </c>
      <c r="H427" s="313">
        <f t="shared" ref="H427:H432" si="459">ROUND(D427*100*F427*250/E427/G427/1000,2)</f>
        <v>20.07</v>
      </c>
      <c r="I427" s="611">
        <f t="shared" si="456"/>
        <v>20.07</v>
      </c>
      <c r="J427" s="611">
        <f t="shared" si="457"/>
        <v>0</v>
      </c>
      <c r="K427" s="611">
        <f t="shared" si="458"/>
        <v>0</v>
      </c>
    </row>
    <row r="428" spans="3:11">
      <c r="C428" s="302"/>
      <c r="D428" s="311">
        <v>11</v>
      </c>
      <c r="E428" s="312">
        <v>10</v>
      </c>
      <c r="F428" s="508">
        <v>10</v>
      </c>
      <c r="G428" s="324">
        <v>13.7</v>
      </c>
      <c r="H428" s="313">
        <f t="shared" si="459"/>
        <v>20.07</v>
      </c>
      <c r="I428" s="439"/>
      <c r="J428" s="439"/>
      <c r="K428" s="439"/>
    </row>
    <row r="429" spans="2:11">
      <c r="B429" s="440">
        <v>714416</v>
      </c>
      <c r="C429" s="302"/>
      <c r="D429" s="311">
        <v>11</v>
      </c>
      <c r="E429" s="312">
        <v>5.6902</v>
      </c>
      <c r="F429" s="508">
        <v>10</v>
      </c>
      <c r="G429" s="324">
        <v>18.5</v>
      </c>
      <c r="H429" s="313">
        <f t="shared" si="459"/>
        <v>26.12</v>
      </c>
      <c r="I429" s="611">
        <f t="shared" si="456"/>
        <v>26.12</v>
      </c>
      <c r="J429" s="611">
        <f t="shared" si="457"/>
        <v>0</v>
      </c>
      <c r="K429" s="611">
        <f t="shared" si="458"/>
        <v>0</v>
      </c>
    </row>
    <row r="430" spans="2:11">
      <c r="B430" s="441"/>
      <c r="C430" s="302"/>
      <c r="D430" s="311">
        <v>11</v>
      </c>
      <c r="E430" s="312">
        <v>5.6902</v>
      </c>
      <c r="F430" s="508">
        <v>10</v>
      </c>
      <c r="G430" s="324">
        <v>18.5</v>
      </c>
      <c r="H430" s="313">
        <f t="shared" si="459"/>
        <v>26.12</v>
      </c>
      <c r="I430" s="439"/>
      <c r="J430" s="439"/>
      <c r="K430" s="439"/>
    </row>
    <row r="431" spans="2:11">
      <c r="B431" s="440" t="s">
        <v>363</v>
      </c>
      <c r="C431" s="302"/>
      <c r="D431" s="311">
        <v>11</v>
      </c>
      <c r="E431" s="312">
        <v>15</v>
      </c>
      <c r="F431" s="508">
        <v>1</v>
      </c>
      <c r="G431" s="324">
        <v>4.2</v>
      </c>
      <c r="H431" s="313">
        <f t="shared" si="459"/>
        <v>4.37</v>
      </c>
      <c r="I431" s="611">
        <f>(H431+H432)/2</f>
        <v>4.37</v>
      </c>
      <c r="J431" s="611">
        <f>(H431-H432)*100/I431</f>
        <v>0</v>
      </c>
      <c r="K431" s="611">
        <f>H431-H432</f>
        <v>0</v>
      </c>
    </row>
    <row r="432" spans="2:11">
      <c r="B432" s="441"/>
      <c r="C432" s="302"/>
      <c r="D432" s="311">
        <v>11</v>
      </c>
      <c r="E432" s="312">
        <v>15</v>
      </c>
      <c r="F432" s="508">
        <v>1</v>
      </c>
      <c r="G432" s="324">
        <v>4.2</v>
      </c>
      <c r="H432" s="313">
        <f t="shared" si="459"/>
        <v>4.37</v>
      </c>
      <c r="I432" s="439"/>
      <c r="J432" s="439"/>
      <c r="K432" s="439"/>
    </row>
    <row r="433" spans="1:11">
      <c r="A433" s="508">
        <v>8.25</v>
      </c>
      <c r="B433" s="440" t="s">
        <v>364</v>
      </c>
      <c r="C433" s="302"/>
      <c r="D433" s="311">
        <v>10.95</v>
      </c>
      <c r="E433" s="312">
        <v>2.6593</v>
      </c>
      <c r="F433" s="508">
        <v>1</v>
      </c>
      <c r="G433" s="324">
        <v>6.7</v>
      </c>
      <c r="H433" s="313">
        <f t="shared" ref="H433:H440" si="460">ROUND(D433*100*F433*250/E433/G433/1000,2)</f>
        <v>15.36</v>
      </c>
      <c r="I433" s="611">
        <f>(H433+H434)/2</f>
        <v>15.36</v>
      </c>
      <c r="J433" s="611">
        <f>(H433-H434)*100/I433</f>
        <v>0</v>
      </c>
      <c r="K433" s="611">
        <f>H433-H434</f>
        <v>0</v>
      </c>
    </row>
    <row r="434" spans="2:11">
      <c r="B434" s="441"/>
      <c r="C434" s="302"/>
      <c r="D434" s="311">
        <v>10.95</v>
      </c>
      <c r="E434" s="312">
        <v>2.6593</v>
      </c>
      <c r="F434" s="508">
        <v>1</v>
      </c>
      <c r="G434" s="324">
        <v>6.7</v>
      </c>
      <c r="H434" s="313">
        <f t="shared" si="460"/>
        <v>15.36</v>
      </c>
      <c r="I434" s="439"/>
      <c r="J434" s="439"/>
      <c r="K434" s="439"/>
    </row>
    <row r="435" spans="2:11">
      <c r="B435" s="440" t="s">
        <v>365</v>
      </c>
      <c r="C435" s="302"/>
      <c r="D435" s="311">
        <v>10.95</v>
      </c>
      <c r="E435" s="312">
        <v>2.6352</v>
      </c>
      <c r="F435" s="508">
        <v>1</v>
      </c>
      <c r="G435" s="324">
        <v>8.6</v>
      </c>
      <c r="H435" s="313">
        <f t="shared" si="460"/>
        <v>12.08</v>
      </c>
      <c r="I435" s="611">
        <f t="shared" ref="I435:I439" si="461">(H435+H436)/2</f>
        <v>12.08</v>
      </c>
      <c r="J435" s="611">
        <f t="shared" ref="J435:J439" si="462">(H435-H436)*100/I435</f>
        <v>0</v>
      </c>
      <c r="K435" s="611">
        <f t="shared" ref="K435:K439" si="463">H435-H436</f>
        <v>0</v>
      </c>
    </row>
    <row r="436" spans="2:11">
      <c r="B436" s="441"/>
      <c r="C436" s="302"/>
      <c r="D436" s="311">
        <v>10.95</v>
      </c>
      <c r="E436" s="312">
        <v>2.6352</v>
      </c>
      <c r="F436" s="508">
        <v>1</v>
      </c>
      <c r="G436" s="324">
        <v>8.6</v>
      </c>
      <c r="H436" s="313">
        <f t="shared" si="460"/>
        <v>12.08</v>
      </c>
      <c r="I436" s="439"/>
      <c r="J436" s="439"/>
      <c r="K436" s="439"/>
    </row>
    <row r="437" spans="2:11">
      <c r="B437" s="440" t="s">
        <v>366</v>
      </c>
      <c r="C437" s="302"/>
      <c r="D437" s="311">
        <v>10.95</v>
      </c>
      <c r="E437" s="312">
        <v>2.7735</v>
      </c>
      <c r="F437" s="508">
        <v>1</v>
      </c>
      <c r="G437" s="324">
        <v>7.2</v>
      </c>
      <c r="H437" s="313">
        <f t="shared" si="460"/>
        <v>13.71</v>
      </c>
      <c r="I437" s="611">
        <f t="shared" si="461"/>
        <v>13.71</v>
      </c>
      <c r="J437" s="611">
        <f t="shared" si="462"/>
        <v>0</v>
      </c>
      <c r="K437" s="611">
        <f t="shared" si="463"/>
        <v>0</v>
      </c>
    </row>
    <row r="438" spans="2:11">
      <c r="B438" s="441"/>
      <c r="C438" s="302"/>
      <c r="D438" s="311">
        <v>10.95</v>
      </c>
      <c r="E438" s="312">
        <v>2.7735</v>
      </c>
      <c r="F438" s="508">
        <v>1</v>
      </c>
      <c r="G438" s="324">
        <v>7.2</v>
      </c>
      <c r="H438" s="313">
        <f t="shared" si="460"/>
        <v>13.71</v>
      </c>
      <c r="I438" s="439"/>
      <c r="J438" s="439"/>
      <c r="K438" s="439"/>
    </row>
    <row r="439" spans="2:11">
      <c r="B439" s="440" t="s">
        <v>367</v>
      </c>
      <c r="C439" s="302"/>
      <c r="D439" s="311">
        <v>10.95</v>
      </c>
      <c r="E439" s="312">
        <v>2.7326</v>
      </c>
      <c r="F439" s="508">
        <v>1</v>
      </c>
      <c r="G439" s="324">
        <v>10.01</v>
      </c>
      <c r="H439" s="313">
        <f t="shared" si="460"/>
        <v>10.01</v>
      </c>
      <c r="I439" s="611">
        <f t="shared" si="461"/>
        <v>10.01</v>
      </c>
      <c r="J439" s="611">
        <f t="shared" si="462"/>
        <v>0</v>
      </c>
      <c r="K439" s="611">
        <f t="shared" si="463"/>
        <v>0</v>
      </c>
    </row>
    <row r="440" spans="2:11">
      <c r="B440" s="441"/>
      <c r="C440" s="302"/>
      <c r="D440" s="311">
        <v>10.95</v>
      </c>
      <c r="E440" s="312">
        <v>2.7326</v>
      </c>
      <c r="F440" s="508">
        <v>1</v>
      </c>
      <c r="G440" s="324">
        <v>10.01</v>
      </c>
      <c r="H440" s="313">
        <f t="shared" si="460"/>
        <v>10.01</v>
      </c>
      <c r="I440" s="439"/>
      <c r="J440" s="439"/>
      <c r="K440" s="439"/>
    </row>
  </sheetData>
  <autoFilter xmlns:etc="http://www.wps.cn/officeDocument/2017/etCustomData" ref="B2:O4" etc:filterBottomFollowUsedRange="0">
    <extLst/>
  </autoFilter>
  <mergeCells count="1090">
    <mergeCell ref="B3:B4"/>
    <mergeCell ref="B6:B7"/>
    <mergeCell ref="B8:B9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9:B430"/>
    <mergeCell ref="B431:B432"/>
    <mergeCell ref="B433:B434"/>
    <mergeCell ref="B435:B436"/>
    <mergeCell ref="B437:B438"/>
    <mergeCell ref="B439:B440"/>
    <mergeCell ref="C3:C4"/>
    <mergeCell ref="C6:C7"/>
    <mergeCell ref="C8:C9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3:C334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I3:I4"/>
    <mergeCell ref="I6:I7"/>
    <mergeCell ref="I8:I9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2:I163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88:I189"/>
    <mergeCell ref="I190:I191"/>
    <mergeCell ref="I192:I193"/>
    <mergeCell ref="I194:I195"/>
    <mergeCell ref="I196:I197"/>
    <mergeCell ref="I198:I199"/>
    <mergeCell ref="I200:I201"/>
    <mergeCell ref="I202:I203"/>
    <mergeCell ref="I204:I205"/>
    <mergeCell ref="I206:I207"/>
    <mergeCell ref="I208:I209"/>
    <mergeCell ref="I210:I211"/>
    <mergeCell ref="I212:I213"/>
    <mergeCell ref="I214:I215"/>
    <mergeCell ref="I216:I217"/>
    <mergeCell ref="I218:I219"/>
    <mergeCell ref="I220:I22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I258:I259"/>
    <mergeCell ref="I260:I261"/>
    <mergeCell ref="I262:I263"/>
    <mergeCell ref="I264:I265"/>
    <mergeCell ref="I266:I267"/>
    <mergeCell ref="I268:I269"/>
    <mergeCell ref="I270:I271"/>
    <mergeCell ref="I272:I273"/>
    <mergeCell ref="I274:I275"/>
    <mergeCell ref="I276:I277"/>
    <mergeCell ref="I278:I279"/>
    <mergeCell ref="I280:I281"/>
    <mergeCell ref="I282:I283"/>
    <mergeCell ref="I284:I285"/>
    <mergeCell ref="I286:I287"/>
    <mergeCell ref="I288:I289"/>
    <mergeCell ref="I290:I291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J3:J4"/>
    <mergeCell ref="J6:J7"/>
    <mergeCell ref="J8:J9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J317:J318"/>
    <mergeCell ref="J319:J320"/>
    <mergeCell ref="J321:J322"/>
    <mergeCell ref="J323:J324"/>
    <mergeCell ref="J325:J326"/>
    <mergeCell ref="J327:J328"/>
    <mergeCell ref="J329:J330"/>
    <mergeCell ref="J331:J332"/>
    <mergeCell ref="J333:J334"/>
    <mergeCell ref="J335:J336"/>
    <mergeCell ref="J337:J338"/>
    <mergeCell ref="J339:J340"/>
    <mergeCell ref="J341:J342"/>
    <mergeCell ref="J343:J344"/>
    <mergeCell ref="J345:J346"/>
    <mergeCell ref="J347:J348"/>
    <mergeCell ref="J349:J350"/>
    <mergeCell ref="J351:J352"/>
    <mergeCell ref="J353:J354"/>
    <mergeCell ref="J355:J356"/>
    <mergeCell ref="J357:J358"/>
    <mergeCell ref="J359:J360"/>
    <mergeCell ref="J361:J362"/>
    <mergeCell ref="J363:J364"/>
    <mergeCell ref="J365:J366"/>
    <mergeCell ref="J367:J368"/>
    <mergeCell ref="J369:J370"/>
    <mergeCell ref="J371:J372"/>
    <mergeCell ref="J373:J374"/>
    <mergeCell ref="J375:J376"/>
    <mergeCell ref="J377:J378"/>
    <mergeCell ref="J379:J380"/>
    <mergeCell ref="J381:J382"/>
    <mergeCell ref="J383:J384"/>
    <mergeCell ref="J385:J386"/>
    <mergeCell ref="J387:J388"/>
    <mergeCell ref="J389:J390"/>
    <mergeCell ref="J391:J392"/>
    <mergeCell ref="J393:J394"/>
    <mergeCell ref="J395:J396"/>
    <mergeCell ref="J397:J398"/>
    <mergeCell ref="J399:J400"/>
    <mergeCell ref="J401:J402"/>
    <mergeCell ref="J403:J404"/>
    <mergeCell ref="J405:J406"/>
    <mergeCell ref="J407:J408"/>
    <mergeCell ref="J409:J410"/>
    <mergeCell ref="J411:J412"/>
    <mergeCell ref="J413:J414"/>
    <mergeCell ref="J415:J416"/>
    <mergeCell ref="J417:J418"/>
    <mergeCell ref="J419:J420"/>
    <mergeCell ref="J421:J422"/>
    <mergeCell ref="J423:J424"/>
    <mergeCell ref="J425:J426"/>
    <mergeCell ref="J427:J428"/>
    <mergeCell ref="J429:J430"/>
    <mergeCell ref="J431:J432"/>
    <mergeCell ref="J433:J434"/>
    <mergeCell ref="J435:J436"/>
    <mergeCell ref="J437:J438"/>
    <mergeCell ref="J439:J440"/>
    <mergeCell ref="K3:K4"/>
    <mergeCell ref="K6:K7"/>
    <mergeCell ref="K8:K9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60:K161"/>
    <mergeCell ref="K162:K163"/>
    <mergeCell ref="K164:K165"/>
    <mergeCell ref="K166:K167"/>
    <mergeCell ref="K168:K169"/>
    <mergeCell ref="K170:K171"/>
    <mergeCell ref="K172:K173"/>
    <mergeCell ref="K174:K175"/>
    <mergeCell ref="K176:K177"/>
    <mergeCell ref="K178:K179"/>
    <mergeCell ref="K180:K181"/>
    <mergeCell ref="K182:K183"/>
    <mergeCell ref="K184:K185"/>
    <mergeCell ref="K186:K187"/>
    <mergeCell ref="K188:K189"/>
    <mergeCell ref="K190:K191"/>
    <mergeCell ref="K192:K193"/>
    <mergeCell ref="K194:K195"/>
    <mergeCell ref="K196:K197"/>
    <mergeCell ref="K198:K199"/>
    <mergeCell ref="K200:K201"/>
    <mergeCell ref="K202:K203"/>
    <mergeCell ref="K204:K205"/>
    <mergeCell ref="K206:K207"/>
    <mergeCell ref="K208:K209"/>
    <mergeCell ref="K210:K211"/>
    <mergeCell ref="K212:K213"/>
    <mergeCell ref="K214:K215"/>
    <mergeCell ref="K216:K217"/>
    <mergeCell ref="K218:K219"/>
    <mergeCell ref="K220:K221"/>
    <mergeCell ref="K222:K223"/>
    <mergeCell ref="K224:K225"/>
    <mergeCell ref="K226:K227"/>
    <mergeCell ref="K228:K229"/>
    <mergeCell ref="K230:K231"/>
    <mergeCell ref="K232:K233"/>
    <mergeCell ref="K234:K235"/>
    <mergeCell ref="K236:K237"/>
    <mergeCell ref="K238:K239"/>
    <mergeCell ref="K240:K241"/>
    <mergeCell ref="K242:K243"/>
    <mergeCell ref="K244:K245"/>
    <mergeCell ref="K246:K247"/>
    <mergeCell ref="K248:K249"/>
    <mergeCell ref="K250:K251"/>
    <mergeCell ref="K252:K253"/>
    <mergeCell ref="K254:K255"/>
    <mergeCell ref="K256:K257"/>
    <mergeCell ref="K258:K259"/>
    <mergeCell ref="K260:K261"/>
    <mergeCell ref="K262:K263"/>
    <mergeCell ref="K264:K265"/>
    <mergeCell ref="K266:K267"/>
    <mergeCell ref="K268:K269"/>
    <mergeCell ref="K270:K271"/>
    <mergeCell ref="K272:K273"/>
    <mergeCell ref="K274:K275"/>
    <mergeCell ref="K276:K277"/>
    <mergeCell ref="K278:K279"/>
    <mergeCell ref="K280:K281"/>
    <mergeCell ref="K282:K283"/>
    <mergeCell ref="K284:K285"/>
    <mergeCell ref="K286:K287"/>
    <mergeCell ref="K288:K289"/>
    <mergeCell ref="K290:K291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L3:L4"/>
    <mergeCell ref="L6:L7"/>
    <mergeCell ref="L8:L9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7:L118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1:L142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74:L175"/>
    <mergeCell ref="L176:L177"/>
    <mergeCell ref="L178:L179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42"/>
  <sheetViews>
    <sheetView workbookViewId="0">
      <pane ySplit="1" topLeftCell="A220" activePane="bottomLeft" state="frozen"/>
      <selection/>
      <selection pane="bottomLeft" activeCell="E242" sqref="E242"/>
    </sheetView>
  </sheetViews>
  <sheetFormatPr defaultColWidth="9.125" defaultRowHeight="17.25"/>
  <cols>
    <col min="1" max="1" width="9.125" style="293"/>
    <col min="2" max="2" width="16.875" style="496" customWidth="1"/>
    <col min="3" max="3" width="15" style="317" customWidth="1"/>
    <col min="4" max="4" width="11.875" style="293" customWidth="1"/>
    <col min="5" max="5" width="14.375" style="293" customWidth="1"/>
    <col min="6" max="6" width="10.5" style="293" customWidth="1"/>
    <col min="7" max="7" width="15.5" style="497" customWidth="1"/>
    <col min="8" max="8" width="11.75" style="498" customWidth="1"/>
    <col min="9" max="9" width="18" style="301" customWidth="1"/>
    <col min="10" max="10" width="11.625" style="293" customWidth="1"/>
    <col min="11" max="12" width="9" style="317" customWidth="1"/>
    <col min="13" max="13" width="9" style="499" customWidth="1"/>
    <col min="14" max="14" width="9" style="317" customWidth="1"/>
    <col min="15" max="16384" width="9.125" style="293"/>
  </cols>
  <sheetData>
    <row r="1" s="494" customFormat="1" spans="2:14">
      <c r="B1" s="500" t="s">
        <v>2</v>
      </c>
      <c r="C1" s="501" t="s">
        <v>368</v>
      </c>
      <c r="D1" s="494" t="s">
        <v>140</v>
      </c>
      <c r="E1" s="502" t="s">
        <v>141</v>
      </c>
      <c r="F1" s="494" t="s">
        <v>143</v>
      </c>
      <c r="G1" s="503" t="s">
        <v>144</v>
      </c>
      <c r="H1" s="504" t="s">
        <v>145</v>
      </c>
      <c r="I1" s="545" t="s">
        <v>146</v>
      </c>
      <c r="J1" s="494" t="s">
        <v>147</v>
      </c>
      <c r="K1" s="501"/>
      <c r="L1" s="501"/>
      <c r="M1" s="546"/>
      <c r="N1" s="501"/>
    </row>
    <row r="2" ht="20.25" spans="1:9">
      <c r="A2" s="505"/>
      <c r="B2" s="506" t="s">
        <v>369</v>
      </c>
      <c r="C2" s="507" t="s">
        <v>370</v>
      </c>
      <c r="D2" s="293">
        <v>11.3</v>
      </c>
      <c r="E2" s="265">
        <v>3.4589</v>
      </c>
      <c r="F2" s="508">
        <v>6.1</v>
      </c>
      <c r="G2" s="497">
        <f>(D2-F2)*250*100/E2/10/1000</f>
        <v>3.75842030703403</v>
      </c>
      <c r="H2" s="509">
        <f t="shared" ref="H2" si="0">(G2+G3)/2</f>
        <v>3.75592445985453</v>
      </c>
      <c r="I2" s="509">
        <f t="shared" ref="I2" si="1">(G2-G3)/H2*100</f>
        <v>0.132901883739744</v>
      </c>
    </row>
    <row r="3" ht="20.25" spans="1:9">
      <c r="A3" s="510"/>
      <c r="B3" s="511"/>
      <c r="C3" s="512"/>
      <c r="D3" s="293">
        <v>11.3</v>
      </c>
      <c r="E3" s="278">
        <v>3.4635</v>
      </c>
      <c r="F3" s="508">
        <v>6.1</v>
      </c>
      <c r="G3" s="497">
        <f>(D3-F3)*250*100/E3/10/1000</f>
        <v>3.75342861267504</v>
      </c>
      <c r="H3" s="513"/>
      <c r="I3" s="513"/>
    </row>
    <row r="4" ht="21" spans="1:9">
      <c r="A4" s="505"/>
      <c r="B4" s="514" t="s">
        <v>371</v>
      </c>
      <c r="C4" s="507" t="s">
        <v>372</v>
      </c>
      <c r="D4" s="515">
        <v>11.5</v>
      </c>
      <c r="E4" s="516">
        <v>3.6217</v>
      </c>
      <c r="F4" s="517">
        <v>11.25</v>
      </c>
      <c r="G4" s="518">
        <f>(D4-F4)*250*100/E4/10/1000</f>
        <v>0.172570892122484</v>
      </c>
      <c r="H4" s="519">
        <f t="shared" ref="H4" si="2">(G4+G5)/2</f>
        <v>0.172245725535303</v>
      </c>
      <c r="I4" s="519">
        <f t="shared" ref="I4" si="3">(G4-G5)/H4*100</f>
        <v>0.377561284810738</v>
      </c>
    </row>
    <row r="5" ht="21" spans="1:9">
      <c r="A5" s="510"/>
      <c r="B5" s="520"/>
      <c r="C5" s="512"/>
      <c r="D5" s="515">
        <v>11.5</v>
      </c>
      <c r="E5" s="521">
        <v>3.6354</v>
      </c>
      <c r="F5" s="517">
        <v>11.25</v>
      </c>
      <c r="G5" s="518">
        <f>(D5-F5)*250*100/E5/10/1000</f>
        <v>0.171920558948121</v>
      </c>
      <c r="H5" s="522"/>
      <c r="I5" s="522"/>
    </row>
    <row r="7" ht="21" spans="1:9">
      <c r="A7" s="505"/>
      <c r="B7" s="514" t="s">
        <v>373</v>
      </c>
      <c r="C7" s="507" t="s">
        <v>372</v>
      </c>
      <c r="D7" s="515">
        <v>11.3</v>
      </c>
      <c r="E7" s="516">
        <v>3.2524</v>
      </c>
      <c r="F7" s="517">
        <v>11.2</v>
      </c>
      <c r="G7" s="518">
        <f t="shared" ref="G7:G12" si="4">(D7-F7)*250*100/E7/10/1000</f>
        <v>0.076866314106507</v>
      </c>
      <c r="H7" s="519">
        <f t="shared" ref="H7" si="5">(G7+G8)/2</f>
        <v>0.116729430150655</v>
      </c>
      <c r="I7" s="519">
        <f t="shared" ref="I7" si="6">(G7-G8)/H7*100</f>
        <v>-68.3000268102036</v>
      </c>
    </row>
    <row r="8" ht="21" spans="1:9">
      <c r="A8" s="510"/>
      <c r="B8" s="520"/>
      <c r="C8" s="512"/>
      <c r="D8" s="515">
        <v>11.3</v>
      </c>
      <c r="E8" s="521">
        <v>3.193</v>
      </c>
      <c r="F8" s="517">
        <v>11.1</v>
      </c>
      <c r="G8" s="518">
        <f t="shared" si="4"/>
        <v>0.156592546194802</v>
      </c>
      <c r="H8" s="522"/>
      <c r="I8" s="522"/>
    </row>
    <row r="9" ht="21" spans="1:9">
      <c r="A9" s="505"/>
      <c r="B9" s="514" t="s">
        <v>374</v>
      </c>
      <c r="C9" s="507"/>
      <c r="D9" s="515">
        <v>11.45</v>
      </c>
      <c r="E9" s="516">
        <v>3.6284</v>
      </c>
      <c r="F9" s="517">
        <v>11</v>
      </c>
      <c r="G9" s="518">
        <f t="shared" si="4"/>
        <v>0.310054018300077</v>
      </c>
      <c r="H9" s="519">
        <f t="shared" ref="H9" si="7">(G9+G10)/2</f>
        <v>0.305560902692469</v>
      </c>
      <c r="I9" s="519">
        <f t="shared" ref="I9" si="8">(G9-G10)/H9*100</f>
        <v>2.94089693283187</v>
      </c>
    </row>
    <row r="10" ht="21" spans="1:9">
      <c r="A10" s="510"/>
      <c r="B10" s="520"/>
      <c r="C10" s="512"/>
      <c r="D10" s="515">
        <v>11.45</v>
      </c>
      <c r="E10" s="521">
        <v>3.7367</v>
      </c>
      <c r="F10" s="517">
        <v>11</v>
      </c>
      <c r="G10" s="518">
        <f t="shared" si="4"/>
        <v>0.301067787084861</v>
      </c>
      <c r="H10" s="522"/>
      <c r="I10" s="522"/>
    </row>
    <row r="11" ht="21" spans="1:9">
      <c r="A11" s="505"/>
      <c r="B11" s="514" t="s">
        <v>375</v>
      </c>
      <c r="C11" s="507" t="s">
        <v>376</v>
      </c>
      <c r="D11" s="515">
        <v>11.5</v>
      </c>
      <c r="E11" s="516">
        <v>2.6786</v>
      </c>
      <c r="F11" s="517">
        <v>10.7</v>
      </c>
      <c r="G11" s="518">
        <f t="shared" si="4"/>
        <v>0.746658702307176</v>
      </c>
      <c r="H11" s="519">
        <f t="shared" ref="H11" si="9">(G11+G12)/2</f>
        <v>0.749877907089876</v>
      </c>
      <c r="I11" s="519">
        <f t="shared" ref="I11" si="10">(G11-G12)/H11*100</f>
        <v>-0.858594379768661</v>
      </c>
    </row>
    <row r="12" ht="21" spans="1:9">
      <c r="A12" s="510"/>
      <c r="B12" s="520"/>
      <c r="C12" s="512"/>
      <c r="D12" s="515">
        <v>11.5</v>
      </c>
      <c r="E12" s="521">
        <v>2.6557</v>
      </c>
      <c r="F12" s="517">
        <v>10.7</v>
      </c>
      <c r="G12" s="518">
        <f t="shared" si="4"/>
        <v>0.753097111872577</v>
      </c>
      <c r="H12" s="522"/>
      <c r="I12" s="522"/>
    </row>
    <row r="15" ht="21" spans="1:9">
      <c r="A15" s="505"/>
      <c r="B15" s="514" t="s">
        <v>375</v>
      </c>
      <c r="C15" s="507" t="s">
        <v>376</v>
      </c>
      <c r="D15" s="515">
        <v>11.6</v>
      </c>
      <c r="E15" s="516">
        <v>3.3669</v>
      </c>
      <c r="F15" s="517">
        <v>9.7</v>
      </c>
      <c r="G15" s="518">
        <f t="shared" ref="G15:G16" si="11">(D15-F15)*250*100/E15/10/1000</f>
        <v>1.41079331135466</v>
      </c>
      <c r="H15" s="519">
        <f t="shared" ref="H15" si="12">(G15+G16)/2</f>
        <v>1.38484165639254</v>
      </c>
      <c r="I15" s="519">
        <f t="shared" ref="I15" si="13">(G15-G16)/H15*100</f>
        <v>3.74795989741198</v>
      </c>
    </row>
    <row r="16" ht="21" spans="1:9">
      <c r="A16" s="510"/>
      <c r="B16" s="520"/>
      <c r="C16" s="512"/>
      <c r="D16" s="515">
        <v>11.6</v>
      </c>
      <c r="E16" s="521">
        <v>3.4955</v>
      </c>
      <c r="F16" s="517">
        <v>9.7</v>
      </c>
      <c r="G16" s="518">
        <f t="shared" si="11"/>
        <v>1.35889000143041</v>
      </c>
      <c r="H16" s="522"/>
      <c r="I16" s="522"/>
    </row>
    <row r="20" ht="21" spans="1:9">
      <c r="A20" s="505"/>
      <c r="B20" s="514" t="s">
        <v>375</v>
      </c>
      <c r="C20" s="507" t="s">
        <v>376</v>
      </c>
      <c r="D20" s="515">
        <v>11.5</v>
      </c>
      <c r="E20" s="516">
        <v>5.1763</v>
      </c>
      <c r="F20" s="517">
        <v>4.1</v>
      </c>
      <c r="G20" s="518">
        <f>(D20-F20)*250*100/E20/10/1000</f>
        <v>3.57398141529664</v>
      </c>
      <c r="H20" s="519">
        <f>(G20+G21)/2</f>
        <v>2.63390895180715</v>
      </c>
      <c r="I20" s="519">
        <f>(G20-G21)/H20*100</f>
        <v>71.3823052117649</v>
      </c>
    </row>
    <row r="21" ht="21" spans="1:9">
      <c r="A21" s="510"/>
      <c r="B21" s="520"/>
      <c r="C21" s="512"/>
      <c r="D21" s="515">
        <v>11.5</v>
      </c>
      <c r="E21" s="521">
        <v>4.8706</v>
      </c>
      <c r="F21" s="517">
        <v>8.2</v>
      </c>
      <c r="G21" s="518">
        <f>(D21-F21)*250*100/E21/10/1000</f>
        <v>1.69383648831766</v>
      </c>
      <c r="H21" s="522"/>
      <c r="I21" s="522"/>
    </row>
    <row r="24" ht="21" spans="1:9">
      <c r="A24" s="505"/>
      <c r="B24" s="514" t="s">
        <v>159</v>
      </c>
      <c r="C24" s="507" t="s">
        <v>377</v>
      </c>
      <c r="D24" s="515">
        <v>11.3</v>
      </c>
      <c r="E24" s="516">
        <v>5.3411</v>
      </c>
      <c r="F24" s="517">
        <v>11.15</v>
      </c>
      <c r="G24" s="518">
        <f t="shared" ref="G24:G29" si="14">(D24-F24)*250*100/E24/10/1000</f>
        <v>0.0702102563142425</v>
      </c>
      <c r="H24" s="519">
        <f>(G24+G25)/2</f>
        <v>0.0724996755335199</v>
      </c>
      <c r="I24" s="519">
        <f>(G24-G25)/H24*100</f>
        <v>-6.31566749072929</v>
      </c>
    </row>
    <row r="25" ht="21" spans="1:9">
      <c r="A25" s="510"/>
      <c r="B25" s="520"/>
      <c r="C25" s="512"/>
      <c r="D25" s="515">
        <v>11.3</v>
      </c>
      <c r="E25" s="521">
        <v>5.0141</v>
      </c>
      <c r="F25" s="517">
        <v>11.15</v>
      </c>
      <c r="G25" s="518">
        <f t="shared" si="14"/>
        <v>0.0747890947527973</v>
      </c>
      <c r="H25" s="522"/>
      <c r="I25" s="522"/>
    </row>
    <row r="26" ht="21" spans="1:9">
      <c r="A26" s="505"/>
      <c r="B26" s="514" t="s">
        <v>378</v>
      </c>
      <c r="C26" s="507" t="s">
        <v>379</v>
      </c>
      <c r="D26" s="515">
        <v>11.3</v>
      </c>
      <c r="E26" s="516">
        <v>4.5558</v>
      </c>
      <c r="F26" s="517">
        <v>11.1</v>
      </c>
      <c r="G26" s="518">
        <f t="shared" si="14"/>
        <v>0.109750208525397</v>
      </c>
      <c r="H26" s="519">
        <f>(G26+G27)/2</f>
        <v>0.110449184511671</v>
      </c>
      <c r="I26" s="519">
        <f>(G26-G27)/H26*100</f>
        <v>-1.26569696166463</v>
      </c>
    </row>
    <row r="27" ht="21" spans="1:9">
      <c r="A27" s="510"/>
      <c r="B27" s="520"/>
      <c r="C27" s="512"/>
      <c r="D27" s="515">
        <v>11.3</v>
      </c>
      <c r="E27" s="521">
        <v>4.4985</v>
      </c>
      <c r="F27" s="517">
        <v>11.1</v>
      </c>
      <c r="G27" s="518">
        <f t="shared" si="14"/>
        <v>0.111148160497944</v>
      </c>
      <c r="H27" s="522"/>
      <c r="I27" s="522"/>
    </row>
    <row r="28" ht="21" spans="1:9">
      <c r="A28" s="505"/>
      <c r="B28" s="514" t="s">
        <v>159</v>
      </c>
      <c r="C28" s="507" t="s">
        <v>377</v>
      </c>
      <c r="D28" s="515">
        <v>11.3</v>
      </c>
      <c r="E28" s="516">
        <v>4.2585</v>
      </c>
      <c r="F28" s="517">
        <v>11.1</v>
      </c>
      <c r="G28" s="518">
        <f t="shared" si="14"/>
        <v>0.11741223435482</v>
      </c>
      <c r="H28" s="519">
        <f>(G28+G29)/2</f>
        <v>0.116185309709714</v>
      </c>
      <c r="I28" s="519">
        <f>(G28-G29)/H28*100</f>
        <v>2.11201338305512</v>
      </c>
    </row>
    <row r="29" ht="21" spans="1:9">
      <c r="A29" s="510"/>
      <c r="B29" s="520"/>
      <c r="C29" s="512"/>
      <c r="D29" s="515">
        <v>11.3</v>
      </c>
      <c r="E29" s="521">
        <v>4.3494</v>
      </c>
      <c r="F29" s="517">
        <v>11.1</v>
      </c>
      <c r="G29" s="518">
        <f t="shared" si="14"/>
        <v>0.114958385064607</v>
      </c>
      <c r="H29" s="522"/>
      <c r="I29" s="522"/>
    </row>
    <row r="30" s="311" customFormat="1" ht="21" spans="1:14">
      <c r="A30" s="523"/>
      <c r="B30" s="524" t="s">
        <v>380</v>
      </c>
      <c r="C30" s="525" t="s">
        <v>381</v>
      </c>
      <c r="D30" s="526">
        <v>11.3</v>
      </c>
      <c r="E30" s="526">
        <v>3.1643</v>
      </c>
      <c r="F30" s="527">
        <v>10.7</v>
      </c>
      <c r="G30" s="528">
        <f t="shared" ref="G30:G31" si="15">(D30-F30)*250*100/E30/10/1000</f>
        <v>0.474038491925545</v>
      </c>
      <c r="H30" s="529">
        <f>(G30+G31)/2</f>
        <v>0.481115863159192</v>
      </c>
      <c r="I30" s="529">
        <f>(G30-G31)/H30*100</f>
        <v>-2.94206521779333</v>
      </c>
      <c r="K30" s="547"/>
      <c r="L30" s="547"/>
      <c r="M30" s="548"/>
      <c r="N30" s="547"/>
    </row>
    <row r="31" s="311" customFormat="1" ht="21" spans="1:14">
      <c r="A31" s="530"/>
      <c r="B31" s="531"/>
      <c r="C31" s="532"/>
      <c r="D31" s="526">
        <v>11.3</v>
      </c>
      <c r="E31" s="526">
        <v>3.3286</v>
      </c>
      <c r="F31" s="527">
        <v>10.65</v>
      </c>
      <c r="G31" s="528">
        <f t="shared" si="15"/>
        <v>0.488193234392838</v>
      </c>
      <c r="H31" s="533"/>
      <c r="I31" s="533"/>
      <c r="K31" s="547"/>
      <c r="L31" s="547"/>
      <c r="M31" s="548"/>
      <c r="N31" s="547"/>
    </row>
    <row r="32" ht="21" customHeight="1" spans="1:9">
      <c r="A32" s="505"/>
      <c r="B32" s="514" t="s">
        <v>382</v>
      </c>
      <c r="C32" s="507" t="s">
        <v>381</v>
      </c>
      <c r="D32" s="515">
        <v>11.3</v>
      </c>
      <c r="E32" s="515">
        <v>3.5155</v>
      </c>
      <c r="F32" s="517">
        <v>7.75</v>
      </c>
      <c r="G32" s="518">
        <f t="shared" ref="G32:G41" si="16">(D32-F32)*250*100/E32/10/1000</f>
        <v>2.52453420566065</v>
      </c>
      <c r="H32" s="519">
        <f t="shared" ref="H32" si="17">(G32+G33)/2</f>
        <v>2.48432571336477</v>
      </c>
      <c r="I32" s="519">
        <f t="shared" ref="I32" si="18">(G32-G33)/H32*100</f>
        <v>3.23697428880352</v>
      </c>
    </row>
    <row r="33" ht="21" spans="1:9">
      <c r="A33" s="510"/>
      <c r="B33" s="520"/>
      <c r="C33" s="512"/>
      <c r="D33" s="515">
        <v>11.3</v>
      </c>
      <c r="E33" s="515">
        <v>4.1426</v>
      </c>
      <c r="F33" s="517">
        <v>7.25</v>
      </c>
      <c r="G33" s="518">
        <f t="shared" si="16"/>
        <v>2.44411722106889</v>
      </c>
      <c r="H33" s="522"/>
      <c r="I33" s="522"/>
    </row>
    <row r="34" ht="21" customHeight="1" spans="1:9">
      <c r="A34" s="505"/>
      <c r="B34" s="514" t="s">
        <v>383</v>
      </c>
      <c r="C34" s="507" t="s">
        <v>381</v>
      </c>
      <c r="D34" s="515">
        <v>11.3</v>
      </c>
      <c r="E34" s="515">
        <v>3.6894</v>
      </c>
      <c r="F34" s="517">
        <v>10.5</v>
      </c>
      <c r="G34" s="518">
        <f t="shared" si="16"/>
        <v>0.54209356534938</v>
      </c>
      <c r="H34" s="519">
        <f t="shared" ref="H34" si="19">(G34+G35)/2</f>
        <v>0.552585774168901</v>
      </c>
      <c r="I34" s="519">
        <f t="shared" ref="I34" si="20">(G34-G35)/H34*100</f>
        <v>-3.79749508944607</v>
      </c>
    </row>
    <row r="35" ht="21" spans="1:9">
      <c r="A35" s="510"/>
      <c r="B35" s="520"/>
      <c r="C35" s="512"/>
      <c r="D35" s="515">
        <v>11.3</v>
      </c>
      <c r="E35" s="515">
        <v>3.7739</v>
      </c>
      <c r="F35" s="517">
        <v>10.45</v>
      </c>
      <c r="G35" s="518">
        <f t="shared" si="16"/>
        <v>0.563077982988421</v>
      </c>
      <c r="H35" s="522"/>
      <c r="I35" s="522"/>
    </row>
    <row r="36" s="495" customFormat="1" ht="21" customHeight="1" spans="1:14">
      <c r="A36" s="534"/>
      <c r="B36" s="535" t="s">
        <v>384</v>
      </c>
      <c r="C36" s="536" t="s">
        <v>381</v>
      </c>
      <c r="D36" s="537">
        <v>11.3</v>
      </c>
      <c r="E36" s="537">
        <v>3.5532</v>
      </c>
      <c r="F36" s="538">
        <v>10.5</v>
      </c>
      <c r="G36" s="539">
        <f t="shared" si="16"/>
        <v>0.562872903298436</v>
      </c>
      <c r="H36" s="540">
        <f t="shared" ref="H36" si="21">(G36+G37)/2</f>
        <v>0.573758135422117</v>
      </c>
      <c r="I36" s="540">
        <f t="shared" ref="I36" si="22">(G36-G37)/H36*100</f>
        <v>-3.79436262482708</v>
      </c>
      <c r="K36" s="549"/>
      <c r="L36" s="549"/>
      <c r="M36" s="550"/>
      <c r="N36" s="549"/>
    </row>
    <row r="37" s="495" customFormat="1" ht="21" spans="1:14">
      <c r="A37" s="541"/>
      <c r="B37" s="542"/>
      <c r="C37" s="543"/>
      <c r="D37" s="537">
        <v>11.3</v>
      </c>
      <c r="E37" s="537">
        <v>3.8485</v>
      </c>
      <c r="F37" s="538">
        <v>10.4</v>
      </c>
      <c r="G37" s="539">
        <f t="shared" si="16"/>
        <v>0.584643367545797</v>
      </c>
      <c r="H37" s="544"/>
      <c r="I37" s="544"/>
      <c r="K37" s="549"/>
      <c r="L37" s="549"/>
      <c r="M37" s="550"/>
      <c r="N37" s="549"/>
    </row>
    <row r="38" ht="21" customHeight="1" spans="1:9">
      <c r="A38" s="505"/>
      <c r="B38" s="514" t="s">
        <v>385</v>
      </c>
      <c r="C38" s="507" t="s">
        <v>381</v>
      </c>
      <c r="D38" s="515">
        <v>11.3</v>
      </c>
      <c r="E38" s="515">
        <v>3.7992</v>
      </c>
      <c r="F38" s="517">
        <v>6.1</v>
      </c>
      <c r="G38" s="518">
        <f t="shared" si="16"/>
        <v>3.42177300484313</v>
      </c>
      <c r="H38" s="519">
        <f t="shared" ref="H38" si="23">(G38+G39)/2</f>
        <v>3.36201562071861</v>
      </c>
      <c r="I38" s="519">
        <f t="shared" ref="I38" si="24">(G38-G39)/H38*100</f>
        <v>3.55485463876213</v>
      </c>
    </row>
    <row r="39" ht="21" spans="1:9">
      <c r="A39" s="510"/>
      <c r="B39" s="520"/>
      <c r="C39" s="512"/>
      <c r="D39" s="515">
        <v>11.3</v>
      </c>
      <c r="E39" s="515">
        <v>3.9367</v>
      </c>
      <c r="F39" s="517">
        <v>6.1</v>
      </c>
      <c r="G39" s="518">
        <f t="shared" si="16"/>
        <v>3.3022582365941</v>
      </c>
      <c r="H39" s="522"/>
      <c r="I39" s="522"/>
    </row>
    <row r="40" ht="21" customHeight="1" spans="1:9">
      <c r="A40" s="505"/>
      <c r="B40" s="514" t="s">
        <v>386</v>
      </c>
      <c r="C40" s="507" t="s">
        <v>381</v>
      </c>
      <c r="D40" s="515">
        <v>11.3</v>
      </c>
      <c r="E40" s="515">
        <v>3.8276</v>
      </c>
      <c r="F40" s="517">
        <v>10.2</v>
      </c>
      <c r="G40" s="518">
        <f t="shared" si="16"/>
        <v>0.718465879402237</v>
      </c>
      <c r="H40" s="519">
        <f t="shared" ref="H40" si="25">(G40+G41)/2</f>
        <v>0.714548459883041</v>
      </c>
      <c r="I40" s="519">
        <f t="shared" ref="I40" si="26">(G40-G41)/H40*100</f>
        <v>1.09647413412321</v>
      </c>
    </row>
    <row r="41" ht="21" spans="1:9">
      <c r="A41" s="510"/>
      <c r="B41" s="520"/>
      <c r="C41" s="512"/>
      <c r="D41" s="515">
        <v>11.3</v>
      </c>
      <c r="E41" s="515">
        <v>3.8698</v>
      </c>
      <c r="F41" s="517">
        <v>10.2</v>
      </c>
      <c r="G41" s="518">
        <f t="shared" si="16"/>
        <v>0.710631040363844</v>
      </c>
      <c r="H41" s="522"/>
      <c r="I41" s="522"/>
    </row>
    <row r="42" ht="33" customHeight="1" spans="1:9">
      <c r="A42" s="505"/>
      <c r="B42" s="514" t="s">
        <v>386</v>
      </c>
      <c r="C42" s="507" t="s">
        <v>381</v>
      </c>
      <c r="D42" s="515">
        <v>11.6</v>
      </c>
      <c r="E42" s="515">
        <v>3.3669</v>
      </c>
      <c r="F42" s="517">
        <v>9.7</v>
      </c>
      <c r="G42" s="518">
        <f t="shared" ref="G42:G43" si="27">(D42-F42)*250*100/E42/10/1000</f>
        <v>1.41079331135466</v>
      </c>
      <c r="H42" s="519">
        <f t="shared" ref="H42" si="28">(G42+G43)/2</f>
        <v>1.06071217585925</v>
      </c>
      <c r="I42" s="519">
        <f t="shared" ref="I42" si="29">(G42-G43)/H42*100</f>
        <v>66.0086955656594</v>
      </c>
    </row>
    <row r="43" ht="21" spans="1:9">
      <c r="A43" s="510"/>
      <c r="B43" s="520"/>
      <c r="C43" s="512"/>
      <c r="D43" s="515">
        <v>11.3</v>
      </c>
      <c r="E43" s="515">
        <v>3.8698</v>
      </c>
      <c r="F43" s="517">
        <v>10.2</v>
      </c>
      <c r="G43" s="518">
        <f t="shared" si="27"/>
        <v>0.710631040363844</v>
      </c>
      <c r="H43" s="522"/>
      <c r="I43" s="522"/>
    </row>
    <row r="44" ht="21" spans="1:9">
      <c r="A44" s="505"/>
      <c r="B44" s="514" t="s">
        <v>387</v>
      </c>
      <c r="C44" s="507" t="s">
        <v>388</v>
      </c>
      <c r="D44" s="515">
        <v>11.2</v>
      </c>
      <c r="E44" s="515">
        <v>3.0696</v>
      </c>
      <c r="F44" s="517">
        <v>7.1</v>
      </c>
      <c r="G44" s="518">
        <f t="shared" ref="G44:G45" si="30">(D44-F44)*250*100/E44/10/1000</f>
        <v>3.33919728954913</v>
      </c>
      <c r="H44" s="519">
        <f t="shared" ref="H44" si="31">(G44+G45)/2</f>
        <v>3.35674174911788</v>
      </c>
      <c r="I44" s="519">
        <f t="shared" ref="I44" si="32">(G44-G45)/H44*100</f>
        <v>-1.04532674122808</v>
      </c>
    </row>
    <row r="45" ht="21" spans="1:9">
      <c r="A45" s="510"/>
      <c r="B45" s="520"/>
      <c r="C45" s="512"/>
      <c r="D45" s="515">
        <v>11.2</v>
      </c>
      <c r="E45" s="515">
        <v>2.8895</v>
      </c>
      <c r="F45" s="517">
        <v>7.3</v>
      </c>
      <c r="G45" s="518">
        <f t="shared" si="30"/>
        <v>3.37428620868662</v>
      </c>
      <c r="H45" s="522"/>
      <c r="I45" s="522"/>
    </row>
    <row r="46" ht="21" spans="1:9">
      <c r="A46" s="505"/>
      <c r="B46" s="514" t="s">
        <v>389</v>
      </c>
      <c r="C46" s="507" t="s">
        <v>390</v>
      </c>
      <c r="D46" s="515">
        <v>11.2</v>
      </c>
      <c r="E46" s="515">
        <v>4.41</v>
      </c>
      <c r="F46" s="517">
        <v>6.9</v>
      </c>
      <c r="G46" s="518">
        <f t="shared" ref="G46:G47" si="33">(D46-F46)*250*100/E46/10/1000</f>
        <v>2.43764172335601</v>
      </c>
      <c r="H46" s="519">
        <f t="shared" ref="H46" si="34">(G46+G47)/2</f>
        <v>2.90596396602132</v>
      </c>
      <c r="I46" s="519">
        <f t="shared" ref="I46" si="35">(G46-G47)/H46*100</f>
        <v>-32.231799715432</v>
      </c>
    </row>
    <row r="47" ht="21" spans="1:9">
      <c r="A47" s="510"/>
      <c r="B47" s="520"/>
      <c r="C47" s="512"/>
      <c r="D47" s="515">
        <v>11.2</v>
      </c>
      <c r="E47" s="515">
        <v>2.8895</v>
      </c>
      <c r="F47" s="517">
        <v>7.3</v>
      </c>
      <c r="G47" s="518">
        <f t="shared" si="33"/>
        <v>3.37428620868662</v>
      </c>
      <c r="H47" s="522"/>
      <c r="I47" s="522"/>
    </row>
    <row r="49" ht="21" spans="1:9">
      <c r="A49" s="505"/>
      <c r="B49" s="514" t="s">
        <v>391</v>
      </c>
      <c r="C49" s="507" t="s">
        <v>392</v>
      </c>
      <c r="D49" s="515">
        <v>11.4</v>
      </c>
      <c r="E49" s="515">
        <v>2.5639</v>
      </c>
      <c r="F49" s="517">
        <v>6.4</v>
      </c>
      <c r="G49" s="518">
        <f t="shared" ref="G49:G50" si="36">(D49-F49)*250*100/E49/10/1000</f>
        <v>4.87538515542728</v>
      </c>
      <c r="H49" s="519">
        <f t="shared" ref="H49" si="37">(G49+G50)/2</f>
        <v>4.81532382295838</v>
      </c>
      <c r="I49" s="519">
        <f t="shared" ref="I49" si="38">(G49-G50)/H49*100</f>
        <v>2.4945916277756</v>
      </c>
    </row>
    <row r="50" ht="21" spans="1:9">
      <c r="A50" s="510"/>
      <c r="B50" s="520"/>
      <c r="C50" s="512"/>
      <c r="D50" s="515">
        <v>11.4</v>
      </c>
      <c r="E50" s="515">
        <v>2.3658</v>
      </c>
      <c r="F50" s="517">
        <v>6.9</v>
      </c>
      <c r="G50" s="518">
        <f t="shared" si="36"/>
        <v>4.75526249048947</v>
      </c>
      <c r="H50" s="522"/>
      <c r="I50" s="522"/>
    </row>
    <row r="51" ht="21" spans="1:9">
      <c r="A51" s="505"/>
      <c r="B51" s="514" t="s">
        <v>393</v>
      </c>
      <c r="C51" s="507" t="s">
        <v>392</v>
      </c>
      <c r="D51" s="515">
        <v>11.4</v>
      </c>
      <c r="E51" s="515">
        <v>2.5775</v>
      </c>
      <c r="F51" s="517">
        <v>6.6</v>
      </c>
      <c r="G51" s="518">
        <f t="shared" ref="G51:G54" si="39">(D51-F51)*250*100/E51/10/1000</f>
        <v>4.6556741028128</v>
      </c>
      <c r="H51" s="519">
        <f t="shared" ref="H51" si="40">(G51+G52)/2</f>
        <v>4.67291948460708</v>
      </c>
      <c r="I51" s="519">
        <f t="shared" ref="I51" si="41">(G51-G52)/H51*100</f>
        <v>-0.738098820280881</v>
      </c>
    </row>
    <row r="52" ht="21" spans="1:9">
      <c r="A52" s="510"/>
      <c r="B52" s="520"/>
      <c r="C52" s="512"/>
      <c r="D52" s="515">
        <v>11.4</v>
      </c>
      <c r="E52" s="515">
        <v>2.6385</v>
      </c>
      <c r="F52" s="517">
        <v>6.45</v>
      </c>
      <c r="G52" s="518">
        <f t="shared" si="39"/>
        <v>4.69016486640136</v>
      </c>
      <c r="H52" s="522"/>
      <c r="I52" s="522"/>
    </row>
    <row r="53" ht="21" spans="1:9">
      <c r="A53" s="505"/>
      <c r="B53" s="514" t="s">
        <v>394</v>
      </c>
      <c r="C53" s="507" t="s">
        <v>390</v>
      </c>
      <c r="D53" s="515">
        <v>11.4</v>
      </c>
      <c r="E53" s="515">
        <v>2.9256</v>
      </c>
      <c r="F53" s="517">
        <v>10.8</v>
      </c>
      <c r="G53" s="518">
        <f t="shared" si="39"/>
        <v>0.512715340442986</v>
      </c>
      <c r="H53" s="519">
        <f t="shared" ref="H53" si="42">(G53+G54)/2</f>
        <v>0.510500193348462</v>
      </c>
      <c r="I53" s="519">
        <f t="shared" ref="I53" si="43">(G53-G54)/H53*100</f>
        <v>0.867833988462911</v>
      </c>
    </row>
    <row r="54" ht="21" spans="1:9">
      <c r="A54" s="510"/>
      <c r="B54" s="520"/>
      <c r="C54" s="512"/>
      <c r="D54" s="515">
        <v>11.4</v>
      </c>
      <c r="E54" s="515">
        <v>2.9511</v>
      </c>
      <c r="F54" s="517">
        <v>10.8</v>
      </c>
      <c r="G54" s="518">
        <f t="shared" si="39"/>
        <v>0.508285046253939</v>
      </c>
      <c r="H54" s="522"/>
      <c r="I54" s="522"/>
    </row>
    <row r="55" ht="21" spans="1:9">
      <c r="A55" s="505"/>
      <c r="B55" s="514" t="s">
        <v>395</v>
      </c>
      <c r="C55" s="507" t="s">
        <v>390</v>
      </c>
      <c r="D55" s="515">
        <v>11.4</v>
      </c>
      <c r="E55" s="515">
        <v>4.0248</v>
      </c>
      <c r="F55" s="517">
        <v>11.1</v>
      </c>
      <c r="G55" s="518">
        <f t="shared" ref="G55:G62" si="44">(D55-F55)*250*100/E55/10/1000</f>
        <v>0.18634466308885</v>
      </c>
      <c r="H55" s="519">
        <f t="shared" ref="H55" si="45">(G55+G56)/2</f>
        <v>0.184575553812687</v>
      </c>
      <c r="I55" s="519">
        <f t="shared" ref="I55" si="46">(G55-G56)/H55*100</f>
        <v>1.9169486311904</v>
      </c>
    </row>
    <row r="56" ht="21" spans="1:9">
      <c r="A56" s="510"/>
      <c r="B56" s="520"/>
      <c r="C56" s="512"/>
      <c r="D56" s="515">
        <v>11.4</v>
      </c>
      <c r="E56" s="515">
        <v>4.1027</v>
      </c>
      <c r="F56" s="517">
        <v>11.1</v>
      </c>
      <c r="G56" s="518">
        <f t="shared" si="44"/>
        <v>0.182806444536525</v>
      </c>
      <c r="H56" s="522"/>
      <c r="I56" s="522"/>
    </row>
    <row r="57" ht="21" spans="1:9">
      <c r="A57" s="505"/>
      <c r="B57" s="514" t="s">
        <v>396</v>
      </c>
      <c r="C57" s="507"/>
      <c r="D57" s="515">
        <v>11.3</v>
      </c>
      <c r="E57" s="515">
        <v>3.5491</v>
      </c>
      <c r="F57" s="517">
        <v>3.5</v>
      </c>
      <c r="G57" s="518">
        <f t="shared" si="44"/>
        <v>5.4943506804542</v>
      </c>
      <c r="H57" s="519">
        <f t="shared" ref="H57" si="47">(G57+G58)/2</f>
        <v>5.45388227509518</v>
      </c>
      <c r="I57" s="519">
        <f t="shared" ref="I57" si="48">(G57-G58)/H57*100</f>
        <v>1.48402196152316</v>
      </c>
    </row>
    <row r="58" ht="21" spans="1:9">
      <c r="A58" s="510"/>
      <c r="B58" s="520"/>
      <c r="C58" s="512"/>
      <c r="D58" s="515">
        <v>11.3</v>
      </c>
      <c r="E58" s="515">
        <v>3.5098</v>
      </c>
      <c r="F58" s="517">
        <v>3.7</v>
      </c>
      <c r="G58" s="518">
        <f t="shared" si="44"/>
        <v>5.41341386973617</v>
      </c>
      <c r="H58" s="522"/>
      <c r="I58" s="522"/>
    </row>
    <row r="59" ht="21" spans="1:9">
      <c r="A59" s="505"/>
      <c r="B59" s="514" t="s">
        <v>397</v>
      </c>
      <c r="C59" s="507"/>
      <c r="D59" s="515">
        <v>11.3</v>
      </c>
      <c r="E59" s="515">
        <v>3.248</v>
      </c>
      <c r="F59" s="517">
        <v>10.7</v>
      </c>
      <c r="G59" s="518">
        <f t="shared" si="44"/>
        <v>0.461822660098523</v>
      </c>
      <c r="H59" s="519">
        <f t="shared" ref="H59" si="49">(G59+G60)/2</f>
        <v>0.457778446416968</v>
      </c>
      <c r="I59" s="519">
        <f t="shared" ref="I59" si="50">(G59-G60)/H59*100</f>
        <v>1.76688689177437</v>
      </c>
    </row>
    <row r="60" ht="21" spans="1:9">
      <c r="A60" s="510"/>
      <c r="B60" s="520"/>
      <c r="C60" s="512"/>
      <c r="D60" s="515">
        <v>11.3</v>
      </c>
      <c r="E60" s="515">
        <v>3.3059</v>
      </c>
      <c r="F60" s="517">
        <v>10.7</v>
      </c>
      <c r="G60" s="518">
        <f t="shared" si="44"/>
        <v>0.453734232735413</v>
      </c>
      <c r="H60" s="522"/>
      <c r="I60" s="522"/>
    </row>
    <row r="61" ht="21" spans="1:9">
      <c r="A61" s="505"/>
      <c r="B61" s="514" t="s">
        <v>398</v>
      </c>
      <c r="C61" s="507"/>
      <c r="D61" s="515">
        <v>11.3</v>
      </c>
      <c r="E61" s="515">
        <v>4.3679</v>
      </c>
      <c r="F61" s="517">
        <v>4.7</v>
      </c>
      <c r="G61" s="518">
        <f t="shared" si="44"/>
        <v>3.7775590100506</v>
      </c>
      <c r="H61" s="519">
        <f t="shared" ref="H61" si="51">(G61+G62)/2</f>
        <v>3.75287381939086</v>
      </c>
      <c r="I61" s="519">
        <f t="shared" ref="I61" si="52">(G61-G62)/H61*100</f>
        <v>1.31553533892821</v>
      </c>
    </row>
    <row r="62" ht="21" spans="1:9">
      <c r="A62" s="510"/>
      <c r="B62" s="520"/>
      <c r="C62" s="512"/>
      <c r="D62" s="515">
        <v>11.3</v>
      </c>
      <c r="E62" s="515">
        <v>4.2581</v>
      </c>
      <c r="F62" s="517">
        <v>4.95</v>
      </c>
      <c r="G62" s="518">
        <f t="shared" si="44"/>
        <v>3.72818862873113</v>
      </c>
      <c r="H62" s="522"/>
      <c r="I62" s="522"/>
    </row>
    <row r="63" ht="21" spans="1:9">
      <c r="A63" s="505"/>
      <c r="B63" s="514" t="s">
        <v>399</v>
      </c>
      <c r="C63" s="507"/>
      <c r="D63" s="515">
        <v>11.4</v>
      </c>
      <c r="E63" s="515">
        <v>5.3797</v>
      </c>
      <c r="F63" s="517">
        <v>9.45</v>
      </c>
      <c r="G63" s="518">
        <f t="shared" ref="G63:G64" si="53">(D63-F63)*250*100/E63/10/1000</f>
        <v>0.906184359722662</v>
      </c>
      <c r="H63" s="519">
        <f t="shared" ref="H63" si="54">(G63+G64)/2</f>
        <v>0.901477024938308</v>
      </c>
      <c r="I63" s="519">
        <f t="shared" ref="I63" si="55">(G63-G64)/H63*100</f>
        <v>1.04436045603634</v>
      </c>
    </row>
    <row r="64" ht="21" spans="1:9">
      <c r="A64" s="510"/>
      <c r="B64" s="520"/>
      <c r="C64" s="512"/>
      <c r="D64" s="515">
        <v>11.4</v>
      </c>
      <c r="E64" s="515">
        <v>5.1574</v>
      </c>
      <c r="F64" s="517">
        <v>9.55</v>
      </c>
      <c r="G64" s="518">
        <f t="shared" si="53"/>
        <v>0.896769690153953</v>
      </c>
      <c r="H64" s="522"/>
      <c r="I64" s="522"/>
    </row>
    <row r="65" ht="21" spans="1:9">
      <c r="A65" s="505"/>
      <c r="B65" s="514" t="s">
        <v>400</v>
      </c>
      <c r="C65" s="507"/>
      <c r="D65" s="515">
        <v>11.4</v>
      </c>
      <c r="E65" s="515">
        <v>4.0421</v>
      </c>
      <c r="F65" s="517">
        <v>10.3</v>
      </c>
      <c r="G65" s="518">
        <f t="shared" ref="G65:G68" si="56">(D65-F65)*250*100/E65/10/1000</f>
        <v>0.680339427525296</v>
      </c>
      <c r="H65" s="519">
        <f t="shared" ref="H65" si="57">(G65+G66)/2</f>
        <v>0.678293625885714</v>
      </c>
      <c r="I65" s="519">
        <f t="shared" ref="I65" si="58">(G65-G66)/H65*100</f>
        <v>0.603220069158446</v>
      </c>
    </row>
    <row r="66" ht="21" spans="1:9">
      <c r="A66" s="510"/>
      <c r="B66" s="520"/>
      <c r="C66" s="512"/>
      <c r="D66" s="515">
        <v>11.4</v>
      </c>
      <c r="E66" s="515">
        <v>4.2514</v>
      </c>
      <c r="F66" s="517">
        <v>10.25</v>
      </c>
      <c r="G66" s="518">
        <f t="shared" si="56"/>
        <v>0.676247824246131</v>
      </c>
      <c r="H66" s="522"/>
      <c r="I66" s="522"/>
    </row>
    <row r="67" ht="21" spans="1:9">
      <c r="A67" s="505"/>
      <c r="B67" s="514" t="s">
        <v>401</v>
      </c>
      <c r="C67" s="507"/>
      <c r="D67" s="515">
        <v>11.4</v>
      </c>
      <c r="E67" s="515">
        <v>4.3972</v>
      </c>
      <c r="F67" s="517">
        <v>9.5</v>
      </c>
      <c r="G67" s="518">
        <f t="shared" si="56"/>
        <v>1.08023287546621</v>
      </c>
      <c r="H67" s="519">
        <f t="shared" ref="H67" si="59">(G67+G68)/2</f>
        <v>1.07466997861576</v>
      </c>
      <c r="I67" s="519">
        <f t="shared" ref="I67" si="60">(G67-G68)/H67*100</f>
        <v>1.0352753796312</v>
      </c>
    </row>
    <row r="68" ht="21" spans="1:9">
      <c r="A68" s="510"/>
      <c r="B68" s="520"/>
      <c r="C68" s="512"/>
      <c r="D68" s="515">
        <v>11.4</v>
      </c>
      <c r="E68" s="515">
        <v>4.0922</v>
      </c>
      <c r="F68" s="517">
        <v>9.65</v>
      </c>
      <c r="G68" s="518">
        <f t="shared" si="56"/>
        <v>1.06910708176531</v>
      </c>
      <c r="H68" s="522"/>
      <c r="I68" s="522"/>
    </row>
    <row r="69" ht="21" spans="1:9">
      <c r="A69" s="505"/>
      <c r="B69" s="514" t="s">
        <v>401</v>
      </c>
      <c r="C69" s="507"/>
      <c r="D69" s="515">
        <v>11.4</v>
      </c>
      <c r="E69" s="515">
        <v>4.3972</v>
      </c>
      <c r="F69" s="517">
        <v>9.5</v>
      </c>
      <c r="G69" s="518">
        <f t="shared" ref="G69:G70" si="61">(D69-F69)*250*100/E69/10/1000</f>
        <v>1.08023287546621</v>
      </c>
      <c r="H69" s="519">
        <f t="shared" ref="H69" si="62">(G69+G70)/2</f>
        <v>1.07466997861576</v>
      </c>
      <c r="I69" s="519">
        <f t="shared" ref="I69" si="63">(G69-G70)/H69*100</f>
        <v>1.0352753796312</v>
      </c>
    </row>
    <row r="70" ht="21" spans="1:9">
      <c r="A70" s="510"/>
      <c r="B70" s="520"/>
      <c r="C70" s="512"/>
      <c r="D70" s="515">
        <v>11.4</v>
      </c>
      <c r="E70" s="515">
        <v>4.0922</v>
      </c>
      <c r="F70" s="517">
        <v>9.65</v>
      </c>
      <c r="G70" s="518">
        <f t="shared" si="61"/>
        <v>1.06910708176531</v>
      </c>
      <c r="H70" s="522"/>
      <c r="I70" s="522"/>
    </row>
    <row r="71" ht="21" spans="1:9">
      <c r="A71" s="505"/>
      <c r="B71" s="514" t="s">
        <v>402</v>
      </c>
      <c r="C71" s="507"/>
      <c r="D71" s="515">
        <v>11.4</v>
      </c>
      <c r="E71" s="515">
        <v>3.5049</v>
      </c>
      <c r="F71" s="517">
        <v>11.25</v>
      </c>
      <c r="G71" s="518">
        <f t="shared" ref="G71:G72" si="64">(D71-F71)*250*100/E71/10/1000</f>
        <v>0.106993066849268</v>
      </c>
      <c r="H71" s="519">
        <f t="shared" ref="H71" si="65">(G71+G72)/2</f>
        <v>0.106088253384244</v>
      </c>
      <c r="I71" s="519">
        <f t="shared" ref="I71" si="66">(G71-G72)/H71*100</f>
        <v>1.70577502439853</v>
      </c>
    </row>
    <row r="72" ht="21" spans="1:9">
      <c r="A72" s="510"/>
      <c r="B72" s="520"/>
      <c r="C72" s="512"/>
      <c r="D72" s="515">
        <v>11.4</v>
      </c>
      <c r="E72" s="515">
        <v>3.5652</v>
      </c>
      <c r="F72" s="517">
        <v>11.25</v>
      </c>
      <c r="G72" s="518">
        <f t="shared" si="64"/>
        <v>0.105183439919219</v>
      </c>
      <c r="H72" s="522"/>
      <c r="I72" s="522"/>
    </row>
    <row r="73" ht="21" spans="1:9">
      <c r="A73" s="505"/>
      <c r="B73" s="514" t="s">
        <v>403</v>
      </c>
      <c r="C73" s="507"/>
      <c r="D73" s="515">
        <v>11.4</v>
      </c>
      <c r="E73" s="515">
        <v>2.494</v>
      </c>
      <c r="F73" s="517">
        <v>9.8</v>
      </c>
      <c r="G73" s="518">
        <f t="shared" ref="G73:G76" si="67">(D73-F73)*250*100/E73/10/1000</f>
        <v>1.60384923817161</v>
      </c>
      <c r="H73" s="519">
        <f t="shared" ref="H73" si="68">(G73+G74)/2</f>
        <v>1.57767968735225</v>
      </c>
      <c r="I73" s="519">
        <f t="shared" ref="I73" si="69">(G73-G74)/H73*100</f>
        <v>3.31747325254324</v>
      </c>
    </row>
    <row r="74" ht="21" spans="1:9">
      <c r="A74" s="510"/>
      <c r="B74" s="520"/>
      <c r="C74" s="512"/>
      <c r="D74" s="515">
        <v>11.4</v>
      </c>
      <c r="E74" s="515">
        <v>2.6587</v>
      </c>
      <c r="F74" s="517">
        <v>9.75</v>
      </c>
      <c r="G74" s="518">
        <f t="shared" si="67"/>
        <v>1.55151013653289</v>
      </c>
      <c r="H74" s="522"/>
      <c r="I74" s="522"/>
    </row>
    <row r="75" ht="26.25" customHeight="1" spans="1:9">
      <c r="A75" s="505"/>
      <c r="B75" s="514" t="s">
        <v>404</v>
      </c>
      <c r="C75" s="507"/>
      <c r="D75" s="515">
        <v>11.4</v>
      </c>
      <c r="E75" s="515">
        <v>2.6352</v>
      </c>
      <c r="F75" s="517">
        <v>10.8</v>
      </c>
      <c r="G75" s="518">
        <f t="shared" si="67"/>
        <v>0.569216757741348</v>
      </c>
      <c r="H75" s="519">
        <f t="shared" ref="H75" si="70">(G75+G76)/2</f>
        <v>0.556368992357906</v>
      </c>
      <c r="I75" s="519">
        <f t="shared" ref="I75" si="71">(G75-G76)/H75*100</f>
        <v>4.61843329154349</v>
      </c>
    </row>
    <row r="76" ht="21" spans="1:9">
      <c r="A76" s="510"/>
      <c r="B76" s="520"/>
      <c r="C76" s="512"/>
      <c r="D76" s="515">
        <v>11.4</v>
      </c>
      <c r="E76" s="515">
        <v>2.5298</v>
      </c>
      <c r="F76" s="517">
        <v>10.85</v>
      </c>
      <c r="G76" s="518">
        <f t="shared" si="67"/>
        <v>0.543521226974465</v>
      </c>
      <c r="H76" s="522"/>
      <c r="I76" s="522"/>
    </row>
    <row r="77" ht="21" spans="1:9">
      <c r="A77" s="505"/>
      <c r="B77" s="514" t="s">
        <v>405</v>
      </c>
      <c r="C77" s="507"/>
      <c r="D77" s="515">
        <v>11.4</v>
      </c>
      <c r="E77" s="515">
        <v>2.9086</v>
      </c>
      <c r="F77" s="517">
        <v>10.3</v>
      </c>
      <c r="G77" s="518">
        <f t="shared" ref="G77:G80" si="72">(D77-F77)*250*100/E77/10/1000</f>
        <v>0.945472048408168</v>
      </c>
      <c r="H77" s="519">
        <f t="shared" ref="H77" si="73">(G77+G78)/2</f>
        <v>0.927416755661377</v>
      </c>
      <c r="I77" s="519">
        <f t="shared" ref="I77" si="74">(G77-G78)/H77*100</f>
        <v>3.8936740438586</v>
      </c>
    </row>
    <row r="78" ht="23.25" customHeight="1" spans="1:9">
      <c r="A78" s="510"/>
      <c r="B78" s="520"/>
      <c r="C78" s="512"/>
      <c r="D78" s="515">
        <v>11.4</v>
      </c>
      <c r="E78" s="515">
        <v>3.0241</v>
      </c>
      <c r="F78" s="517">
        <v>10.3</v>
      </c>
      <c r="G78" s="518">
        <f t="shared" si="72"/>
        <v>0.909361462914586</v>
      </c>
      <c r="H78" s="522"/>
      <c r="I78" s="522"/>
    </row>
    <row r="79" ht="21" spans="1:9">
      <c r="A79" s="505"/>
      <c r="B79" s="514" t="s">
        <v>406</v>
      </c>
      <c r="C79" s="507"/>
      <c r="D79" s="515">
        <v>11.3</v>
      </c>
      <c r="E79" s="515">
        <v>4.8658</v>
      </c>
      <c r="F79" s="517">
        <v>10</v>
      </c>
      <c r="G79" s="518">
        <f t="shared" si="72"/>
        <v>0.667927165111596</v>
      </c>
      <c r="H79" s="519">
        <f t="shared" ref="H79" si="75">(G79+G80)/2</f>
        <v>0.657578510663497</v>
      </c>
      <c r="I79" s="519">
        <f t="shared" ref="I79" si="76">(G79-G80)/H79*100</f>
        <v>3.14750384335302</v>
      </c>
    </row>
    <row r="80" ht="21" spans="1:9">
      <c r="A80" s="510"/>
      <c r="B80" s="520"/>
      <c r="C80" s="512"/>
      <c r="D80" s="515">
        <v>11.3</v>
      </c>
      <c r="E80" s="515">
        <v>5.0214</v>
      </c>
      <c r="F80" s="517">
        <v>10</v>
      </c>
      <c r="G80" s="518">
        <f t="shared" si="72"/>
        <v>0.647229856215399</v>
      </c>
      <c r="H80" s="522"/>
      <c r="I80" s="522"/>
    </row>
    <row r="81" ht="21" spans="1:9">
      <c r="A81" s="505"/>
      <c r="B81" s="514" t="s">
        <v>407</v>
      </c>
      <c r="C81" s="507"/>
      <c r="D81" s="515">
        <v>11.3</v>
      </c>
      <c r="E81" s="515">
        <v>4.8974</v>
      </c>
      <c r="F81" s="517">
        <v>10.3</v>
      </c>
      <c r="G81" s="518">
        <f t="shared" ref="G81:G82" si="77">(D81-F81)*250*100/E81/10/1000</f>
        <v>0.510474945889656</v>
      </c>
      <c r="H81" s="519">
        <f t="shared" ref="H81" si="78">(G81+G82)/2</f>
        <v>0.501943361931877</v>
      </c>
      <c r="I81" s="519">
        <f t="shared" ref="I81" si="79">(G81-G82)/H81*100</f>
        <v>3.39942097249469</v>
      </c>
    </row>
    <row r="82" ht="21" spans="1:9">
      <c r="A82" s="510"/>
      <c r="B82" s="520"/>
      <c r="C82" s="512"/>
      <c r="D82" s="515">
        <v>11.3</v>
      </c>
      <c r="E82" s="515">
        <v>5.3201</v>
      </c>
      <c r="F82" s="517">
        <v>10.25</v>
      </c>
      <c r="G82" s="518">
        <f t="shared" si="77"/>
        <v>0.493411777974099</v>
      </c>
      <c r="H82" s="522"/>
      <c r="I82" s="522"/>
    </row>
    <row r="83" ht="26.25" customHeight="1" spans="1:9">
      <c r="A83" s="505"/>
      <c r="B83" s="514" t="s">
        <v>408</v>
      </c>
      <c r="C83" s="507"/>
      <c r="D83" s="515">
        <v>11.3</v>
      </c>
      <c r="E83" s="515">
        <v>6.6021</v>
      </c>
      <c r="F83" s="517">
        <v>6.75</v>
      </c>
      <c r="G83" s="518">
        <f t="shared" ref="G83:G84" si="80">(D83-F83)*250*100/E83/10/1000</f>
        <v>1.72293664137169</v>
      </c>
      <c r="H83" s="519">
        <f t="shared" ref="H83" si="81">(G83+G84)/2</f>
        <v>1.70378637998503</v>
      </c>
      <c r="I83" s="519">
        <f t="shared" ref="I83" si="82">(G83-G84)/H83*100</f>
        <v>2.2479650749197</v>
      </c>
    </row>
    <row r="84" ht="21" spans="1:9">
      <c r="A84" s="510"/>
      <c r="B84" s="520"/>
      <c r="C84" s="512"/>
      <c r="D84" s="515">
        <v>11.3</v>
      </c>
      <c r="E84" s="515">
        <v>6.7522</v>
      </c>
      <c r="F84" s="517">
        <v>6.75</v>
      </c>
      <c r="G84" s="518">
        <f t="shared" si="80"/>
        <v>1.68463611859838</v>
      </c>
      <c r="H84" s="522"/>
      <c r="I84" s="522"/>
    </row>
    <row r="85" ht="21" spans="1:9">
      <c r="A85" s="505"/>
      <c r="B85" s="514" t="s">
        <v>409</v>
      </c>
      <c r="C85" s="507"/>
      <c r="D85" s="515">
        <v>11.3</v>
      </c>
      <c r="E85" s="515">
        <v>4.6219</v>
      </c>
      <c r="F85" s="517">
        <v>9.7</v>
      </c>
      <c r="G85" s="518">
        <f t="shared" ref="G85:G86" si="83">(D85-F85)*250*100/E85/10/1000</f>
        <v>0.865444946883317</v>
      </c>
      <c r="H85" s="519">
        <f t="shared" ref="H85" si="84">(G85+G86)/2</f>
        <v>0.85762101282074</v>
      </c>
      <c r="I85" s="519">
        <f t="shared" ref="I85" si="85">(G85-G86)/H85*100</f>
        <v>1.8245667831397</v>
      </c>
    </row>
    <row r="86" ht="21" spans="1:9">
      <c r="A86" s="510"/>
      <c r="B86" s="520"/>
      <c r="C86" s="512"/>
      <c r="D86" s="515">
        <v>11.3</v>
      </c>
      <c r="E86" s="515">
        <v>4.8541</v>
      </c>
      <c r="F86" s="517">
        <v>9.65</v>
      </c>
      <c r="G86" s="518">
        <f t="shared" si="83"/>
        <v>0.849797078758163</v>
      </c>
      <c r="H86" s="522"/>
      <c r="I86" s="522"/>
    </row>
    <row r="87" ht="21" spans="1:9">
      <c r="A87" s="505"/>
      <c r="B87" s="514" t="s">
        <v>410</v>
      </c>
      <c r="C87" s="507"/>
      <c r="D87" s="515">
        <v>11.2</v>
      </c>
      <c r="E87" s="515">
        <v>5.8151</v>
      </c>
      <c r="F87" s="517">
        <v>10.1</v>
      </c>
      <c r="G87" s="518">
        <f t="shared" ref="G87:G88" si="86">(D87-F87)*250*100/E87/10/1000</f>
        <v>0.472906742790322</v>
      </c>
      <c r="H87" s="519">
        <f t="shared" ref="H87" si="87">(G87+G88)/2</f>
        <v>0.466769057428817</v>
      </c>
      <c r="I87" s="519">
        <f t="shared" ref="I87" si="88">(G87-G88)/H87*100</f>
        <v>2.62985956923259</v>
      </c>
    </row>
    <row r="88" ht="21" spans="1:9">
      <c r="A88" s="510"/>
      <c r="B88" s="520"/>
      <c r="C88" s="512"/>
      <c r="D88" s="515">
        <v>11.2</v>
      </c>
      <c r="E88" s="515">
        <v>5.6987</v>
      </c>
      <c r="F88" s="517">
        <v>10.15</v>
      </c>
      <c r="G88" s="518">
        <f t="shared" si="86"/>
        <v>0.460631372067313</v>
      </c>
      <c r="H88" s="522"/>
      <c r="I88" s="522"/>
    </row>
    <row r="89" ht="21" spans="1:9">
      <c r="A89" s="505"/>
      <c r="B89" s="514" t="s">
        <v>411</v>
      </c>
      <c r="C89" s="507"/>
      <c r="D89" s="515">
        <v>11.1</v>
      </c>
      <c r="E89" s="515">
        <v>5.8106</v>
      </c>
      <c r="F89" s="517">
        <v>10.3</v>
      </c>
      <c r="G89" s="518">
        <f t="shared" ref="G89:G90" si="89">(D89-F89)*250*100/E89/10/1000</f>
        <v>0.344198533714246</v>
      </c>
      <c r="H89" s="519">
        <f t="shared" ref="H89" si="90">(G89+G90)/2</f>
        <v>0.348161804270412</v>
      </c>
      <c r="I89" s="519">
        <f t="shared" ref="I89" si="91">(G89-G90)/H89*100</f>
        <v>-2.27668314418994</v>
      </c>
    </row>
    <row r="90" ht="21" spans="1:9">
      <c r="A90" s="510"/>
      <c r="B90" s="520"/>
      <c r="C90" s="512"/>
      <c r="D90" s="515">
        <v>11.1</v>
      </c>
      <c r="E90" s="515">
        <v>5.6798</v>
      </c>
      <c r="F90" s="517">
        <v>10.3</v>
      </c>
      <c r="G90" s="518">
        <f t="shared" si="89"/>
        <v>0.352125074826578</v>
      </c>
      <c r="H90" s="522"/>
      <c r="I90" s="522"/>
    </row>
    <row r="91" ht="21" spans="1:9">
      <c r="A91" s="505"/>
      <c r="B91" s="514" t="s">
        <v>412</v>
      </c>
      <c r="C91" s="507" t="s">
        <v>413</v>
      </c>
      <c r="D91" s="515">
        <v>11.1</v>
      </c>
      <c r="E91" s="515">
        <v>2.5653</v>
      </c>
      <c r="F91" s="517">
        <v>10</v>
      </c>
      <c r="G91" s="551">
        <f t="shared" ref="G91:G95" si="92">(D91-F91)*250*100/E91/10/1000</f>
        <v>1.07199937629127</v>
      </c>
      <c r="H91" s="552">
        <f t="shared" ref="H91" si="93">(G91+G92)/2</f>
        <v>1.06283979696207</v>
      </c>
      <c r="I91" s="519">
        <f t="shared" ref="I91" si="94">(G91-G92)/H91*100</f>
        <v>1.72360488483536</v>
      </c>
    </row>
    <row r="92" ht="21" spans="1:9">
      <c r="A92" s="510"/>
      <c r="B92" s="520"/>
      <c r="C92" s="512"/>
      <c r="D92" s="515">
        <v>11.1</v>
      </c>
      <c r="E92" s="515">
        <v>2.6099</v>
      </c>
      <c r="F92" s="517">
        <v>10</v>
      </c>
      <c r="G92" s="551">
        <f t="shared" si="92"/>
        <v>1.05368021763286</v>
      </c>
      <c r="H92" s="553"/>
      <c r="I92" s="522"/>
    </row>
    <row r="93" ht="21" spans="1:9">
      <c r="A93" s="505"/>
      <c r="B93" s="514" t="s">
        <v>414</v>
      </c>
      <c r="C93" s="507"/>
      <c r="D93" s="515">
        <v>10.8</v>
      </c>
      <c r="E93" s="515">
        <v>2.2711</v>
      </c>
      <c r="F93" s="517">
        <v>10.6</v>
      </c>
      <c r="G93" s="518">
        <f t="shared" si="92"/>
        <v>0.220157632865133</v>
      </c>
      <c r="H93" s="519">
        <f t="shared" ref="H93" si="95">(G93+G94)/2</f>
        <v>0.21939710756904</v>
      </c>
      <c r="I93" s="519">
        <f t="shared" ref="I93" si="96">(G93-G94)/H93*100</f>
        <v>0.693286529179446</v>
      </c>
    </row>
    <row r="94" ht="21" spans="1:9">
      <c r="A94" s="510"/>
      <c r="B94" s="520"/>
      <c r="C94" s="512"/>
      <c r="D94" s="515">
        <v>10.8</v>
      </c>
      <c r="E94" s="515">
        <v>2.2869</v>
      </c>
      <c r="F94" s="517">
        <v>10.6</v>
      </c>
      <c r="G94" s="518">
        <f t="shared" si="92"/>
        <v>0.218636582272947</v>
      </c>
      <c r="H94" s="522"/>
      <c r="I94" s="522"/>
    </row>
    <row r="95" ht="21" spans="1:9">
      <c r="A95" s="505"/>
      <c r="B95" s="514" t="s">
        <v>415</v>
      </c>
      <c r="C95" s="507"/>
      <c r="D95" s="515">
        <v>10.8</v>
      </c>
      <c r="E95" s="515">
        <v>2.8225</v>
      </c>
      <c r="F95" s="517">
        <v>9.55</v>
      </c>
      <c r="G95" s="551">
        <f t="shared" si="92"/>
        <v>1.10717449069973</v>
      </c>
      <c r="H95" s="519">
        <f t="shared" ref="H95" si="97">(G95+G96)/2</f>
        <v>1.11608274538587</v>
      </c>
      <c r="I95" s="519">
        <f t="shared" ref="I95" si="98">(G95-G96)/H95*100</f>
        <v>-1.5963430530507</v>
      </c>
    </row>
    <row r="96" ht="21" spans="1:9">
      <c r="A96" s="510"/>
      <c r="B96" s="520"/>
      <c r="C96" s="512"/>
      <c r="D96" s="515">
        <v>10.8</v>
      </c>
      <c r="E96" s="515">
        <v>2.7778</v>
      </c>
      <c r="F96" s="517">
        <v>9.55</v>
      </c>
      <c r="G96" s="551">
        <f t="shared" ref="G96" si="99">(D96-F96)*250*100/E96/10/1000</f>
        <v>1.124991000072</v>
      </c>
      <c r="H96" s="522"/>
      <c r="I96" s="522"/>
    </row>
    <row r="99" ht="21" spans="1:9">
      <c r="A99" s="505"/>
      <c r="B99" s="514" t="s">
        <v>415</v>
      </c>
      <c r="C99" s="507"/>
      <c r="D99" s="515">
        <v>11.3</v>
      </c>
      <c r="E99" s="515">
        <v>6.0488</v>
      </c>
      <c r="F99" s="517">
        <v>11.7</v>
      </c>
      <c r="G99" s="551">
        <f>(D99-F99)*250*100/E99/10/1000</f>
        <v>-0.165322047348234</v>
      </c>
      <c r="H99" s="519">
        <f t="shared" ref="H99" si="100">(G99+G100)/2</f>
        <v>-0.045656148898613</v>
      </c>
      <c r="I99" s="519">
        <f t="shared" ref="I99" si="101">(G99-G100)/H99*100</f>
        <v>524.204959622672</v>
      </c>
    </row>
    <row r="100" ht="21" spans="1:9">
      <c r="A100" s="510"/>
      <c r="B100" s="520"/>
      <c r="C100" s="512"/>
      <c r="D100" s="515">
        <v>11.3</v>
      </c>
      <c r="E100" s="515">
        <v>10.1338</v>
      </c>
      <c r="F100" s="517">
        <v>11</v>
      </c>
      <c r="G100" s="551">
        <f t="shared" ref="G100:G104" si="102">(D100-F100)*250*100/E100/10/1000</f>
        <v>0.0740097495510077</v>
      </c>
      <c r="H100" s="522"/>
      <c r="I100" s="522"/>
    </row>
    <row r="101" ht="21" spans="1:9">
      <c r="A101" s="505"/>
      <c r="B101" s="514" t="s">
        <v>416</v>
      </c>
      <c r="C101" s="507" t="s">
        <v>413</v>
      </c>
      <c r="D101" s="515">
        <v>11.3</v>
      </c>
      <c r="E101" s="515">
        <v>2.6305</v>
      </c>
      <c r="F101" s="517">
        <v>10.6</v>
      </c>
      <c r="G101" s="551">
        <f t="shared" si="102"/>
        <v>0.665272761832352</v>
      </c>
      <c r="H101" s="519">
        <f t="shared" ref="H101" si="103">(G101+G102)/2</f>
        <v>0.663361708806716</v>
      </c>
      <c r="I101" s="519">
        <f t="shared" ref="I101" si="104">(G101-G102)/H101*100</f>
        <v>0.576172245176435</v>
      </c>
    </row>
    <row r="102" ht="21" spans="1:9">
      <c r="A102" s="510"/>
      <c r="B102" s="520"/>
      <c r="C102" s="512"/>
      <c r="D102" s="515">
        <v>11.3</v>
      </c>
      <c r="E102" s="515">
        <v>2.6457</v>
      </c>
      <c r="F102" s="517">
        <v>10.6</v>
      </c>
      <c r="G102" s="551">
        <f t="shared" si="102"/>
        <v>0.66145065578108</v>
      </c>
      <c r="H102" s="522"/>
      <c r="I102" s="522"/>
    </row>
    <row r="103" ht="21" spans="1:9">
      <c r="A103" s="505"/>
      <c r="B103" s="514" t="s">
        <v>417</v>
      </c>
      <c r="C103" s="507"/>
      <c r="D103" s="515">
        <v>11</v>
      </c>
      <c r="E103" s="515">
        <v>5.1601</v>
      </c>
      <c r="F103" s="517">
        <v>10.8</v>
      </c>
      <c r="G103" s="551">
        <f t="shared" si="102"/>
        <v>0.0968973469506401</v>
      </c>
      <c r="H103" s="519">
        <f>(G103+G104)/2</f>
        <v>0.0969697510314103</v>
      </c>
      <c r="I103" s="519">
        <f>(G103-G104)/H103*100</f>
        <v>-0.14933333333333</v>
      </c>
    </row>
    <row r="104" ht="21" spans="1:9">
      <c r="A104" s="510"/>
      <c r="B104" s="520"/>
      <c r="C104" s="512"/>
      <c r="D104" s="515">
        <v>11</v>
      </c>
      <c r="E104" s="515">
        <v>5.1524</v>
      </c>
      <c r="F104" s="517">
        <v>10.8</v>
      </c>
      <c r="G104" s="551">
        <f t="shared" si="102"/>
        <v>0.0970421551121804</v>
      </c>
      <c r="H104" s="522"/>
      <c r="I104" s="522"/>
    </row>
    <row r="106" ht="21" spans="1:9">
      <c r="A106" s="267"/>
      <c r="B106" s="227" t="s">
        <v>418</v>
      </c>
      <c r="C106" s="507"/>
      <c r="D106" s="515">
        <v>10.55</v>
      </c>
      <c r="E106" s="65">
        <v>2.6414</v>
      </c>
      <c r="F106" s="517">
        <v>10</v>
      </c>
      <c r="G106" s="551">
        <f>(D106-F106)*250*100/E106/10/1000</f>
        <v>0.520557280230182</v>
      </c>
      <c r="H106" s="519">
        <f t="shared" ref="H106" si="105">(G106+G107)/2</f>
        <v>0.499019615706213</v>
      </c>
      <c r="I106" s="519">
        <f t="shared" ref="I106" si="106">(G106-G107)/H106*100</f>
        <v>8.63199114667585</v>
      </c>
    </row>
    <row r="107" ht="21" spans="1:9">
      <c r="A107" s="267"/>
      <c r="B107" s="227"/>
      <c r="C107" s="512"/>
      <c r="D107" s="515">
        <v>10.55</v>
      </c>
      <c r="E107" s="65">
        <v>2.6179</v>
      </c>
      <c r="F107" s="517">
        <v>10.05</v>
      </c>
      <c r="G107" s="551">
        <f t="shared" ref="G107:G111" si="107">(D107-F107)*250*100/E107/10/1000</f>
        <v>0.477481951182245</v>
      </c>
      <c r="H107" s="522"/>
      <c r="I107" s="522"/>
    </row>
    <row r="108" ht="21" spans="1:9">
      <c r="A108" s="267"/>
      <c r="B108" s="227" t="s">
        <v>419</v>
      </c>
      <c r="C108" s="507"/>
      <c r="D108" s="515">
        <v>10.55</v>
      </c>
      <c r="E108" s="65">
        <v>2.493</v>
      </c>
      <c r="F108" s="517">
        <v>10.1</v>
      </c>
      <c r="G108" s="551">
        <f t="shared" si="107"/>
        <v>0.451263537906138</v>
      </c>
      <c r="H108" s="519">
        <f t="shared" ref="H108" si="108">(G108+G109)/2</f>
        <v>0.500829911615787</v>
      </c>
      <c r="I108" s="519">
        <f t="shared" ref="I108" si="109">(G108-G109)/H108*100</f>
        <v>-19.7936954483155</v>
      </c>
    </row>
    <row r="109" ht="21" spans="1:9">
      <c r="A109" s="267"/>
      <c r="B109" s="227"/>
      <c r="C109" s="512"/>
      <c r="D109" s="515">
        <v>10.55</v>
      </c>
      <c r="E109" s="65">
        <v>2.4982</v>
      </c>
      <c r="F109" s="517">
        <v>10</v>
      </c>
      <c r="G109" s="551">
        <f t="shared" si="107"/>
        <v>0.550396285325435</v>
      </c>
      <c r="H109" s="522"/>
      <c r="I109" s="522"/>
    </row>
    <row r="110" ht="21" spans="1:9">
      <c r="A110" s="267"/>
      <c r="B110" s="227" t="s">
        <v>420</v>
      </c>
      <c r="C110" s="507"/>
      <c r="D110" s="515">
        <v>10.55</v>
      </c>
      <c r="E110" s="65">
        <v>2.6523</v>
      </c>
      <c r="F110" s="517">
        <v>10.1</v>
      </c>
      <c r="G110" s="551">
        <f t="shared" si="107"/>
        <v>0.424160162877504</v>
      </c>
      <c r="H110" s="519">
        <f>(G110+G111)/2</f>
        <v>0.401395139558475</v>
      </c>
      <c r="I110" s="519">
        <f>(G110-G111)/H110*100</f>
        <v>11.3429491667835</v>
      </c>
    </row>
    <row r="111" ht="21" spans="1:9">
      <c r="A111" s="267"/>
      <c r="B111" s="227"/>
      <c r="C111" s="512"/>
      <c r="D111" s="515">
        <v>10.55</v>
      </c>
      <c r="E111" s="65">
        <v>2.6411</v>
      </c>
      <c r="F111" s="517">
        <v>10.15</v>
      </c>
      <c r="G111" s="551">
        <f t="shared" si="107"/>
        <v>0.378630116239446</v>
      </c>
      <c r="H111" s="522"/>
      <c r="I111" s="522"/>
    </row>
    <row r="113" ht="20.25" spans="1:9">
      <c r="A113" s="554"/>
      <c r="B113" s="26" t="s">
        <v>421</v>
      </c>
      <c r="C113" s="27"/>
      <c r="D113" s="282">
        <v>10.8</v>
      </c>
      <c r="E113" s="29">
        <v>2.7252</v>
      </c>
      <c r="F113" s="43">
        <v>10.5</v>
      </c>
      <c r="G113" s="551">
        <f>(D113-F113)*250*100/E113/10/1000</f>
        <v>0.275209158960811</v>
      </c>
      <c r="H113" s="519">
        <f>(G113+G114)/2</f>
        <v>0.274271367628662</v>
      </c>
      <c r="I113" s="519">
        <f>(G113-G114)/H113*100</f>
        <v>0.683841948401009</v>
      </c>
    </row>
    <row r="114" ht="20.25" spans="1:9">
      <c r="A114" s="555"/>
      <c r="B114" s="33"/>
      <c r="C114" s="34"/>
      <c r="D114" s="282">
        <v>10.8</v>
      </c>
      <c r="E114" s="29">
        <v>2.7439</v>
      </c>
      <c r="F114" s="43">
        <v>10.5</v>
      </c>
      <c r="G114" s="551">
        <f t="shared" ref="G114" si="110">(D114-F114)*250*100/E114/10/1000</f>
        <v>0.273333576296513</v>
      </c>
      <c r="H114" s="522"/>
      <c r="I114" s="522"/>
    </row>
    <row r="115" ht="20.25" spans="1:9">
      <c r="A115" s="554"/>
      <c r="B115" s="26" t="s">
        <v>422</v>
      </c>
      <c r="C115" s="27"/>
      <c r="D115" s="282">
        <v>10.8</v>
      </c>
      <c r="E115" s="29">
        <v>3.7023</v>
      </c>
      <c r="F115" s="43">
        <v>9.8</v>
      </c>
      <c r="G115" s="551">
        <f t="shared" ref="G115:G116" si="111">(D115-F115)*250*100/E115/10/1000</f>
        <v>0.675255921994436</v>
      </c>
      <c r="H115" s="519">
        <f>(G115+G116)/2</f>
        <v>0.671682852897055</v>
      </c>
      <c r="I115" s="519">
        <f>(G115-G116)/H115*100</f>
        <v>1.06391553155475</v>
      </c>
    </row>
    <row r="116" ht="20.25" spans="1:9">
      <c r="A116" s="555"/>
      <c r="B116" s="33"/>
      <c r="C116" s="34"/>
      <c r="D116" s="282">
        <v>10.8</v>
      </c>
      <c r="E116" s="29">
        <v>3.7419</v>
      </c>
      <c r="F116" s="43">
        <v>9.8</v>
      </c>
      <c r="G116" s="551">
        <f t="shared" si="111"/>
        <v>0.668109783799674</v>
      </c>
      <c r="H116" s="522"/>
      <c r="I116" s="522"/>
    </row>
    <row r="117" ht="20.25" spans="1:9">
      <c r="A117" s="554"/>
      <c r="B117" s="26" t="s">
        <v>423</v>
      </c>
      <c r="C117" s="27"/>
      <c r="D117" s="282">
        <v>10.8</v>
      </c>
      <c r="E117" s="29">
        <v>2</v>
      </c>
      <c r="F117" s="43">
        <v>10.45</v>
      </c>
      <c r="G117" s="551">
        <f t="shared" ref="G117:G118" si="112">(D117-F117)*250*100/E117/10/1000</f>
        <v>0.437500000000002</v>
      </c>
      <c r="H117" s="519">
        <f>(G117+G118)/2</f>
        <v>0.377344939462048</v>
      </c>
      <c r="I117" s="519">
        <f>(G117-G118)/H117*100</f>
        <v>31.8833270289581</v>
      </c>
    </row>
    <row r="118" ht="20.25" spans="1:9">
      <c r="A118" s="555"/>
      <c r="B118" s="33"/>
      <c r="C118" s="34"/>
      <c r="D118" s="282">
        <v>10.8</v>
      </c>
      <c r="E118" s="29">
        <v>2.7586</v>
      </c>
      <c r="F118" s="43">
        <v>10.45</v>
      </c>
      <c r="G118" s="551">
        <f t="shared" si="112"/>
        <v>0.317189878924093</v>
      </c>
      <c r="H118" s="522"/>
      <c r="I118" s="522"/>
    </row>
    <row r="119" ht="27" customHeight="1" spans="1:9">
      <c r="A119" s="554"/>
      <c r="B119" s="26" t="s">
        <v>424</v>
      </c>
      <c r="C119" s="27"/>
      <c r="D119" s="282">
        <v>10.8</v>
      </c>
      <c r="E119" s="29">
        <v>2.4181</v>
      </c>
      <c r="F119" s="43">
        <v>9.7</v>
      </c>
      <c r="G119" s="551">
        <f t="shared" ref="G119:G121" si="113">(D119-F119)*250*100/E119/10/1000</f>
        <v>1.13725652371697</v>
      </c>
      <c r="H119" s="519">
        <f>(G119+G120)/2</f>
        <v>1.11823254677335</v>
      </c>
      <c r="I119" s="519">
        <f>(G119-G120)/H119*100</f>
        <v>3.40250818106057</v>
      </c>
    </row>
    <row r="120" ht="20.25" spans="1:9">
      <c r="A120" s="555"/>
      <c r="B120" s="33"/>
      <c r="C120" s="34"/>
      <c r="D120" s="282">
        <v>10.8</v>
      </c>
      <c r="E120" s="29">
        <v>2.5018</v>
      </c>
      <c r="F120" s="43">
        <v>9.7</v>
      </c>
      <c r="G120" s="551">
        <f t="shared" si="113"/>
        <v>1.09920856982972</v>
      </c>
      <c r="H120" s="522"/>
      <c r="I120" s="522"/>
    </row>
    <row r="121" ht="20.25" spans="1:9">
      <c r="A121" s="554"/>
      <c r="B121" s="26" t="s">
        <v>421</v>
      </c>
      <c r="C121" s="27"/>
      <c r="D121" s="282">
        <v>10.8</v>
      </c>
      <c r="E121" s="29">
        <v>2.7252</v>
      </c>
      <c r="F121" s="43">
        <v>9.2</v>
      </c>
      <c r="G121" s="551">
        <f t="shared" si="113"/>
        <v>1.46778218112432</v>
      </c>
      <c r="H121" s="519">
        <f>(G121+G122)/2</f>
        <v>1.37166943525402</v>
      </c>
      <c r="I121" s="519">
        <f>(G121-G122)/H121*100</f>
        <v>14.0139808324153</v>
      </c>
    </row>
    <row r="122" ht="20.25" spans="1:9">
      <c r="A122" s="555"/>
      <c r="B122" s="33"/>
      <c r="C122" s="34"/>
      <c r="D122" s="282">
        <v>10.8</v>
      </c>
      <c r="E122" s="29">
        <v>2.7439</v>
      </c>
      <c r="F122" s="43">
        <v>9.4</v>
      </c>
      <c r="G122" s="551">
        <f t="shared" ref="G122:G129" si="114">(D122-F122)*250*100/E122/10/1000</f>
        <v>1.27555668938372</v>
      </c>
      <c r="H122" s="522"/>
      <c r="I122" s="522"/>
    </row>
    <row r="123" ht="20.25" spans="1:9">
      <c r="A123" s="554"/>
      <c r="B123" s="26" t="s">
        <v>425</v>
      </c>
      <c r="C123" s="27"/>
      <c r="D123" s="282">
        <v>11</v>
      </c>
      <c r="E123" s="29">
        <v>6.3108</v>
      </c>
      <c r="F123" s="43">
        <v>6.9</v>
      </c>
      <c r="G123" s="551">
        <f t="shared" si="114"/>
        <v>1.62419978449642</v>
      </c>
      <c r="H123" s="552">
        <f>(G123+G124)/2</f>
        <v>1.61609382783681</v>
      </c>
      <c r="I123" s="519">
        <f>(G123-G124)/H123*100</f>
        <v>1.00315421295301</v>
      </c>
    </row>
    <row r="124" ht="20.25" spans="1:9">
      <c r="A124" s="555"/>
      <c r="B124" s="33"/>
      <c r="C124" s="34"/>
      <c r="D124" s="282">
        <v>11</v>
      </c>
      <c r="E124" s="29">
        <v>6.5299</v>
      </c>
      <c r="F124" s="43">
        <v>6.8</v>
      </c>
      <c r="G124" s="551">
        <f t="shared" si="114"/>
        <v>1.6079878711772</v>
      </c>
      <c r="H124" s="553"/>
      <c r="I124" s="522"/>
    </row>
    <row r="125" ht="20.25" customHeight="1" spans="1:9">
      <c r="A125" s="554"/>
      <c r="B125" s="26" t="s">
        <v>426</v>
      </c>
      <c r="C125" s="27"/>
      <c r="D125" s="282">
        <v>11</v>
      </c>
      <c r="E125" s="29">
        <v>7.2898</v>
      </c>
      <c r="F125" s="43">
        <v>5.9</v>
      </c>
      <c r="G125" s="551">
        <f t="shared" si="114"/>
        <v>1.74901917748086</v>
      </c>
      <c r="H125" s="552">
        <f>(G125+G126)/2</f>
        <v>1.77464933320769</v>
      </c>
      <c r="I125" s="519">
        <f>(G125-G126)/H125*100</f>
        <v>-2.8884755142585</v>
      </c>
    </row>
    <row r="126" ht="20.25" customHeight="1" spans="1:9">
      <c r="A126" s="555"/>
      <c r="B126" s="33"/>
      <c r="C126" s="34"/>
      <c r="D126" s="282">
        <v>11</v>
      </c>
      <c r="E126" s="29">
        <v>7.0128</v>
      </c>
      <c r="F126" s="43">
        <v>5.95</v>
      </c>
      <c r="G126" s="551">
        <f t="shared" si="114"/>
        <v>1.80027948893452</v>
      </c>
      <c r="H126" s="553"/>
      <c r="I126" s="522"/>
    </row>
    <row r="127" ht="20.25" customHeight="1" spans="1:9">
      <c r="A127" s="554"/>
      <c r="B127" s="26" t="s">
        <v>427</v>
      </c>
      <c r="C127" s="27"/>
      <c r="D127" s="282">
        <v>11</v>
      </c>
      <c r="E127" s="29">
        <v>9.2504</v>
      </c>
      <c r="F127" s="43">
        <v>6.25</v>
      </c>
      <c r="G127" s="551">
        <f t="shared" si="114"/>
        <v>1.28372827120989</v>
      </c>
      <c r="H127" s="552">
        <f>(G127+G128)/2</f>
        <v>1.26176635150011</v>
      </c>
      <c r="I127" s="519">
        <f>(G127-G128)/H127*100</f>
        <v>3.48113891033286</v>
      </c>
    </row>
    <row r="128" ht="20.25" customHeight="1" spans="1:9">
      <c r="A128" s="555"/>
      <c r="B128" s="33"/>
      <c r="C128" s="34"/>
      <c r="D128" s="282">
        <v>11</v>
      </c>
      <c r="E128" s="29">
        <v>8.5699</v>
      </c>
      <c r="F128" s="43">
        <v>6.75</v>
      </c>
      <c r="G128" s="551">
        <f t="shared" si="114"/>
        <v>1.23980443179034</v>
      </c>
      <c r="H128" s="553"/>
      <c r="I128" s="522"/>
    </row>
    <row r="129" ht="20.25" customHeight="1" spans="1:9">
      <c r="A129" s="554"/>
      <c r="B129" s="26" t="s">
        <v>428</v>
      </c>
      <c r="C129" s="27"/>
      <c r="D129" s="282">
        <v>11</v>
      </c>
      <c r="E129" s="29">
        <v>8.6473</v>
      </c>
      <c r="F129" s="43">
        <v>6.9</v>
      </c>
      <c r="G129" s="551">
        <f t="shared" si="114"/>
        <v>1.18534108912609</v>
      </c>
      <c r="H129" s="552">
        <f>(G129+G130)/2</f>
        <v>1.19221706937337</v>
      </c>
      <c r="I129" s="519">
        <f>(G129-G130)/H129*100</f>
        <v>-1.15347790665276</v>
      </c>
    </row>
    <row r="130" ht="20.25" customHeight="1" spans="1:9">
      <c r="A130" s="555"/>
      <c r="B130" s="33"/>
      <c r="C130" s="34"/>
      <c r="D130" s="282">
        <v>11</v>
      </c>
      <c r="E130" s="29">
        <v>8.0269</v>
      </c>
      <c r="F130" s="43">
        <v>7.15</v>
      </c>
      <c r="G130" s="551">
        <f t="shared" ref="G130:G137" si="115">(D130-F130)*250*100/E130/10/1000</f>
        <v>1.19909304962065</v>
      </c>
      <c r="H130" s="553"/>
      <c r="I130" s="522"/>
    </row>
    <row r="131" ht="20.25" spans="1:9">
      <c r="A131" s="317">
        <v>11.21</v>
      </c>
      <c r="B131" s="26" t="s">
        <v>429</v>
      </c>
      <c r="C131" s="27"/>
      <c r="D131" s="282">
        <v>11</v>
      </c>
      <c r="E131" s="29">
        <v>7.2785</v>
      </c>
      <c r="F131" s="43">
        <v>9.3</v>
      </c>
      <c r="G131" s="518">
        <f t="shared" si="115"/>
        <v>0.583911520230817</v>
      </c>
      <c r="H131" s="519">
        <f>(G131+G132)/2</f>
        <v>0.580099800985136</v>
      </c>
      <c r="I131" s="519">
        <f>(G131-G132)/H131*100</f>
        <v>1.31415981843383</v>
      </c>
    </row>
    <row r="132" ht="20.25" spans="2:9">
      <c r="B132" s="33"/>
      <c r="C132" s="34"/>
      <c r="D132" s="282">
        <v>11</v>
      </c>
      <c r="E132" s="29">
        <v>8.0255</v>
      </c>
      <c r="F132" s="43">
        <v>9.15</v>
      </c>
      <c r="G132" s="518">
        <f t="shared" si="115"/>
        <v>0.576288081739455</v>
      </c>
      <c r="H132" s="522"/>
      <c r="I132" s="522"/>
    </row>
    <row r="133" ht="20.25" customHeight="1" spans="2:9">
      <c r="B133" s="26" t="s">
        <v>430</v>
      </c>
      <c r="C133" s="27"/>
      <c r="D133" s="282">
        <v>11</v>
      </c>
      <c r="E133" s="29">
        <v>9.5121</v>
      </c>
      <c r="F133" s="43">
        <v>7.95</v>
      </c>
      <c r="G133" s="518">
        <f t="shared" si="115"/>
        <v>0.801610580208366</v>
      </c>
      <c r="H133" s="519">
        <f>(G133+G134)/2</f>
        <v>0.81669562813985</v>
      </c>
      <c r="I133" s="519">
        <f>(G133-G134)/H133*100</f>
        <v>-3.6941664462787</v>
      </c>
    </row>
    <row r="134" ht="20.25" customHeight="1" spans="2:9">
      <c r="B134" s="33"/>
      <c r="C134" s="34"/>
      <c r="D134" s="282">
        <v>11</v>
      </c>
      <c r="E134" s="29">
        <v>8.2654</v>
      </c>
      <c r="F134" s="43">
        <v>8.25</v>
      </c>
      <c r="G134" s="518">
        <f t="shared" si="115"/>
        <v>0.831780676071334</v>
      </c>
      <c r="H134" s="522"/>
      <c r="I134" s="522"/>
    </row>
    <row r="135" ht="20.25" customHeight="1" spans="2:9">
      <c r="B135" s="26" t="s">
        <v>431</v>
      </c>
      <c r="C135" s="27"/>
      <c r="D135" s="282">
        <v>11</v>
      </c>
      <c r="E135" s="29">
        <v>6.7608</v>
      </c>
      <c r="F135" s="43">
        <v>8.1</v>
      </c>
      <c r="G135" s="551">
        <f t="shared" si="115"/>
        <v>1.07235830079281</v>
      </c>
      <c r="H135" s="552">
        <f>(G135+G136)/2</f>
        <v>1.05207588565955</v>
      </c>
      <c r="I135" s="519">
        <f>(G135-G136)/H135*100</f>
        <v>3.85569432960532</v>
      </c>
    </row>
    <row r="136" ht="20.25" customHeight="1" spans="2:9">
      <c r="B136" s="33"/>
      <c r="C136" s="34"/>
      <c r="D136" s="282">
        <v>11</v>
      </c>
      <c r="E136" s="29">
        <v>7.0266</v>
      </c>
      <c r="F136" s="43">
        <v>8.1</v>
      </c>
      <c r="G136" s="551">
        <f t="shared" si="115"/>
        <v>1.03179347052629</v>
      </c>
      <c r="H136" s="553"/>
      <c r="I136" s="522"/>
    </row>
    <row r="137" ht="20.25" customHeight="1" spans="2:9">
      <c r="B137" s="26" t="s">
        <v>432</v>
      </c>
      <c r="C137" s="27"/>
      <c r="D137" s="282">
        <v>11</v>
      </c>
      <c r="E137" s="29">
        <v>6.4333</v>
      </c>
      <c r="F137" s="43">
        <v>8.4</v>
      </c>
      <c r="G137" s="551">
        <f t="shared" si="115"/>
        <v>1.01036792936751</v>
      </c>
      <c r="H137" s="552">
        <f>(G137+G138)/2</f>
        <v>1.00181051596451</v>
      </c>
      <c r="I137" s="519">
        <f>(G137-G138)/H137*100</f>
        <v>1.70838961393041</v>
      </c>
    </row>
    <row r="138" ht="20.25" customHeight="1" spans="2:9">
      <c r="B138" s="33"/>
      <c r="C138" s="34"/>
      <c r="D138" s="282">
        <v>11</v>
      </c>
      <c r="E138" s="29">
        <v>6.9217</v>
      </c>
      <c r="F138" s="43">
        <v>8.25</v>
      </c>
      <c r="G138" s="551">
        <f t="shared" ref="G138:G141" si="116">(D138-F138)*250*100/E138/10/1000</f>
        <v>0.993253102561509</v>
      </c>
      <c r="H138" s="553"/>
      <c r="I138" s="522"/>
    </row>
    <row r="139" customHeight="1" spans="1:9">
      <c r="A139" s="293">
        <v>1.6</v>
      </c>
      <c r="B139" s="26" t="s">
        <v>433</v>
      </c>
      <c r="C139" s="27"/>
      <c r="D139" s="282">
        <v>11.1</v>
      </c>
      <c r="E139" s="29">
        <v>7.0069</v>
      </c>
      <c r="F139" s="43">
        <v>10</v>
      </c>
      <c r="G139" s="556">
        <f t="shared" si="116"/>
        <v>0.392470279296122</v>
      </c>
      <c r="H139" s="435">
        <f>(G139+G140)/2</f>
        <v>0.383323545155944</v>
      </c>
      <c r="I139" s="519">
        <f>(G139-G140)/H139*100</f>
        <v>4.77233097510751</v>
      </c>
    </row>
    <row r="140" customHeight="1" spans="2:9">
      <c r="B140" s="33"/>
      <c r="C140" s="34"/>
      <c r="D140" s="282">
        <v>11.1</v>
      </c>
      <c r="E140" s="29">
        <v>7.0154</v>
      </c>
      <c r="F140" s="43">
        <v>10.05</v>
      </c>
      <c r="G140" s="556">
        <f t="shared" si="116"/>
        <v>0.374176811015765</v>
      </c>
      <c r="H140" s="436"/>
      <c r="I140" s="522"/>
    </row>
    <row r="141" ht="20.25" spans="2:9">
      <c r="B141" s="26" t="s">
        <v>434</v>
      </c>
      <c r="C141" s="27"/>
      <c r="D141" s="282">
        <v>11.1</v>
      </c>
      <c r="E141" s="29">
        <v>7.1186</v>
      </c>
      <c r="F141" s="43">
        <v>10.15</v>
      </c>
      <c r="G141" s="556">
        <f t="shared" si="116"/>
        <v>0.333633017728205</v>
      </c>
      <c r="H141" s="435">
        <f>(G141+G142)/2</f>
        <v>0.333766697957159</v>
      </c>
      <c r="I141" s="519">
        <f>(G141-G142)/H141*100</f>
        <v>-0.0801039946597573</v>
      </c>
    </row>
    <row r="142" ht="20.25" spans="2:9">
      <c r="B142" s="33"/>
      <c r="C142" s="34"/>
      <c r="D142" s="282">
        <v>11.1</v>
      </c>
      <c r="E142" s="29">
        <v>7.1129</v>
      </c>
      <c r="F142" s="43">
        <v>10.15</v>
      </c>
      <c r="G142" s="556">
        <f t="shared" ref="G142" si="117">(D142-F142)*250*100/E142/10/1000</f>
        <v>0.333900378186112</v>
      </c>
      <c r="H142" s="436"/>
      <c r="I142" s="522"/>
    </row>
    <row r="143" ht="20.25" spans="2:9">
      <c r="B143" s="26" t="s">
        <v>435</v>
      </c>
      <c r="C143" s="27"/>
      <c r="D143" s="282">
        <v>11.1</v>
      </c>
      <c r="E143" s="312">
        <v>4.5328</v>
      </c>
      <c r="F143" s="313">
        <v>6.8</v>
      </c>
      <c r="G143" s="556">
        <f t="shared" ref="G143:G144" si="118">(D143-F143)*250*100/E143/10/1000</f>
        <v>2.37160254147547</v>
      </c>
      <c r="H143" s="435">
        <f>(G143+G144)/2</f>
        <v>1.58580127073773</v>
      </c>
      <c r="I143" s="519">
        <f>(G143-G144)/H143*100</f>
        <v>99.1046337568099</v>
      </c>
    </row>
    <row r="144" ht="20.25" spans="2:9">
      <c r="B144" s="33"/>
      <c r="C144" s="34"/>
      <c r="D144" s="282">
        <v>10.7</v>
      </c>
      <c r="E144" s="312">
        <v>10</v>
      </c>
      <c r="F144" s="313">
        <v>7.5</v>
      </c>
      <c r="G144" s="556">
        <f t="shared" si="118"/>
        <v>0.8</v>
      </c>
      <c r="H144" s="436"/>
      <c r="I144" s="522"/>
    </row>
    <row r="145" ht="20.25" customHeight="1" spans="2:9">
      <c r="B145" s="26" t="s">
        <v>433</v>
      </c>
      <c r="C145" s="27"/>
      <c r="D145" s="282">
        <v>11.1</v>
      </c>
      <c r="E145" s="312">
        <v>7.0069</v>
      </c>
      <c r="F145" s="43">
        <v>10.77</v>
      </c>
      <c r="G145" s="556">
        <f t="shared" ref="G145:G148" si="119">(D145-F145)*250*100/E145/10/1000</f>
        <v>0.117741083788837</v>
      </c>
      <c r="H145" s="435">
        <f>(G145+G146)/2</f>
        <v>0.121233343730379</v>
      </c>
      <c r="I145" s="435">
        <f>(G145-G146)/H145*100</f>
        <v>-5.7612201958385</v>
      </c>
    </row>
    <row r="146" ht="20.25" spans="2:9">
      <c r="B146" s="33"/>
      <c r="C146" s="34"/>
      <c r="D146" s="282">
        <v>11.1</v>
      </c>
      <c r="E146" s="312">
        <v>7.0154</v>
      </c>
      <c r="F146" s="43">
        <v>10.75</v>
      </c>
      <c r="G146" s="556">
        <f t="shared" si="119"/>
        <v>0.124725603671922</v>
      </c>
      <c r="H146" s="436"/>
      <c r="I146" s="436"/>
    </row>
    <row r="147" ht="20.25" customHeight="1" spans="2:9">
      <c r="B147" s="26" t="s">
        <v>434</v>
      </c>
      <c r="C147" s="27"/>
      <c r="D147" s="282">
        <v>11.1</v>
      </c>
      <c r="E147" s="312">
        <v>7.1186</v>
      </c>
      <c r="F147" s="313">
        <v>10.7</v>
      </c>
      <c r="G147" s="556">
        <f t="shared" si="119"/>
        <v>0.140477060096086</v>
      </c>
      <c r="H147" s="435">
        <f t="shared" ref="H147:H151" si="120">(G147+G148)/2</f>
        <v>0.140533346508278</v>
      </c>
      <c r="I147" s="435">
        <f t="shared" ref="I147:I151" si="121">(G147-G148)/H147*100</f>
        <v>-0.0801039946597447</v>
      </c>
    </row>
    <row r="148" ht="20.25" customHeight="1" spans="2:9">
      <c r="B148" s="33"/>
      <c r="C148" s="34"/>
      <c r="D148" s="282">
        <v>11.1</v>
      </c>
      <c r="E148" s="312">
        <v>7.1129</v>
      </c>
      <c r="F148" s="313">
        <v>10.7</v>
      </c>
      <c r="G148" s="556">
        <f t="shared" si="119"/>
        <v>0.140589632920469</v>
      </c>
      <c r="H148" s="436"/>
      <c r="I148" s="436"/>
    </row>
    <row r="149" ht="20.25" spans="1:9">
      <c r="A149" s="293">
        <v>210</v>
      </c>
      <c r="B149" s="26" t="s">
        <v>436</v>
      </c>
      <c r="C149" s="459"/>
      <c r="D149" s="282">
        <v>11</v>
      </c>
      <c r="E149" s="312">
        <v>3.0138</v>
      </c>
      <c r="F149" s="313">
        <v>9.5</v>
      </c>
      <c r="G149" s="556">
        <f t="shared" ref="G149:G152" si="122">(D149-F149)*250*100/E149/10/1000</f>
        <v>1.24427632888712</v>
      </c>
      <c r="H149" s="435">
        <f t="shared" si="120"/>
        <v>1.24680500879324</v>
      </c>
      <c r="I149" s="435">
        <f t="shared" si="121"/>
        <v>-0.405625561059937</v>
      </c>
    </row>
    <row r="150" ht="20.25" spans="2:9">
      <c r="B150" s="33"/>
      <c r="C150" s="462"/>
      <c r="D150" s="282">
        <v>11</v>
      </c>
      <c r="E150" s="312">
        <v>4.5024</v>
      </c>
      <c r="F150" s="313">
        <v>8.75</v>
      </c>
      <c r="G150" s="556">
        <f t="shared" si="122"/>
        <v>1.24933368869936</v>
      </c>
      <c r="H150" s="436"/>
      <c r="I150" s="436"/>
    </row>
    <row r="151" ht="20.25" customHeight="1" spans="1:9">
      <c r="A151" s="293">
        <v>3.12</v>
      </c>
      <c r="B151" s="26" t="s">
        <v>437</v>
      </c>
      <c r="C151" s="27"/>
      <c r="D151" s="282">
        <v>11.4</v>
      </c>
      <c r="E151" s="312">
        <v>4.0746</v>
      </c>
      <c r="F151" s="313">
        <v>7.2</v>
      </c>
      <c r="G151" s="556">
        <f t="shared" si="122"/>
        <v>2.57694006773671</v>
      </c>
      <c r="H151" s="435">
        <f t="shared" si="120"/>
        <v>2.57694006773671</v>
      </c>
      <c r="I151" s="435">
        <f t="shared" si="121"/>
        <v>0</v>
      </c>
    </row>
    <row r="152" ht="20.25" customHeight="1" spans="2:9">
      <c r="B152" s="33"/>
      <c r="C152" s="34"/>
      <c r="D152" s="282">
        <v>11.4</v>
      </c>
      <c r="E152" s="312">
        <v>4.0746</v>
      </c>
      <c r="F152" s="313">
        <v>7.2</v>
      </c>
      <c r="G152" s="556">
        <f t="shared" si="122"/>
        <v>2.57694006773671</v>
      </c>
      <c r="H152" s="436"/>
      <c r="I152" s="436"/>
    </row>
    <row r="153" ht="20.25" spans="2:9">
      <c r="B153" s="26" t="s">
        <v>438</v>
      </c>
      <c r="D153" s="282">
        <v>11.4</v>
      </c>
      <c r="E153" s="312">
        <v>2.5319</v>
      </c>
      <c r="F153" s="293">
        <v>8.2</v>
      </c>
      <c r="G153" s="556">
        <f t="shared" ref="G153:G160" si="123">(D153-F153)*250*100/E153/10/1000</f>
        <v>3.15968245191358</v>
      </c>
      <c r="H153" s="435" t="e">
        <f t="shared" ref="H153" si="124">(G153+G154)/2</f>
        <v>#DIV/0!</v>
      </c>
      <c r="I153" s="435" t="e">
        <f t="shared" ref="I153" si="125">(G153-G154)/H153*100</f>
        <v>#DIV/0!</v>
      </c>
    </row>
    <row r="154" ht="20.25" spans="2:9">
      <c r="B154" s="33"/>
      <c r="D154" s="282">
        <v>11.4</v>
      </c>
      <c r="E154" s="312"/>
      <c r="G154" s="556" t="e">
        <f t="shared" si="123"/>
        <v>#DIV/0!</v>
      </c>
      <c r="H154" s="436"/>
      <c r="I154" s="436"/>
    </row>
    <row r="155" ht="20.25" spans="2:9">
      <c r="B155" s="26" t="s">
        <v>439</v>
      </c>
      <c r="D155" s="282">
        <v>11.4</v>
      </c>
      <c r="E155" s="312">
        <v>3.1679</v>
      </c>
      <c r="F155" s="293">
        <v>8.85</v>
      </c>
      <c r="G155" s="556">
        <f t="shared" si="123"/>
        <v>2.01237412797121</v>
      </c>
      <c r="H155" s="435" t="e">
        <f t="shared" ref="H155" si="126">(G155+G156)/2</f>
        <v>#DIV/0!</v>
      </c>
      <c r="I155" s="435" t="e">
        <f t="shared" ref="I155" si="127">(G155-G156)/H155*100</f>
        <v>#DIV/0!</v>
      </c>
    </row>
    <row r="156" ht="20.25" spans="2:9">
      <c r="B156" s="33"/>
      <c r="D156" s="282">
        <v>11.4</v>
      </c>
      <c r="E156" s="312"/>
      <c r="G156" s="556" t="e">
        <f t="shared" si="123"/>
        <v>#DIV/0!</v>
      </c>
      <c r="H156" s="436"/>
      <c r="I156" s="436"/>
    </row>
    <row r="157" ht="20.25" spans="1:9">
      <c r="A157" s="293">
        <v>3.19</v>
      </c>
      <c r="B157" s="26" t="s">
        <v>440</v>
      </c>
      <c r="C157" s="27"/>
      <c r="D157" s="282">
        <v>11</v>
      </c>
      <c r="E157" s="312">
        <v>7.9733</v>
      </c>
      <c r="F157" s="43">
        <v>10.3</v>
      </c>
      <c r="G157" s="556">
        <f t="shared" si="123"/>
        <v>0.219482522920246</v>
      </c>
      <c r="H157" s="435">
        <f>(G157+G158)/2</f>
        <v>0.219692129129542</v>
      </c>
      <c r="I157" s="435">
        <f>(G157-G158)/H157*100</f>
        <v>-0.19081813274415</v>
      </c>
    </row>
    <row r="158" ht="20.25" spans="2:9">
      <c r="B158" s="33"/>
      <c r="C158" s="34"/>
      <c r="D158" s="282">
        <v>11</v>
      </c>
      <c r="E158" s="312">
        <v>7.9581</v>
      </c>
      <c r="F158" s="43">
        <v>10.3</v>
      </c>
      <c r="G158" s="556">
        <f t="shared" si="123"/>
        <v>0.219901735338837</v>
      </c>
      <c r="H158" s="436"/>
      <c r="I158" s="436"/>
    </row>
    <row r="159" ht="20.25" spans="2:9">
      <c r="B159" s="26" t="s">
        <v>441</v>
      </c>
      <c r="C159" s="27"/>
      <c r="D159" s="282">
        <v>11</v>
      </c>
      <c r="E159" s="312">
        <v>7.1637</v>
      </c>
      <c r="F159" s="313">
        <v>10.4</v>
      </c>
      <c r="G159" s="556">
        <f t="shared" si="123"/>
        <v>0.209389002889568</v>
      </c>
      <c r="H159" s="435">
        <f t="shared" ref="H159" si="128">(G159+G160)/2</f>
        <v>0.216995814506291</v>
      </c>
      <c r="I159" s="435">
        <f t="shared" ref="I159" si="129">(G159-G160)/H159*100</f>
        <v>-7.01102151120252</v>
      </c>
    </row>
    <row r="160" ht="20.25" spans="2:9">
      <c r="B160" s="33"/>
      <c r="C160" s="34"/>
      <c r="D160" s="282">
        <v>11</v>
      </c>
      <c r="E160" s="312">
        <v>7.235</v>
      </c>
      <c r="F160" s="313">
        <v>10.35</v>
      </c>
      <c r="G160" s="556">
        <f t="shared" si="123"/>
        <v>0.224602626123013</v>
      </c>
      <c r="H160" s="436"/>
      <c r="I160" s="436"/>
    </row>
    <row r="161" ht="20.25" spans="1:9">
      <c r="A161" s="293">
        <v>331</v>
      </c>
      <c r="B161" s="26" t="s">
        <v>442</v>
      </c>
      <c r="C161" s="27"/>
      <c r="D161" s="282">
        <v>11</v>
      </c>
      <c r="E161" s="312">
        <v>2.5154</v>
      </c>
      <c r="F161" s="313">
        <v>8.4</v>
      </c>
      <c r="G161" s="556">
        <f t="shared" ref="G161:G162" si="130">(D161-F161)*250*100/E161/10/1000</f>
        <v>2.58408205454401</v>
      </c>
      <c r="H161" s="435">
        <f t="shared" ref="H161" si="131">(G161+G162)/2</f>
        <v>2.78285759720124</v>
      </c>
      <c r="I161" s="435">
        <f t="shared" ref="I161" si="132">(G161-G162)/H161*100</f>
        <v>-14.2857142857143</v>
      </c>
    </row>
    <row r="162" ht="20.25" spans="2:9">
      <c r="B162" s="33"/>
      <c r="C162" s="34"/>
      <c r="D162" s="282">
        <v>11</v>
      </c>
      <c r="E162" s="312">
        <v>2.5154</v>
      </c>
      <c r="F162" s="313">
        <v>8</v>
      </c>
      <c r="G162" s="556">
        <f t="shared" si="130"/>
        <v>2.98163313985847</v>
      </c>
      <c r="H162" s="436"/>
      <c r="I162" s="436"/>
    </row>
    <row r="163" ht="20.25" spans="2:9">
      <c r="B163" s="26" t="s">
        <v>443</v>
      </c>
      <c r="C163" s="27"/>
      <c r="D163" s="282">
        <v>11</v>
      </c>
      <c r="E163" s="312">
        <v>2.6086</v>
      </c>
      <c r="F163" s="313">
        <v>7.3</v>
      </c>
      <c r="G163" s="556">
        <f t="shared" ref="G163:G164" si="133">(D163-F163)*250*100/E163/10/1000</f>
        <v>3.54596335198957</v>
      </c>
      <c r="H163" s="435">
        <f t="shared" ref="H163" si="134">(G163+G164)/2</f>
        <v>3.54596335198957</v>
      </c>
      <c r="I163" s="435">
        <f t="shared" ref="I163" si="135">(G163-G164)/H163*100</f>
        <v>0</v>
      </c>
    </row>
    <row r="164" ht="20.25" spans="2:9">
      <c r="B164" s="33"/>
      <c r="C164" s="34"/>
      <c r="D164" s="282">
        <v>11</v>
      </c>
      <c r="E164" s="312">
        <v>2.6086</v>
      </c>
      <c r="F164" s="313">
        <v>7.3</v>
      </c>
      <c r="G164" s="556">
        <f t="shared" si="133"/>
        <v>3.54596335198957</v>
      </c>
      <c r="H164" s="436"/>
      <c r="I164" s="436"/>
    </row>
    <row r="165" ht="20.25" spans="1:9">
      <c r="A165" s="293">
        <v>4.1</v>
      </c>
      <c r="B165" s="26" t="s">
        <v>443</v>
      </c>
      <c r="C165" s="27"/>
      <c r="D165" s="311">
        <v>10.7</v>
      </c>
      <c r="E165" s="312">
        <v>2.5506</v>
      </c>
      <c r="F165" s="313">
        <v>6.95</v>
      </c>
      <c r="G165" s="556">
        <f t="shared" ref="G165:G190" si="136">(D165-F165)*250*100/E165/10/1000</f>
        <v>3.67560573982592</v>
      </c>
      <c r="H165" s="435">
        <f t="shared" ref="H165" si="137">(G165+G166)/2</f>
        <v>3.67560573982592</v>
      </c>
      <c r="I165" s="435">
        <f t="shared" ref="I165" si="138">(G165-G166)/H165*100</f>
        <v>0</v>
      </c>
    </row>
    <row r="166" ht="20.25" spans="2:9">
      <c r="B166" s="33"/>
      <c r="C166" s="34"/>
      <c r="D166" s="311">
        <v>10.7</v>
      </c>
      <c r="E166" s="312">
        <v>2.5506</v>
      </c>
      <c r="F166" s="313">
        <v>6.95</v>
      </c>
      <c r="G166" s="556">
        <f t="shared" si="136"/>
        <v>3.67560573982592</v>
      </c>
      <c r="H166" s="436"/>
      <c r="I166" s="436"/>
    </row>
    <row r="167" ht="20.25" spans="1:9">
      <c r="A167" s="508">
        <v>5.18</v>
      </c>
      <c r="B167" s="26" t="s">
        <v>444</v>
      </c>
      <c r="D167" s="557">
        <v>11</v>
      </c>
      <c r="E167" s="312">
        <v>2.8249</v>
      </c>
      <c r="F167" s="311">
        <v>10.8</v>
      </c>
      <c r="G167" s="556">
        <f t="shared" si="136"/>
        <v>0.176997415837728</v>
      </c>
      <c r="H167" s="435">
        <f t="shared" ref="H167:H171" si="139">(G167+G168)/2</f>
        <v>0.180885995428102</v>
      </c>
      <c r="I167" s="435">
        <f t="shared" ref="I167:I171" si="140">(G167-G168)/H167*100</f>
        <v>-4.29948109710898</v>
      </c>
    </row>
    <row r="168" ht="20.25" spans="1:9">
      <c r="A168" s="508"/>
      <c r="B168" s="33"/>
      <c r="D168" s="557">
        <v>11</v>
      </c>
      <c r="E168" s="312">
        <v>2.706</v>
      </c>
      <c r="F168" s="311">
        <v>10.8</v>
      </c>
      <c r="G168" s="556">
        <f t="shared" si="136"/>
        <v>0.184774575018477</v>
      </c>
      <c r="H168" s="436"/>
      <c r="I168" s="436"/>
    </row>
    <row r="169" ht="20.25" spans="1:9">
      <c r="A169" s="293">
        <v>5.19</v>
      </c>
      <c r="B169" s="26" t="s">
        <v>445</v>
      </c>
      <c r="D169" s="557">
        <v>11</v>
      </c>
      <c r="E169" s="312">
        <v>7.8315</v>
      </c>
      <c r="F169" s="311">
        <v>8.55</v>
      </c>
      <c r="G169" s="556">
        <f t="shared" si="136"/>
        <v>0.782097937815233</v>
      </c>
      <c r="H169" s="435">
        <f t="shared" si="139"/>
        <v>0.782097937815233</v>
      </c>
      <c r="I169" s="435">
        <f t="shared" si="140"/>
        <v>0</v>
      </c>
    </row>
    <row r="170" ht="20.25" spans="2:9">
      <c r="B170" s="33"/>
      <c r="D170" s="557">
        <v>11</v>
      </c>
      <c r="E170" s="312">
        <v>7.8315</v>
      </c>
      <c r="F170" s="311">
        <v>8.55</v>
      </c>
      <c r="G170" s="556">
        <f t="shared" si="136"/>
        <v>0.782097937815233</v>
      </c>
      <c r="H170" s="436"/>
      <c r="I170" s="436"/>
    </row>
    <row r="171" ht="20.25" spans="2:9">
      <c r="B171" s="26" t="s">
        <v>446</v>
      </c>
      <c r="D171" s="557">
        <v>11</v>
      </c>
      <c r="E171" s="312">
        <v>7.7262</v>
      </c>
      <c r="F171" s="311">
        <v>6.05</v>
      </c>
      <c r="G171" s="556">
        <f t="shared" si="136"/>
        <v>1.60169294090238</v>
      </c>
      <c r="H171" s="435">
        <f t="shared" si="139"/>
        <v>1.60169294090238</v>
      </c>
      <c r="I171" s="435">
        <f t="shared" si="140"/>
        <v>0</v>
      </c>
    </row>
    <row r="172" ht="20.25" spans="2:9">
      <c r="B172" s="33"/>
      <c r="D172" s="557">
        <v>11</v>
      </c>
      <c r="E172" s="312">
        <v>7.7262</v>
      </c>
      <c r="F172" s="311">
        <v>6.05</v>
      </c>
      <c r="G172" s="556">
        <f t="shared" si="136"/>
        <v>1.60169294090238</v>
      </c>
      <c r="H172" s="436"/>
      <c r="I172" s="436"/>
    </row>
    <row r="173" ht="20.25" spans="1:9">
      <c r="A173" s="293">
        <v>5.2</v>
      </c>
      <c r="B173" s="26" t="s">
        <v>447</v>
      </c>
      <c r="D173" s="557">
        <v>11</v>
      </c>
      <c r="E173" s="312">
        <v>3.3517</v>
      </c>
      <c r="F173" s="311">
        <v>9.4</v>
      </c>
      <c r="G173" s="556">
        <f t="shared" si="136"/>
        <v>1.19342423247904</v>
      </c>
      <c r="H173" s="519">
        <f t="shared" ref="H173:H177" si="141">(G173+G174)/2</f>
        <v>1.19794464291921</v>
      </c>
      <c r="I173" s="435">
        <f t="shared" ref="I173:I177" si="142">(G173-G174)/H173*100</f>
        <v>-0.75469437872481</v>
      </c>
    </row>
    <row r="174" ht="20.25" spans="2:9">
      <c r="B174" s="33"/>
      <c r="D174" s="557">
        <v>11</v>
      </c>
      <c r="E174" s="312">
        <v>3.3265</v>
      </c>
      <c r="F174" s="311">
        <v>9.4</v>
      </c>
      <c r="G174" s="556">
        <f t="shared" si="136"/>
        <v>1.20246505335939</v>
      </c>
      <c r="H174" s="522"/>
      <c r="I174" s="436"/>
    </row>
    <row r="175" ht="20.25" spans="1:9">
      <c r="A175" s="293">
        <v>5.22</v>
      </c>
      <c r="B175" s="26" t="s">
        <v>448</v>
      </c>
      <c r="D175" s="557">
        <v>11</v>
      </c>
      <c r="E175" s="312">
        <v>4.4112</v>
      </c>
      <c r="F175" s="311">
        <v>9.2</v>
      </c>
      <c r="G175" s="556">
        <f t="shared" si="136"/>
        <v>1.02013057671382</v>
      </c>
      <c r="H175" s="519">
        <f t="shared" si="141"/>
        <v>1.02013057671382</v>
      </c>
      <c r="I175" s="435">
        <f t="shared" si="142"/>
        <v>0</v>
      </c>
    </row>
    <row r="176" ht="20.25" spans="2:9">
      <c r="B176" s="33"/>
      <c r="D176" s="557">
        <v>11</v>
      </c>
      <c r="E176" s="312">
        <v>4.4112</v>
      </c>
      <c r="F176" s="311">
        <v>9.2</v>
      </c>
      <c r="G176" s="556">
        <f t="shared" si="136"/>
        <v>1.02013057671382</v>
      </c>
      <c r="H176" s="522"/>
      <c r="I176" s="436"/>
    </row>
    <row r="177" ht="20.25" spans="1:9">
      <c r="A177" s="293">
        <v>525</v>
      </c>
      <c r="B177" s="26" t="s">
        <v>447</v>
      </c>
      <c r="D177" s="557">
        <v>11.1</v>
      </c>
      <c r="E177" s="312">
        <v>8.4068</v>
      </c>
      <c r="F177" s="558">
        <v>8</v>
      </c>
      <c r="G177" s="556">
        <f t="shared" si="136"/>
        <v>0.921872769662654</v>
      </c>
      <c r="H177" s="435">
        <f t="shared" si="141"/>
        <v>0.921872769662654</v>
      </c>
      <c r="I177" s="435">
        <f t="shared" si="142"/>
        <v>0</v>
      </c>
    </row>
    <row r="178" ht="20.25" spans="2:9">
      <c r="B178" s="33"/>
      <c r="D178" s="557">
        <v>11.1</v>
      </c>
      <c r="E178" s="312">
        <v>8.4068</v>
      </c>
      <c r="F178" s="559">
        <v>8</v>
      </c>
      <c r="G178" s="556">
        <f t="shared" si="136"/>
        <v>0.921872769662654</v>
      </c>
      <c r="H178" s="436"/>
      <c r="I178" s="436"/>
    </row>
    <row r="179" ht="20.25" spans="2:9">
      <c r="B179" s="26" t="s">
        <v>449</v>
      </c>
      <c r="D179" s="557">
        <v>11</v>
      </c>
      <c r="E179" s="312">
        <v>8.7501</v>
      </c>
      <c r="F179" s="311">
        <v>8.25</v>
      </c>
      <c r="G179" s="556">
        <f t="shared" si="136"/>
        <v>0.785705306225072</v>
      </c>
      <c r="H179" s="435">
        <f t="shared" ref="H179:H183" si="143">(G179+G180)/2</f>
        <v>0.805364203435945</v>
      </c>
      <c r="I179" s="435">
        <f t="shared" ref="I179:I183" si="144">(G179-G180)/H179*100</f>
        <v>-4.88198932284347</v>
      </c>
    </row>
    <row r="180" ht="20.25" spans="2:9">
      <c r="B180" s="33"/>
      <c r="D180" s="557">
        <v>11</v>
      </c>
      <c r="E180" s="312">
        <v>8.3331</v>
      </c>
      <c r="F180" s="311">
        <v>8.25</v>
      </c>
      <c r="G180" s="556">
        <f t="shared" si="136"/>
        <v>0.825023100646818</v>
      </c>
      <c r="H180" s="436"/>
      <c r="I180" s="436"/>
    </row>
    <row r="181" ht="20.25" spans="2:9">
      <c r="B181" s="26" t="s">
        <v>450</v>
      </c>
      <c r="D181" s="557">
        <v>11.1</v>
      </c>
      <c r="E181" s="312">
        <v>5.0665</v>
      </c>
      <c r="F181" s="311">
        <v>3.3</v>
      </c>
      <c r="G181" s="556">
        <f t="shared" si="136"/>
        <v>3.84881081614527</v>
      </c>
      <c r="H181" s="519">
        <f t="shared" si="143"/>
        <v>3.84881081614527</v>
      </c>
      <c r="I181" s="435">
        <f t="shared" si="144"/>
        <v>0</v>
      </c>
    </row>
    <row r="182" ht="20.25" spans="2:9">
      <c r="B182" s="33"/>
      <c r="D182" s="557">
        <v>11.1</v>
      </c>
      <c r="E182" s="312">
        <v>5.0665</v>
      </c>
      <c r="F182" s="311">
        <v>3.3</v>
      </c>
      <c r="G182" s="556">
        <f t="shared" si="136"/>
        <v>3.84881081614527</v>
      </c>
      <c r="H182" s="522"/>
      <c r="I182" s="436"/>
    </row>
    <row r="183" ht="20.25" spans="1:9">
      <c r="A183" s="293">
        <v>6.2</v>
      </c>
      <c r="B183" s="26" t="s">
        <v>451</v>
      </c>
      <c r="D183" s="557">
        <v>11.1</v>
      </c>
      <c r="E183" s="312">
        <v>3.5273</v>
      </c>
      <c r="F183" s="311">
        <v>8.2</v>
      </c>
      <c r="G183" s="556">
        <f t="shared" si="136"/>
        <v>2.0553964788932</v>
      </c>
      <c r="H183" s="519">
        <f t="shared" si="143"/>
        <v>2.06880964669607</v>
      </c>
      <c r="I183" s="435">
        <f t="shared" si="144"/>
        <v>-1.29670391128403</v>
      </c>
    </row>
    <row r="184" ht="20.25" spans="2:9">
      <c r="B184" s="33"/>
      <c r="D184" s="557">
        <v>11.1</v>
      </c>
      <c r="E184" s="312">
        <v>3.0016</v>
      </c>
      <c r="F184" s="311">
        <v>8.6</v>
      </c>
      <c r="G184" s="556">
        <f t="shared" si="136"/>
        <v>2.08222281449893</v>
      </c>
      <c r="H184" s="522"/>
      <c r="I184" s="436"/>
    </row>
    <row r="185" ht="20.25" spans="1:9">
      <c r="A185" s="293">
        <v>610</v>
      </c>
      <c r="B185" s="26" t="s">
        <v>452</v>
      </c>
      <c r="D185" s="557">
        <v>11</v>
      </c>
      <c r="E185" s="312">
        <v>1.5682</v>
      </c>
      <c r="F185" s="311">
        <v>8.35</v>
      </c>
      <c r="G185" s="556">
        <f t="shared" si="136"/>
        <v>4.22458870042087</v>
      </c>
      <c r="H185" s="519">
        <f t="shared" ref="H185:H189" si="145">(G185+G186)/2</f>
        <v>4.19545832061934</v>
      </c>
      <c r="I185" s="435">
        <f t="shared" ref="I185:I189" si="146">(G185-G186)/H185*100</f>
        <v>1.38866257630806</v>
      </c>
    </row>
    <row r="186" ht="20.25" spans="2:9">
      <c r="B186" s="33"/>
      <c r="D186" s="557">
        <v>11</v>
      </c>
      <c r="E186" s="312">
        <v>1.2301</v>
      </c>
      <c r="F186" s="311">
        <v>8.95</v>
      </c>
      <c r="G186" s="556">
        <f t="shared" si="136"/>
        <v>4.16632794081782</v>
      </c>
      <c r="H186" s="522"/>
      <c r="I186" s="436"/>
    </row>
    <row r="187" ht="20.25" spans="2:9">
      <c r="B187" s="26" t="s">
        <v>453</v>
      </c>
      <c r="D187" s="557">
        <v>11</v>
      </c>
      <c r="E187" s="312">
        <v>5.8256</v>
      </c>
      <c r="F187" s="311">
        <v>10.05</v>
      </c>
      <c r="G187" s="556">
        <f t="shared" si="136"/>
        <v>0.407683328755836</v>
      </c>
      <c r="H187" s="519">
        <f t="shared" si="145"/>
        <v>0.407594335801832</v>
      </c>
      <c r="I187" s="435">
        <f t="shared" si="146"/>
        <v>0.0436674144789681</v>
      </c>
    </row>
    <row r="188" ht="20.25" spans="2:9">
      <c r="B188" s="33"/>
      <c r="D188" s="557">
        <v>11</v>
      </c>
      <c r="E188" s="312">
        <v>5.5214</v>
      </c>
      <c r="F188" s="311">
        <v>10.1</v>
      </c>
      <c r="G188" s="556">
        <f t="shared" si="136"/>
        <v>0.407505342847829</v>
      </c>
      <c r="H188" s="522"/>
      <c r="I188" s="436"/>
    </row>
    <row r="189" ht="20.25" spans="1:9">
      <c r="A189" s="293">
        <v>6.18</v>
      </c>
      <c r="B189" s="26" t="s">
        <v>454</v>
      </c>
      <c r="D189" s="557">
        <v>11</v>
      </c>
      <c r="E189" s="312">
        <v>4.5031</v>
      </c>
      <c r="F189" s="311">
        <v>10</v>
      </c>
      <c r="G189" s="556">
        <f t="shared" si="136"/>
        <v>0.555173102973507</v>
      </c>
      <c r="H189" s="519">
        <f t="shared" si="145"/>
        <v>0.545631825498949</v>
      </c>
      <c r="I189" s="435">
        <f t="shared" si="146"/>
        <v>3.49733172761088</v>
      </c>
    </row>
    <row r="190" ht="20.25" spans="2:9">
      <c r="B190" s="33"/>
      <c r="D190" s="557">
        <v>11</v>
      </c>
      <c r="E190" s="312">
        <v>5.3629</v>
      </c>
      <c r="F190" s="311">
        <v>9.85</v>
      </c>
      <c r="G190" s="556">
        <f t="shared" si="136"/>
        <v>0.53609054802439</v>
      </c>
      <c r="H190" s="522"/>
      <c r="I190" s="436"/>
    </row>
    <row r="191" ht="20.25" spans="1:9">
      <c r="A191" s="293">
        <v>6.25</v>
      </c>
      <c r="B191" s="26" t="s">
        <v>455</v>
      </c>
      <c r="D191" s="557">
        <v>10.95</v>
      </c>
      <c r="E191" s="312">
        <v>2.3877</v>
      </c>
      <c r="F191" s="311">
        <v>8.95</v>
      </c>
      <c r="G191" s="556">
        <f t="shared" ref="G191:G242" si="147">(D191-F191)*250*100/E191/10/1000</f>
        <v>2.09406541860368</v>
      </c>
      <c r="H191" s="519">
        <f t="shared" ref="H191" si="148">(G191+G192)/2</f>
        <v>2.09283393896952</v>
      </c>
      <c r="I191" s="435">
        <f t="shared" ref="I191" si="149">(G191-G192)/H191*100</f>
        <v>0.117685365401419</v>
      </c>
    </row>
    <row r="192" ht="20.25" spans="2:9">
      <c r="B192" s="33"/>
      <c r="D192" s="557">
        <v>10.95</v>
      </c>
      <c r="E192" s="312">
        <v>2.5698</v>
      </c>
      <c r="F192" s="311">
        <v>8.8</v>
      </c>
      <c r="G192" s="556">
        <f t="shared" si="147"/>
        <v>2.09160245933536</v>
      </c>
      <c r="H192" s="522"/>
      <c r="I192" s="436"/>
    </row>
    <row r="193" ht="20.25" spans="1:9">
      <c r="A193" s="293">
        <v>7.2</v>
      </c>
      <c r="B193" s="26" t="s">
        <v>456</v>
      </c>
      <c r="D193" s="557">
        <v>11</v>
      </c>
      <c r="E193" s="312">
        <v>4.9842</v>
      </c>
      <c r="F193" s="311">
        <v>10.7</v>
      </c>
      <c r="G193" s="556">
        <f t="shared" si="147"/>
        <v>0.150475502588179</v>
      </c>
      <c r="H193" s="519">
        <f t="shared" ref="H193:H197" si="150">(G193+G194)/2</f>
        <v>0.148742455595165</v>
      </c>
      <c r="I193" s="435">
        <f t="shared" ref="I193:I197" si="151">(G193-G194)/H193*100</f>
        <v>2.3302654055022</v>
      </c>
    </row>
    <row r="194" ht="20.25" spans="2:9">
      <c r="B194" s="33"/>
      <c r="D194" s="557">
        <v>11</v>
      </c>
      <c r="E194" s="312">
        <v>5.952</v>
      </c>
      <c r="F194" s="311">
        <v>10.65</v>
      </c>
      <c r="G194" s="556">
        <f t="shared" si="147"/>
        <v>0.14700940860215</v>
      </c>
      <c r="H194" s="522"/>
      <c r="I194" s="436"/>
    </row>
    <row r="195" ht="20.25" spans="2:9">
      <c r="B195" s="26" t="s">
        <v>457</v>
      </c>
      <c r="D195" s="557">
        <v>11</v>
      </c>
      <c r="E195" s="312">
        <v>10.0235</v>
      </c>
      <c r="F195" s="311">
        <v>9.8</v>
      </c>
      <c r="G195" s="556">
        <f t="shared" si="147"/>
        <v>0.299296652865765</v>
      </c>
      <c r="H195" s="435">
        <f t="shared" si="150"/>
        <v>0.295328897500721</v>
      </c>
      <c r="I195" s="435">
        <f t="shared" si="151"/>
        <v>2.68700787401576</v>
      </c>
    </row>
    <row r="196" ht="20.25" spans="2:9">
      <c r="B196" s="33"/>
      <c r="D196" s="557">
        <v>11</v>
      </c>
      <c r="E196" s="312">
        <v>10.2965</v>
      </c>
      <c r="F196" s="311">
        <v>9.8</v>
      </c>
      <c r="G196" s="556">
        <f t="shared" si="147"/>
        <v>0.291361142135677</v>
      </c>
      <c r="H196" s="436"/>
      <c r="I196" s="436"/>
    </row>
    <row r="197" ht="20.25" spans="2:9">
      <c r="B197" s="26" t="s">
        <v>458</v>
      </c>
      <c r="D197" s="557">
        <v>11</v>
      </c>
      <c r="E197" s="312">
        <v>3.117</v>
      </c>
      <c r="F197" s="311">
        <v>10.55</v>
      </c>
      <c r="G197" s="556">
        <f t="shared" si="147"/>
        <v>0.360923965351299</v>
      </c>
      <c r="H197" s="435">
        <f t="shared" si="150"/>
        <v>0.355925205584128</v>
      </c>
      <c r="I197" s="435">
        <f t="shared" si="151"/>
        <v>2.80888214082354</v>
      </c>
    </row>
    <row r="198" ht="20.25" spans="2:9">
      <c r="B198" s="33"/>
      <c r="D198" s="557">
        <v>11</v>
      </c>
      <c r="E198" s="312">
        <v>3.562</v>
      </c>
      <c r="F198" s="311">
        <v>10.5</v>
      </c>
      <c r="G198" s="556">
        <f t="shared" si="147"/>
        <v>0.350926445816957</v>
      </c>
      <c r="H198" s="436"/>
      <c r="I198" s="436"/>
    </row>
    <row r="199" ht="20.25" spans="1:9">
      <c r="A199" s="293">
        <v>7.4</v>
      </c>
      <c r="B199" s="26" t="s">
        <v>459</v>
      </c>
      <c r="D199" s="557">
        <v>11</v>
      </c>
      <c r="E199" s="312">
        <v>5.078</v>
      </c>
      <c r="F199" s="311">
        <v>9.4</v>
      </c>
      <c r="G199" s="556">
        <f t="shared" si="147"/>
        <v>0.787711697518708</v>
      </c>
      <c r="H199" s="519">
        <f t="shared" ref="H199:H203" si="152">(G199+G200)/2</f>
        <v>0.787711697518708</v>
      </c>
      <c r="I199" s="435">
        <f t="shared" ref="I199:I203" si="153">(G199-G200)/H199*100</f>
        <v>0</v>
      </c>
    </row>
    <row r="200" ht="20.25" spans="2:9">
      <c r="B200" s="33"/>
      <c r="D200" s="557">
        <v>11</v>
      </c>
      <c r="E200" s="312">
        <v>5.078</v>
      </c>
      <c r="F200" s="311">
        <v>9.4</v>
      </c>
      <c r="G200" s="556">
        <f t="shared" si="147"/>
        <v>0.787711697518708</v>
      </c>
      <c r="H200" s="522"/>
      <c r="I200" s="436"/>
    </row>
    <row r="201" ht="20.25" spans="2:9">
      <c r="B201" s="26" t="s">
        <v>460</v>
      </c>
      <c r="D201" s="557">
        <v>11</v>
      </c>
      <c r="E201" s="312">
        <v>5.0215</v>
      </c>
      <c r="F201" s="311">
        <v>10.1</v>
      </c>
      <c r="G201" s="556">
        <f t="shared" si="147"/>
        <v>0.448073284875038</v>
      </c>
      <c r="H201" s="435">
        <f t="shared" si="152"/>
        <v>0.448073284875038</v>
      </c>
      <c r="I201" s="435">
        <f t="shared" si="153"/>
        <v>0</v>
      </c>
    </row>
    <row r="202" ht="20.25" spans="2:9">
      <c r="B202" s="33"/>
      <c r="D202" s="557">
        <v>11</v>
      </c>
      <c r="E202" s="312">
        <v>5.0215</v>
      </c>
      <c r="F202" s="311">
        <v>10.1</v>
      </c>
      <c r="G202" s="556">
        <f t="shared" si="147"/>
        <v>0.448073284875038</v>
      </c>
      <c r="H202" s="436"/>
      <c r="I202" s="436"/>
    </row>
    <row r="203" ht="20.25" spans="2:9">
      <c r="B203" s="26" t="s">
        <v>461</v>
      </c>
      <c r="D203" s="557">
        <v>11</v>
      </c>
      <c r="E203" s="312">
        <v>5.2578</v>
      </c>
      <c r="F203" s="311">
        <v>10</v>
      </c>
      <c r="G203" s="556">
        <f t="shared" si="147"/>
        <v>0.475484042755525</v>
      </c>
      <c r="H203" s="435">
        <f t="shared" si="152"/>
        <v>0.475484042755525</v>
      </c>
      <c r="I203" s="435">
        <f t="shared" si="153"/>
        <v>0</v>
      </c>
    </row>
    <row r="204" ht="20.25" spans="2:9">
      <c r="B204" s="33"/>
      <c r="D204" s="557">
        <v>11</v>
      </c>
      <c r="E204" s="312">
        <v>5.2578</v>
      </c>
      <c r="F204" s="311">
        <v>10</v>
      </c>
      <c r="G204" s="556">
        <f t="shared" si="147"/>
        <v>0.475484042755525</v>
      </c>
      <c r="H204" s="436"/>
      <c r="I204" s="436"/>
    </row>
    <row r="205" ht="20.25" spans="2:10">
      <c r="B205" s="26" t="s">
        <v>462</v>
      </c>
      <c r="D205" s="557">
        <v>11</v>
      </c>
      <c r="E205" s="312">
        <v>5.0726</v>
      </c>
      <c r="F205" s="311">
        <v>9.6</v>
      </c>
      <c r="G205" s="556">
        <f t="shared" si="147"/>
        <v>0.689981469069117</v>
      </c>
      <c r="H205" s="435">
        <f t="shared" ref="H205:H209" si="154">(G205+G206)/2</f>
        <v>0.689981469069117</v>
      </c>
      <c r="I205" s="435">
        <f t="shared" ref="I205:I209" si="155">(G205-G206)/H205*100</f>
        <v>0</v>
      </c>
      <c r="J205" s="293">
        <v>67</v>
      </c>
    </row>
    <row r="206" ht="20.25" spans="2:9">
      <c r="B206" s="33"/>
      <c r="D206" s="557">
        <v>11</v>
      </c>
      <c r="E206" s="312">
        <v>5.0726</v>
      </c>
      <c r="F206" s="311">
        <v>9.6</v>
      </c>
      <c r="G206" s="556">
        <f t="shared" si="147"/>
        <v>0.689981469069117</v>
      </c>
      <c r="H206" s="436"/>
      <c r="I206" s="436"/>
    </row>
    <row r="207" ht="20.25" spans="2:10">
      <c r="B207" s="26" t="s">
        <v>463</v>
      </c>
      <c r="D207" s="557">
        <v>11</v>
      </c>
      <c r="E207" s="312">
        <v>5.3314</v>
      </c>
      <c r="F207" s="311">
        <v>9.7</v>
      </c>
      <c r="G207" s="556">
        <f t="shared" si="147"/>
        <v>0.609595978542222</v>
      </c>
      <c r="H207" s="435">
        <f t="shared" si="154"/>
        <v>0.609595978542222</v>
      </c>
      <c r="I207" s="435">
        <f t="shared" si="155"/>
        <v>0</v>
      </c>
      <c r="J207" s="293">
        <v>67</v>
      </c>
    </row>
    <row r="208" ht="20.25" spans="2:9">
      <c r="B208" s="33"/>
      <c r="D208" s="557">
        <v>11</v>
      </c>
      <c r="E208" s="312">
        <v>5.3314</v>
      </c>
      <c r="F208" s="311">
        <v>9.7</v>
      </c>
      <c r="G208" s="556">
        <f t="shared" si="147"/>
        <v>0.609595978542222</v>
      </c>
      <c r="H208" s="436"/>
      <c r="I208" s="436"/>
    </row>
    <row r="209" ht="20.25" spans="1:9">
      <c r="A209" s="293">
        <v>7.6</v>
      </c>
      <c r="B209" s="420" t="s">
        <v>464</v>
      </c>
      <c r="D209" s="557">
        <v>11</v>
      </c>
      <c r="E209" s="312">
        <v>2.524</v>
      </c>
      <c r="F209" s="293">
        <v>4</v>
      </c>
      <c r="G209" s="556">
        <f t="shared" si="147"/>
        <v>6.93343898573693</v>
      </c>
      <c r="H209" s="435">
        <f t="shared" si="154"/>
        <v>6.93343898573693</v>
      </c>
      <c r="I209" s="435">
        <f t="shared" si="155"/>
        <v>0</v>
      </c>
    </row>
    <row r="210" ht="20.25" spans="2:9">
      <c r="B210" s="384"/>
      <c r="D210" s="557">
        <v>11</v>
      </c>
      <c r="E210" s="312">
        <v>2.524</v>
      </c>
      <c r="F210" s="293">
        <v>4</v>
      </c>
      <c r="G210" s="556">
        <f t="shared" si="147"/>
        <v>6.93343898573693</v>
      </c>
      <c r="H210" s="436"/>
      <c r="I210" s="436"/>
    </row>
    <row r="211" ht="20.25" spans="2:9">
      <c r="B211" s="420" t="s">
        <v>465</v>
      </c>
      <c r="C211" s="417"/>
      <c r="D211" s="557">
        <v>11</v>
      </c>
      <c r="E211" s="312">
        <v>2.5665</v>
      </c>
      <c r="F211" s="293">
        <v>9.8</v>
      </c>
      <c r="G211" s="556">
        <f t="shared" si="147"/>
        <v>1.16890707188778</v>
      </c>
      <c r="H211" s="435">
        <f t="shared" ref="H211:H215" si="156">(G211+G212)/2</f>
        <v>1.16890707188778</v>
      </c>
      <c r="I211" s="435">
        <f t="shared" ref="I211:I215" si="157">(G211-G212)/H211*100</f>
        <v>0</v>
      </c>
    </row>
    <row r="212" ht="20.25" spans="2:9">
      <c r="B212" s="384"/>
      <c r="C212" s="418"/>
      <c r="D212" s="557">
        <v>11</v>
      </c>
      <c r="E212" s="312">
        <v>2.5665</v>
      </c>
      <c r="F212" s="293">
        <v>9.8</v>
      </c>
      <c r="G212" s="556">
        <f t="shared" si="147"/>
        <v>1.16890707188778</v>
      </c>
      <c r="H212" s="436"/>
      <c r="I212" s="436"/>
    </row>
    <row r="213" ht="20.25" spans="1:9">
      <c r="A213" s="293">
        <v>7.8</v>
      </c>
      <c r="B213" s="26" t="s">
        <v>466</v>
      </c>
      <c r="D213" s="557">
        <v>11</v>
      </c>
      <c r="E213" s="312">
        <v>5.2235</v>
      </c>
      <c r="F213" s="311">
        <v>10.8</v>
      </c>
      <c r="G213" s="556">
        <f t="shared" si="147"/>
        <v>0.0957212596917772</v>
      </c>
      <c r="H213" s="435">
        <f t="shared" si="156"/>
        <v>0.096835104349777</v>
      </c>
      <c r="I213" s="435">
        <f t="shared" si="157"/>
        <v>-2.30049766658275</v>
      </c>
    </row>
    <row r="214" ht="20.25" spans="2:9">
      <c r="B214" s="33"/>
      <c r="D214" s="557">
        <v>11</v>
      </c>
      <c r="E214" s="312">
        <v>5.1047</v>
      </c>
      <c r="F214" s="311">
        <v>10.8</v>
      </c>
      <c r="G214" s="556">
        <f t="shared" si="147"/>
        <v>0.0979489490077768</v>
      </c>
      <c r="H214" s="436"/>
      <c r="I214" s="436"/>
    </row>
    <row r="215" ht="20.25" spans="1:9">
      <c r="A215" s="293">
        <v>7.2</v>
      </c>
      <c r="B215" s="26" t="s">
        <v>467</v>
      </c>
      <c r="D215" s="557">
        <v>11</v>
      </c>
      <c r="E215" s="312">
        <v>2.5496</v>
      </c>
      <c r="F215" s="311">
        <v>9.45</v>
      </c>
      <c r="G215" s="556">
        <f t="shared" si="147"/>
        <v>1.51984625039222</v>
      </c>
      <c r="H215" s="435">
        <f t="shared" si="156"/>
        <v>1.51984625039222</v>
      </c>
      <c r="I215" s="435">
        <f t="shared" si="157"/>
        <v>0</v>
      </c>
    </row>
    <row r="216" ht="20.25" spans="2:9">
      <c r="B216" s="33"/>
      <c r="D216" s="557">
        <v>11</v>
      </c>
      <c r="E216" s="312">
        <v>2.5496</v>
      </c>
      <c r="F216" s="311">
        <v>9.45</v>
      </c>
      <c r="G216" s="556">
        <f t="shared" si="147"/>
        <v>1.51984625039222</v>
      </c>
      <c r="H216" s="436"/>
      <c r="I216" s="436"/>
    </row>
    <row r="217" ht="20.25" spans="1:9">
      <c r="A217" s="293">
        <v>7.29</v>
      </c>
      <c r="B217" s="26" t="s">
        <v>468</v>
      </c>
      <c r="D217" s="557">
        <v>11</v>
      </c>
      <c r="E217" s="312">
        <v>4.2426</v>
      </c>
      <c r="F217" s="311">
        <v>9.95</v>
      </c>
      <c r="G217" s="556">
        <f t="shared" si="147"/>
        <v>0.618724367133362</v>
      </c>
      <c r="H217" s="435">
        <f t="shared" ref="H217:H221" si="158">(G217+G218)/2</f>
        <v>0.609278207080097</v>
      </c>
      <c r="I217" s="435">
        <f t="shared" ref="I217:I221" si="159">(G217-G218)/H217*100</f>
        <v>3.10077069670183</v>
      </c>
    </row>
    <row r="218" ht="20.25" spans="2:9">
      <c r="B218" s="33"/>
      <c r="D218" s="557">
        <v>11</v>
      </c>
      <c r="E218" s="312">
        <v>5.0014</v>
      </c>
      <c r="F218" s="311">
        <v>9.8</v>
      </c>
      <c r="G218" s="556">
        <f t="shared" si="147"/>
        <v>0.599832047026832</v>
      </c>
      <c r="H218" s="436"/>
      <c r="I218" s="436"/>
    </row>
    <row r="219" ht="20.25" spans="1:9">
      <c r="A219" s="293">
        <v>8.4</v>
      </c>
      <c r="B219" s="26" t="s">
        <v>469</v>
      </c>
      <c r="D219" s="557">
        <v>11</v>
      </c>
      <c r="E219" s="312">
        <v>5.3619</v>
      </c>
      <c r="F219" s="311">
        <v>10.55</v>
      </c>
      <c r="G219" s="556">
        <f t="shared" si="147"/>
        <v>0.209813685447322</v>
      </c>
      <c r="H219" s="435">
        <f t="shared" si="158"/>
        <v>0.209813685447322</v>
      </c>
      <c r="I219" s="435">
        <f t="shared" si="159"/>
        <v>0</v>
      </c>
    </row>
    <row r="220" ht="20.25" spans="2:9">
      <c r="B220" s="33"/>
      <c r="D220" s="557">
        <v>11</v>
      </c>
      <c r="E220" s="312">
        <v>5.3619</v>
      </c>
      <c r="F220" s="311">
        <v>10.55</v>
      </c>
      <c r="G220" s="556">
        <f t="shared" si="147"/>
        <v>0.209813685447322</v>
      </c>
      <c r="H220" s="436"/>
      <c r="I220" s="436"/>
    </row>
    <row r="221" ht="20.25" spans="1:9">
      <c r="A221" s="293">
        <v>8.14</v>
      </c>
      <c r="B221" s="26" t="s">
        <v>466</v>
      </c>
      <c r="D221" s="557">
        <v>11</v>
      </c>
      <c r="E221" s="312">
        <v>4.1546</v>
      </c>
      <c r="F221" s="311">
        <v>10.45</v>
      </c>
      <c r="G221" s="556">
        <f t="shared" si="147"/>
        <v>0.330958455687672</v>
      </c>
      <c r="H221" s="435">
        <f t="shared" si="158"/>
        <v>0.330958455687672</v>
      </c>
      <c r="I221" s="435">
        <f t="shared" si="159"/>
        <v>0</v>
      </c>
    </row>
    <row r="222" ht="20.25" spans="2:9">
      <c r="B222" s="33"/>
      <c r="D222" s="557">
        <v>11</v>
      </c>
      <c r="E222" s="312">
        <v>4.1546</v>
      </c>
      <c r="F222" s="311">
        <v>10.45</v>
      </c>
      <c r="G222" s="556">
        <f t="shared" si="147"/>
        <v>0.330958455687672</v>
      </c>
      <c r="H222" s="436"/>
      <c r="I222" s="436"/>
    </row>
    <row r="223" ht="20.25" spans="2:9">
      <c r="B223" s="26" t="s">
        <v>467</v>
      </c>
      <c r="D223" s="557">
        <v>11</v>
      </c>
      <c r="E223" s="312">
        <v>4.3864</v>
      </c>
      <c r="F223" s="311">
        <v>10.15</v>
      </c>
      <c r="G223" s="556">
        <f t="shared" si="147"/>
        <v>0.484451942367317</v>
      </c>
      <c r="H223" s="435">
        <f t="shared" ref="H223:H227" si="160">(G223+G224)/2</f>
        <v>0.484451942367317</v>
      </c>
      <c r="I223" s="435">
        <f t="shared" ref="I223:I227" si="161">(G223-G224)/H223*100</f>
        <v>0</v>
      </c>
    </row>
    <row r="224" ht="20.25" spans="2:9">
      <c r="B224" s="33"/>
      <c r="D224" s="557">
        <v>11</v>
      </c>
      <c r="E224" s="312">
        <v>4.3864</v>
      </c>
      <c r="F224" s="311">
        <v>10.15</v>
      </c>
      <c r="G224" s="556">
        <f t="shared" si="147"/>
        <v>0.484451942367317</v>
      </c>
      <c r="H224" s="436"/>
      <c r="I224" s="436"/>
    </row>
    <row r="225" ht="20.25" spans="2:9">
      <c r="B225" s="26" t="s">
        <v>468</v>
      </c>
      <c r="D225" s="557">
        <v>11</v>
      </c>
      <c r="E225" s="312">
        <v>4.8391</v>
      </c>
      <c r="F225" s="311">
        <v>10.3</v>
      </c>
      <c r="G225" s="556">
        <f t="shared" si="147"/>
        <v>0.361637494575437</v>
      </c>
      <c r="H225" s="435">
        <f t="shared" si="160"/>
        <v>0.361637494575437</v>
      </c>
      <c r="I225" s="435">
        <f t="shared" si="161"/>
        <v>0</v>
      </c>
    </row>
    <row r="226" ht="20.25" spans="2:9">
      <c r="B226" s="33"/>
      <c r="D226" s="557">
        <v>11</v>
      </c>
      <c r="E226" s="312">
        <v>4.8391</v>
      </c>
      <c r="F226" s="311">
        <v>10.3</v>
      </c>
      <c r="G226" s="556">
        <f t="shared" si="147"/>
        <v>0.361637494575437</v>
      </c>
      <c r="H226" s="436"/>
      <c r="I226" s="436"/>
    </row>
    <row r="227" ht="20.25" spans="2:9">
      <c r="B227" s="26" t="s">
        <v>469</v>
      </c>
      <c r="D227" s="557">
        <v>11</v>
      </c>
      <c r="E227" s="312">
        <v>4.467</v>
      </c>
      <c r="F227" s="311">
        <v>10.6</v>
      </c>
      <c r="G227" s="556">
        <f t="shared" si="147"/>
        <v>0.223863890754422</v>
      </c>
      <c r="H227" s="435">
        <f t="shared" si="160"/>
        <v>0.223821309174288</v>
      </c>
      <c r="I227" s="435">
        <f t="shared" si="161"/>
        <v>0.0380496211824595</v>
      </c>
    </row>
    <row r="228" ht="20.25" spans="2:9">
      <c r="B228" s="33"/>
      <c r="D228" s="557">
        <v>11</v>
      </c>
      <c r="E228" s="312">
        <v>4.4687</v>
      </c>
      <c r="F228" s="311">
        <v>10.6</v>
      </c>
      <c r="G228" s="556">
        <f t="shared" si="147"/>
        <v>0.223778727594155</v>
      </c>
      <c r="H228" s="436"/>
      <c r="I228" s="436"/>
    </row>
    <row r="229" ht="20.25" spans="1:9">
      <c r="A229" s="293">
        <v>8.21</v>
      </c>
      <c r="B229" s="26" t="s">
        <v>470</v>
      </c>
      <c r="D229" s="557">
        <v>10.95</v>
      </c>
      <c r="E229" s="312">
        <v>3.9467</v>
      </c>
      <c r="F229" s="311">
        <v>9.5</v>
      </c>
      <c r="G229" s="556">
        <f t="shared" si="147"/>
        <v>0.918488864114323</v>
      </c>
      <c r="H229" s="435">
        <f t="shared" ref="H229:H233" si="162">(G229+G230)/2</f>
        <v>0.909958113859519</v>
      </c>
      <c r="I229" s="435">
        <f t="shared" ref="I229:I233" si="163">(G229-G230)/H229*100</f>
        <v>1.87497646866882</v>
      </c>
    </row>
    <row r="230" ht="20.25" spans="2:9">
      <c r="B230" s="33"/>
      <c r="D230" s="557">
        <v>10.95</v>
      </c>
      <c r="E230" s="312">
        <v>4.0214</v>
      </c>
      <c r="F230" s="311">
        <v>9.5</v>
      </c>
      <c r="G230" s="556">
        <f t="shared" si="147"/>
        <v>0.901427363604714</v>
      </c>
      <c r="H230" s="436"/>
      <c r="I230" s="436"/>
    </row>
    <row r="231" ht="20.25" spans="2:9">
      <c r="B231" s="386" t="s">
        <v>471</v>
      </c>
      <c r="D231" s="557">
        <v>10.95</v>
      </c>
      <c r="E231" s="312">
        <v>4.0742</v>
      </c>
      <c r="F231" s="311">
        <v>4.2</v>
      </c>
      <c r="G231" s="556">
        <f t="shared" si="147"/>
        <v>4.14191743164302</v>
      </c>
      <c r="H231" s="435">
        <f t="shared" si="162"/>
        <v>4.14191743164302</v>
      </c>
      <c r="I231" s="435">
        <f t="shared" si="163"/>
        <v>0</v>
      </c>
    </row>
    <row r="232" ht="20.25" spans="2:9">
      <c r="B232" s="393"/>
      <c r="D232" s="557">
        <v>10.95</v>
      </c>
      <c r="E232" s="312">
        <v>4.0742</v>
      </c>
      <c r="F232" s="311">
        <v>4.2</v>
      </c>
      <c r="G232" s="556">
        <f t="shared" si="147"/>
        <v>4.14191743164302</v>
      </c>
      <c r="H232" s="436"/>
      <c r="I232" s="436"/>
    </row>
    <row r="233" ht="20.25" spans="2:9">
      <c r="B233" s="26" t="s">
        <v>472</v>
      </c>
      <c r="D233" s="557">
        <v>10.95</v>
      </c>
      <c r="E233" s="312">
        <v>4.3901</v>
      </c>
      <c r="F233" s="311">
        <v>9.55</v>
      </c>
      <c r="G233" s="556">
        <f t="shared" si="147"/>
        <v>0.797248354251611</v>
      </c>
      <c r="H233" s="435">
        <f t="shared" si="162"/>
        <v>0.800624753788701</v>
      </c>
      <c r="I233" s="435">
        <f t="shared" si="163"/>
        <v>-0.843441205411857</v>
      </c>
    </row>
    <row r="234" ht="20.25" spans="2:9">
      <c r="B234" s="33"/>
      <c r="D234" s="557">
        <v>10.95</v>
      </c>
      <c r="E234" s="312">
        <v>4.5087</v>
      </c>
      <c r="F234" s="311">
        <v>9.5</v>
      </c>
      <c r="G234" s="556">
        <f t="shared" si="147"/>
        <v>0.804001153325792</v>
      </c>
      <c r="H234" s="436"/>
      <c r="I234" s="436"/>
    </row>
    <row r="235" ht="20.25" spans="2:9">
      <c r="B235" s="26" t="s">
        <v>473</v>
      </c>
      <c r="D235" s="557">
        <v>10.95</v>
      </c>
      <c r="E235" s="312">
        <v>4.5195</v>
      </c>
      <c r="F235" s="311">
        <v>9.55</v>
      </c>
      <c r="G235" s="556">
        <f t="shared" si="147"/>
        <v>0.774421949330677</v>
      </c>
      <c r="H235" s="435">
        <f t="shared" ref="H235:H239" si="164">(G235+G236)/2</f>
        <v>0.77200632510616</v>
      </c>
      <c r="I235" s="435">
        <f t="shared" ref="I235:I239" si="165">(G235-G236)/H235*100</f>
        <v>0.625804257286366</v>
      </c>
    </row>
    <row r="236" ht="20.25" spans="2:9">
      <c r="B236" s="33"/>
      <c r="D236" s="557">
        <v>10.95</v>
      </c>
      <c r="E236" s="312">
        <v>4.0606</v>
      </c>
      <c r="F236" s="311">
        <v>9.7</v>
      </c>
      <c r="G236" s="556">
        <f t="shared" si="147"/>
        <v>0.769590700881643</v>
      </c>
      <c r="H236" s="436"/>
      <c r="I236" s="436"/>
    </row>
    <row r="237" ht="20.25" spans="2:9">
      <c r="B237" s="26" t="s">
        <v>474</v>
      </c>
      <c r="D237" s="557">
        <v>10.95</v>
      </c>
      <c r="E237" s="312">
        <v>4.4067</v>
      </c>
      <c r="F237" s="311">
        <v>9.9</v>
      </c>
      <c r="G237" s="556">
        <f t="shared" si="147"/>
        <v>0.595683845054122</v>
      </c>
      <c r="H237" s="435">
        <f t="shared" si="164"/>
        <v>0.589430832151161</v>
      </c>
      <c r="I237" s="435">
        <f t="shared" si="165"/>
        <v>2.12171218805779</v>
      </c>
    </row>
    <row r="238" ht="20.25" spans="2:9">
      <c r="B238" s="33"/>
      <c r="D238" s="557">
        <v>10.95</v>
      </c>
      <c r="E238" s="312">
        <v>4.5012</v>
      </c>
      <c r="F238" s="311">
        <v>9.9</v>
      </c>
      <c r="G238" s="556">
        <f t="shared" si="147"/>
        <v>0.5831778192482</v>
      </c>
      <c r="H238" s="436"/>
      <c r="I238" s="436"/>
    </row>
    <row r="239" ht="20.25" spans="2:9">
      <c r="B239" s="26" t="s">
        <v>475</v>
      </c>
      <c r="D239" s="557">
        <v>10.95</v>
      </c>
      <c r="E239" s="312">
        <v>5.6054</v>
      </c>
      <c r="F239" s="311">
        <v>10.25</v>
      </c>
      <c r="G239" s="556">
        <f t="shared" si="147"/>
        <v>0.312198951011524</v>
      </c>
      <c r="H239" s="435">
        <f t="shared" si="164"/>
        <v>0.306274429326964</v>
      </c>
      <c r="I239" s="435">
        <f t="shared" si="165"/>
        <v>3.86876677728513</v>
      </c>
    </row>
    <row r="240" ht="20.25" spans="2:9">
      <c r="B240" s="33"/>
      <c r="D240" s="557">
        <v>10.95</v>
      </c>
      <c r="E240" s="312">
        <v>6.6589</v>
      </c>
      <c r="F240" s="311">
        <v>10.15</v>
      </c>
      <c r="G240" s="556">
        <f t="shared" si="147"/>
        <v>0.300349907642403</v>
      </c>
      <c r="H240" s="436"/>
      <c r="I240" s="436"/>
    </row>
    <row r="241" ht="20.25" spans="1:9">
      <c r="A241" s="293">
        <v>8.25</v>
      </c>
      <c r="B241" s="26" t="s">
        <v>476</v>
      </c>
      <c r="D241" s="557">
        <v>10.95</v>
      </c>
      <c r="E241" s="312">
        <v>5.9244</v>
      </c>
      <c r="F241" s="311">
        <v>10.05</v>
      </c>
      <c r="G241" s="556">
        <f t="shared" si="147"/>
        <v>0.379785294713388</v>
      </c>
      <c r="H241" s="435">
        <f>(G241+G242)/2</f>
        <v>0.380171842901027</v>
      </c>
      <c r="I241" s="435">
        <f>(G241-G242)/H241*100</f>
        <v>-0.203354453969545</v>
      </c>
    </row>
    <row r="242" ht="20.25" spans="2:9">
      <c r="B242" s="33"/>
      <c r="D242" s="557">
        <v>10.95</v>
      </c>
      <c r="E242" s="312">
        <v>5.5839</v>
      </c>
      <c r="F242" s="311">
        <v>10.1</v>
      </c>
      <c r="G242" s="556">
        <f t="shared" si="147"/>
        <v>0.380558391088665</v>
      </c>
      <c r="H242" s="436"/>
      <c r="I242" s="436"/>
    </row>
  </sheetData>
  <mergeCells count="417">
    <mergeCell ref="B2:B3"/>
    <mergeCell ref="B4:B5"/>
    <mergeCell ref="B7:B8"/>
    <mergeCell ref="B9:B10"/>
    <mergeCell ref="B11:B12"/>
    <mergeCell ref="B15:B16"/>
    <mergeCell ref="B20:B21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9:B100"/>
    <mergeCell ref="B101:B102"/>
    <mergeCell ref="B103:B104"/>
    <mergeCell ref="B106:B107"/>
    <mergeCell ref="B108:B109"/>
    <mergeCell ref="B110:B111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C2:C3"/>
    <mergeCell ref="C4:C5"/>
    <mergeCell ref="C7:C8"/>
    <mergeCell ref="C9:C10"/>
    <mergeCell ref="C11:C12"/>
    <mergeCell ref="C15:C16"/>
    <mergeCell ref="C20:C21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9:C100"/>
    <mergeCell ref="C101:C102"/>
    <mergeCell ref="C103:C104"/>
    <mergeCell ref="C106:C107"/>
    <mergeCell ref="C108:C109"/>
    <mergeCell ref="C110:C111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7:C158"/>
    <mergeCell ref="C159:C160"/>
    <mergeCell ref="C161:C162"/>
    <mergeCell ref="C163:C164"/>
    <mergeCell ref="C165:C166"/>
    <mergeCell ref="C211:C212"/>
    <mergeCell ref="H2:H3"/>
    <mergeCell ref="H4:H5"/>
    <mergeCell ref="H7:H8"/>
    <mergeCell ref="H9:H10"/>
    <mergeCell ref="H11:H12"/>
    <mergeCell ref="H15:H16"/>
    <mergeCell ref="H20:H21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9:H100"/>
    <mergeCell ref="H101:H102"/>
    <mergeCell ref="H103:H104"/>
    <mergeCell ref="H106:H107"/>
    <mergeCell ref="H108:H109"/>
    <mergeCell ref="H110:H111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I2:I3"/>
    <mergeCell ref="I4:I5"/>
    <mergeCell ref="I7:I8"/>
    <mergeCell ref="I9:I10"/>
    <mergeCell ref="I11:I12"/>
    <mergeCell ref="I15:I16"/>
    <mergeCell ref="I20:I21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9:I100"/>
    <mergeCell ref="I101:I102"/>
    <mergeCell ref="I103:I104"/>
    <mergeCell ref="I106:I107"/>
    <mergeCell ref="I108:I109"/>
    <mergeCell ref="I110:I111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308"/>
  <sheetViews>
    <sheetView tabSelected="1" zoomScale="115" zoomScaleNormal="115" workbookViewId="0">
      <pane ySplit="1" topLeftCell="A294" activePane="bottomLeft" state="frozen"/>
      <selection/>
      <selection pane="bottomLeft" activeCell="J299" sqref="J299:J300"/>
    </sheetView>
  </sheetViews>
  <sheetFormatPr defaultColWidth="9.125" defaultRowHeight="20.25"/>
  <cols>
    <col min="1" max="1" width="9.125" style="449"/>
    <col min="2" max="2" width="11.625" style="450" customWidth="1"/>
    <col min="3" max="3" width="17.75" style="451" customWidth="1"/>
    <col min="4" max="4" width="9.125" style="450" customWidth="1"/>
    <col min="5" max="5" width="12.125" style="450" customWidth="1"/>
    <col min="6" max="6" width="9.75" style="451" customWidth="1"/>
    <col min="7" max="7" width="14.125" style="452" customWidth="1"/>
    <col min="8" max="8" width="13.5" style="453" customWidth="1"/>
    <col min="9" max="9" width="10.875" style="454" customWidth="1"/>
    <col min="10" max="10" width="14.375" style="450" customWidth="1"/>
    <col min="11" max="11" width="9" style="455" customWidth="1"/>
    <col min="12" max="12" width="9" style="456" customWidth="1"/>
    <col min="13" max="13" width="9" style="455" customWidth="1"/>
    <col min="14" max="16384" width="9.125" style="449"/>
  </cols>
  <sheetData>
    <row r="1" s="447" customFormat="1" ht="40.5" spans="2:13">
      <c r="B1" s="20" t="s">
        <v>2</v>
      </c>
      <c r="C1" s="21" t="s">
        <v>368</v>
      </c>
      <c r="D1" s="20" t="s">
        <v>140</v>
      </c>
      <c r="E1" s="22" t="s">
        <v>141</v>
      </c>
      <c r="F1" s="21" t="s">
        <v>143</v>
      </c>
      <c r="G1" s="23" t="s">
        <v>144</v>
      </c>
      <c r="H1" s="24" t="s">
        <v>145</v>
      </c>
      <c r="I1" s="25" t="s">
        <v>146</v>
      </c>
      <c r="J1" s="20" t="s">
        <v>147</v>
      </c>
      <c r="K1" s="465"/>
      <c r="L1" s="466"/>
      <c r="M1" s="465"/>
    </row>
    <row r="2" spans="1:10">
      <c r="A2" s="457"/>
      <c r="B2" s="26" t="s">
        <v>477</v>
      </c>
      <c r="C2" s="27" t="s">
        <v>478</v>
      </c>
      <c r="D2" s="28">
        <v>11.4</v>
      </c>
      <c r="E2" s="29">
        <v>3.1847</v>
      </c>
      <c r="F2" s="28">
        <v>9.3</v>
      </c>
      <c r="G2" s="30">
        <f t="shared" ref="G2:G3" si="0">(D2-F2)*250*100*100/E2/10/1000/50</f>
        <v>3.29701384745816</v>
      </c>
      <c r="H2" s="31">
        <f t="shared" ref="H2" si="1">(G2+G3)/2</f>
        <v>3.29149371724476</v>
      </c>
      <c r="I2" s="32">
        <f t="shared" ref="I2" si="2">ROUND((G2-G3)/H2*100,1)</f>
        <v>0.3</v>
      </c>
      <c r="J2" s="467"/>
    </row>
    <row r="3" spans="1:10">
      <c r="A3" s="458"/>
      <c r="B3" s="33"/>
      <c r="C3" s="34"/>
      <c r="D3" s="28">
        <v>11.4</v>
      </c>
      <c r="E3" s="29">
        <v>3.1954</v>
      </c>
      <c r="F3" s="28">
        <v>9.3</v>
      </c>
      <c r="G3" s="30">
        <f t="shared" si="0"/>
        <v>3.28597358703136</v>
      </c>
      <c r="H3" s="35"/>
      <c r="I3" s="36"/>
      <c r="J3" s="468"/>
    </row>
    <row r="4" spans="1:9">
      <c r="A4" s="457"/>
      <c r="B4" s="26" t="s">
        <v>479</v>
      </c>
      <c r="C4" s="27" t="s">
        <v>480</v>
      </c>
      <c r="D4" s="28">
        <v>11.4</v>
      </c>
      <c r="E4" s="29">
        <v>3.3855</v>
      </c>
      <c r="F4" s="28">
        <v>7.4</v>
      </c>
      <c r="G4" s="30">
        <f t="shared" ref="G4:G5" si="3">(D4-F4)*250*100*100/E4/10/1000/50</f>
        <v>5.90754689115345</v>
      </c>
      <c r="H4" s="31">
        <f t="shared" ref="H4" si="4">(G4+G5)/2</f>
        <v>5.9053673062615</v>
      </c>
      <c r="I4" s="32">
        <f t="shared" ref="I4" si="5">ROUND((G4-G5)/H4*100,1)</f>
        <v>0.1</v>
      </c>
    </row>
    <row r="5" spans="1:9">
      <c r="A5" s="458"/>
      <c r="B5" s="33"/>
      <c r="C5" s="34"/>
      <c r="D5" s="28">
        <v>11.4</v>
      </c>
      <c r="E5" s="29">
        <v>3.2186</v>
      </c>
      <c r="F5" s="28">
        <v>7.6</v>
      </c>
      <c r="G5" s="30">
        <f t="shared" si="3"/>
        <v>5.90318772136954</v>
      </c>
      <c r="H5" s="35"/>
      <c r="I5" s="36"/>
    </row>
    <row r="6" customHeight="1" spans="1:9">
      <c r="A6" s="457"/>
      <c r="B6" s="26" t="s">
        <v>481</v>
      </c>
      <c r="C6" s="27" t="s">
        <v>480</v>
      </c>
      <c r="D6" s="28">
        <v>11.4</v>
      </c>
      <c r="E6" s="29">
        <v>2.637</v>
      </c>
      <c r="F6" s="28">
        <v>8.15</v>
      </c>
      <c r="G6" s="30">
        <f t="shared" ref="G6:G19" si="6">(D6-F6)*250*100*100/E6/10/1000/50</f>
        <v>6.16230565036026</v>
      </c>
      <c r="H6" s="31">
        <f t="shared" ref="H6" si="7">(G6+G7)/2</f>
        <v>6.2099487908738</v>
      </c>
      <c r="I6" s="32">
        <f t="shared" ref="I6" si="8">ROUND((G6-G7)/H6*100,1)</f>
        <v>-1.5</v>
      </c>
    </row>
    <row r="7" customHeight="1" spans="1:9">
      <c r="A7" s="458"/>
      <c r="B7" s="33"/>
      <c r="C7" s="34"/>
      <c r="D7" s="28">
        <v>11.4</v>
      </c>
      <c r="E7" s="29">
        <v>2.7167</v>
      </c>
      <c r="F7" s="28">
        <v>8</v>
      </c>
      <c r="G7" s="30">
        <f t="shared" si="6"/>
        <v>6.25759193138735</v>
      </c>
      <c r="H7" s="35"/>
      <c r="I7" s="36"/>
    </row>
    <row r="8" customHeight="1" spans="1:9">
      <c r="A8" s="457"/>
      <c r="B8" s="26" t="s">
        <v>482</v>
      </c>
      <c r="C8" s="27" t="s">
        <v>480</v>
      </c>
      <c r="D8" s="28">
        <v>11.4</v>
      </c>
      <c r="E8" s="29">
        <v>3.4281</v>
      </c>
      <c r="F8" s="28">
        <v>6.1</v>
      </c>
      <c r="G8" s="30">
        <f t="shared" si="6"/>
        <v>7.73022957323299</v>
      </c>
      <c r="H8" s="31">
        <f t="shared" ref="H8" si="9">(G8+G9)/2</f>
        <v>7.85330296121428</v>
      </c>
      <c r="I8" s="32">
        <f t="shared" ref="I8" si="10">ROUND((G8-G9)/H8*100,1)</f>
        <v>-3.1</v>
      </c>
    </row>
    <row r="9" customHeight="1" spans="1:9">
      <c r="A9" s="458"/>
      <c r="B9" s="33"/>
      <c r="C9" s="34"/>
      <c r="D9" s="28">
        <v>11.4</v>
      </c>
      <c r="E9" s="29">
        <v>2.9462</v>
      </c>
      <c r="F9" s="28">
        <v>6.7</v>
      </c>
      <c r="G9" s="30">
        <f t="shared" si="6"/>
        <v>7.97637634919557</v>
      </c>
      <c r="H9" s="35"/>
      <c r="I9" s="36"/>
    </row>
    <row r="10" customHeight="1" spans="1:9">
      <c r="A10" s="457"/>
      <c r="B10" s="26" t="s">
        <v>483</v>
      </c>
      <c r="C10" s="27" t="s">
        <v>480</v>
      </c>
      <c r="D10" s="28">
        <v>11.4</v>
      </c>
      <c r="E10" s="29">
        <v>2.6575</v>
      </c>
      <c r="F10" s="28">
        <v>5.4</v>
      </c>
      <c r="G10" s="30">
        <f t="shared" si="6"/>
        <v>11.2888052681091</v>
      </c>
      <c r="H10" s="31">
        <f t="shared" ref="H10" si="11">(G10+G11)/2</f>
        <v>11.455304636004</v>
      </c>
      <c r="I10" s="32">
        <f t="shared" ref="I10" si="12">ROUND((G10-G11)/H10*100,1)</f>
        <v>-2.9</v>
      </c>
    </row>
    <row r="11" customHeight="1" spans="1:9">
      <c r="A11" s="458"/>
      <c r="B11" s="33"/>
      <c r="C11" s="34"/>
      <c r="D11" s="28">
        <v>11.4</v>
      </c>
      <c r="E11" s="29">
        <v>2.6674</v>
      </c>
      <c r="F11" s="28">
        <v>5.2</v>
      </c>
      <c r="G11" s="30">
        <f t="shared" si="6"/>
        <v>11.6218040038989</v>
      </c>
      <c r="H11" s="35"/>
      <c r="I11" s="36"/>
    </row>
    <row r="12" customHeight="1" spans="1:9">
      <c r="A12" s="457"/>
      <c r="B12" s="26" t="s">
        <v>484</v>
      </c>
      <c r="C12" s="27" t="s">
        <v>480</v>
      </c>
      <c r="D12" s="28">
        <v>11.4</v>
      </c>
      <c r="E12" s="29">
        <v>2.6194</v>
      </c>
      <c r="F12" s="28">
        <v>6.2</v>
      </c>
      <c r="G12" s="30">
        <f t="shared" si="6"/>
        <v>9.92593723753531</v>
      </c>
      <c r="H12" s="31">
        <f t="shared" ref="H12" si="13">(G12+G13)/2</f>
        <v>10.1754933096741</v>
      </c>
      <c r="I12" s="32">
        <f t="shared" ref="I12" si="14">ROUND((G12-G13)/H12*100,1)</f>
        <v>-4.9</v>
      </c>
    </row>
    <row r="13" customHeight="1" spans="1:9">
      <c r="A13" s="458"/>
      <c r="B13" s="33"/>
      <c r="C13" s="34"/>
      <c r="D13" s="28">
        <v>11.4</v>
      </c>
      <c r="E13" s="29">
        <v>2.7338</v>
      </c>
      <c r="F13" s="28">
        <v>5.7</v>
      </c>
      <c r="G13" s="30">
        <f t="shared" si="6"/>
        <v>10.4250493818129</v>
      </c>
      <c r="H13" s="35"/>
      <c r="I13" s="36"/>
    </row>
    <row r="14" customHeight="1" spans="1:9">
      <c r="A14" s="457"/>
      <c r="B14" s="26" t="s">
        <v>485</v>
      </c>
      <c r="C14" s="27" t="s">
        <v>480</v>
      </c>
      <c r="D14" s="28">
        <v>11.4</v>
      </c>
      <c r="E14" s="29">
        <v>2.7487</v>
      </c>
      <c r="F14" s="28">
        <v>6.5</v>
      </c>
      <c r="G14" s="30">
        <f t="shared" si="6"/>
        <v>8.91330447120457</v>
      </c>
      <c r="H14" s="31">
        <f t="shared" ref="H14" si="15">(G14+G15)/2</f>
        <v>8.686618395873</v>
      </c>
      <c r="I14" s="32">
        <f t="shared" ref="I14" si="16">ROUND((G14-G15)/H14*100,1)</f>
        <v>5.2</v>
      </c>
    </row>
    <row r="15" customHeight="1" spans="1:9">
      <c r="A15" s="458"/>
      <c r="B15" s="33"/>
      <c r="C15" s="34"/>
      <c r="D15" s="28">
        <v>11.4</v>
      </c>
      <c r="E15" s="29">
        <v>2.7778</v>
      </c>
      <c r="F15" s="28">
        <v>6.7</v>
      </c>
      <c r="G15" s="30">
        <f t="shared" si="6"/>
        <v>8.45993232054144</v>
      </c>
      <c r="H15" s="35"/>
      <c r="I15" s="36"/>
    </row>
    <row r="16" customHeight="1" spans="1:9">
      <c r="A16" s="457"/>
      <c r="B16" s="412" t="s">
        <v>486</v>
      </c>
      <c r="C16" s="459" t="s">
        <v>480</v>
      </c>
      <c r="D16" s="413">
        <v>11.4</v>
      </c>
      <c r="E16" s="414">
        <v>2.7207</v>
      </c>
      <c r="F16" s="413">
        <v>4.9</v>
      </c>
      <c r="G16" s="460">
        <f t="shared" si="6"/>
        <v>11.9454552137318</v>
      </c>
      <c r="H16" s="461">
        <f t="shared" ref="H16" si="17">(G16+G17)/2</f>
        <v>11.7321810545939</v>
      </c>
      <c r="I16" s="469">
        <f t="shared" ref="I16" si="18">ROUND((G16-G17)/H16*100,1)</f>
        <v>3.6</v>
      </c>
    </row>
    <row r="17" customHeight="1" spans="1:9">
      <c r="A17" s="458"/>
      <c r="B17" s="415"/>
      <c r="C17" s="462"/>
      <c r="D17" s="413">
        <v>11.4</v>
      </c>
      <c r="E17" s="414">
        <v>3.147</v>
      </c>
      <c r="F17" s="413">
        <v>4.15</v>
      </c>
      <c r="G17" s="460">
        <f t="shared" si="6"/>
        <v>11.518906895456</v>
      </c>
      <c r="H17" s="463"/>
      <c r="I17" s="470"/>
    </row>
    <row r="18" customHeight="1" spans="1:9">
      <c r="A18" s="457"/>
      <c r="B18" s="26" t="s">
        <v>487</v>
      </c>
      <c r="C18" s="27" t="s">
        <v>480</v>
      </c>
      <c r="D18" s="28">
        <v>11.4</v>
      </c>
      <c r="E18" s="29">
        <v>2.6776</v>
      </c>
      <c r="F18" s="28">
        <v>6.7</v>
      </c>
      <c r="G18" s="30">
        <f t="shared" si="6"/>
        <v>8.77651628323872</v>
      </c>
      <c r="H18" s="31">
        <f t="shared" ref="H18" si="19">(G18+G19)/2</f>
        <v>8.92666440462001</v>
      </c>
      <c r="I18" s="32">
        <f t="shared" ref="I18" si="20">ROUND((G18-G19)/H18*100,1)</f>
        <v>-3.4</v>
      </c>
    </row>
    <row r="19" customHeight="1" spans="1:9">
      <c r="A19" s="458"/>
      <c r="B19" s="33"/>
      <c r="C19" s="34"/>
      <c r="D19" s="28">
        <v>11.4</v>
      </c>
      <c r="E19" s="29">
        <v>2.6441</v>
      </c>
      <c r="F19" s="28">
        <v>6.6</v>
      </c>
      <c r="G19" s="30">
        <f t="shared" si="6"/>
        <v>9.07681252600129</v>
      </c>
      <c r="H19" s="35"/>
      <c r="I19" s="36"/>
    </row>
    <row r="20" customHeight="1" spans="1:9">
      <c r="A20" s="457"/>
      <c r="B20" s="26" t="s">
        <v>487</v>
      </c>
      <c r="C20" s="27" t="s">
        <v>480</v>
      </c>
      <c r="D20" s="28">
        <v>11.4</v>
      </c>
      <c r="E20" s="29">
        <v>2.6776</v>
      </c>
      <c r="F20" s="28">
        <v>5.6</v>
      </c>
      <c r="G20" s="30">
        <f t="shared" ref="G20:G21" si="21">(D20-F20)*250*100*100/E20/10/1000/50</f>
        <v>10.8305945622946</v>
      </c>
      <c r="H20" s="31">
        <f t="shared" ref="H20" si="22">(G20+G21)/2</f>
        <v>9.95370354414794</v>
      </c>
      <c r="I20" s="32">
        <f t="shared" ref="I20" si="23">ROUND((G20-G21)/H20*100,1)</f>
        <v>17.6</v>
      </c>
    </row>
    <row r="21" customHeight="1" spans="1:9">
      <c r="A21" s="458"/>
      <c r="B21" s="33"/>
      <c r="C21" s="34"/>
      <c r="D21" s="28">
        <v>11.4</v>
      </c>
      <c r="E21" s="29">
        <v>2.6441</v>
      </c>
      <c r="F21" s="28">
        <v>6.6</v>
      </c>
      <c r="G21" s="30">
        <f t="shared" si="21"/>
        <v>9.07681252600129</v>
      </c>
      <c r="H21" s="35"/>
      <c r="I21" s="36"/>
    </row>
    <row r="22" spans="1:9">
      <c r="A22" s="457"/>
      <c r="B22" s="26"/>
      <c r="C22" s="27"/>
      <c r="D22" s="28"/>
      <c r="E22" s="29"/>
      <c r="F22" s="28"/>
      <c r="G22" s="30"/>
      <c r="H22" s="31"/>
      <c r="I22" s="32"/>
    </row>
    <row r="23" spans="1:9">
      <c r="A23" s="458"/>
      <c r="B23" s="33"/>
      <c r="C23" s="34"/>
      <c r="D23" s="28"/>
      <c r="E23" s="29"/>
      <c r="F23" s="28"/>
      <c r="G23" s="30"/>
      <c r="H23" s="35"/>
      <c r="I23" s="36"/>
    </row>
    <row r="24" customHeight="1" spans="1:9">
      <c r="A24" s="457"/>
      <c r="B24" s="26" t="s">
        <v>481</v>
      </c>
      <c r="C24" s="27" t="s">
        <v>480</v>
      </c>
      <c r="D24" s="28">
        <v>11.4</v>
      </c>
      <c r="E24" s="29">
        <v>4.933</v>
      </c>
      <c r="F24" s="28">
        <v>5.6</v>
      </c>
      <c r="G24" s="30">
        <f t="shared" ref="G24:G25" si="24">(D24-F24)*250*100*100/E24/10/1000/50</f>
        <v>5.87877559294547</v>
      </c>
      <c r="H24" s="31">
        <f t="shared" ref="H24" si="25">(G24+G25)/2</f>
        <v>5.87877559294547</v>
      </c>
      <c r="I24" s="32">
        <f t="shared" ref="I24" si="26">ROUND((G24-G25)/H24*100,1)</f>
        <v>0</v>
      </c>
    </row>
    <row r="25" customHeight="1" spans="1:9">
      <c r="A25" s="458"/>
      <c r="B25" s="33"/>
      <c r="C25" s="34"/>
      <c r="D25" s="28">
        <v>11.4</v>
      </c>
      <c r="E25" s="29">
        <v>4.933</v>
      </c>
      <c r="F25" s="28">
        <v>5.6</v>
      </c>
      <c r="G25" s="30">
        <f t="shared" si="24"/>
        <v>5.87877559294547</v>
      </c>
      <c r="H25" s="35"/>
      <c r="I25" s="36"/>
    </row>
    <row r="26" customHeight="1" spans="1:9">
      <c r="A26" s="457"/>
      <c r="B26" s="26" t="s">
        <v>485</v>
      </c>
      <c r="C26" s="27" t="s">
        <v>480</v>
      </c>
      <c r="D26" s="28">
        <v>11.4</v>
      </c>
      <c r="E26" s="29">
        <v>4.6441</v>
      </c>
      <c r="F26" s="28">
        <v>3.8</v>
      </c>
      <c r="G26" s="30">
        <f t="shared" ref="G26:G27" si="27">(D26-F26)*250*100*100/E26/10/1000/50</f>
        <v>8.1824250123813</v>
      </c>
      <c r="H26" s="31">
        <f t="shared" ref="H26" si="28">(G26+G27)/2</f>
        <v>8.1820726633658</v>
      </c>
      <c r="I26" s="32">
        <f t="shared" ref="I26" si="29">ROUND((G26-G27)/H26*100,1)</f>
        <v>0</v>
      </c>
    </row>
    <row r="27" customHeight="1" spans="1:9">
      <c r="A27" s="458"/>
      <c r="B27" s="33"/>
      <c r="C27" s="34"/>
      <c r="D27" s="28">
        <v>11.4</v>
      </c>
      <c r="E27" s="29">
        <v>4.6445</v>
      </c>
      <c r="F27" s="28">
        <v>3.8</v>
      </c>
      <c r="G27" s="30">
        <f t="shared" si="27"/>
        <v>8.18172031435031</v>
      </c>
      <c r="H27" s="35"/>
      <c r="I27" s="36"/>
    </row>
    <row r="28" customHeight="1" spans="1:9">
      <c r="A28" s="457"/>
      <c r="B28" s="26" t="s">
        <v>488</v>
      </c>
      <c r="C28" s="27" t="s">
        <v>489</v>
      </c>
      <c r="D28" s="28">
        <v>11.4</v>
      </c>
      <c r="E28" s="29">
        <v>2.8</v>
      </c>
      <c r="F28" s="28">
        <v>10.4</v>
      </c>
      <c r="G28" s="30">
        <f t="shared" ref="G28:G29" si="30">(D28-F28)*250*100*100/E28/10/1000/50</f>
        <v>1.78571428571429</v>
      </c>
      <c r="H28" s="31">
        <f t="shared" ref="H28" si="31">(G28+G29)/2</f>
        <v>1.81563877581152</v>
      </c>
      <c r="I28" s="32">
        <f t="shared" ref="I28" si="32">ROUND((G28-G29)/H28*100,1)</f>
        <v>-3.3</v>
      </c>
    </row>
    <row r="29" customHeight="1" spans="1:9">
      <c r="A29" s="458"/>
      <c r="B29" s="33"/>
      <c r="C29" s="34"/>
      <c r="D29" s="28">
        <v>11.4</v>
      </c>
      <c r="E29" s="29">
        <v>2.7092</v>
      </c>
      <c r="F29" s="28">
        <v>10.4</v>
      </c>
      <c r="G29" s="30">
        <f t="shared" si="30"/>
        <v>1.84556326590876</v>
      </c>
      <c r="H29" s="35"/>
      <c r="I29" s="36"/>
    </row>
    <row r="30" customHeight="1" spans="1:9">
      <c r="A30" s="457"/>
      <c r="B30" s="26" t="s">
        <v>490</v>
      </c>
      <c r="C30" s="27" t="s">
        <v>491</v>
      </c>
      <c r="D30" s="28">
        <v>11.55</v>
      </c>
      <c r="E30" s="29">
        <v>3.0843</v>
      </c>
      <c r="F30" s="28">
        <v>8.2</v>
      </c>
      <c r="G30" s="30">
        <f t="shared" ref="G30:G35" si="33">(D30-F30)*250*100*100/E30/10/1000/50</f>
        <v>5.43072982524398</v>
      </c>
      <c r="H30" s="31">
        <f t="shared" ref="H30" si="34">(G30+G31)/2</f>
        <v>5.36045458549811</v>
      </c>
      <c r="I30" s="32">
        <f t="shared" ref="I30" si="35">ROUND((G30-G31)/H30*100,1)</f>
        <v>2.6</v>
      </c>
    </row>
    <row r="31" customHeight="1" spans="1:9">
      <c r="A31" s="458"/>
      <c r="B31" s="33"/>
      <c r="C31" s="34"/>
      <c r="D31" s="28">
        <v>11.55</v>
      </c>
      <c r="E31" s="29">
        <v>2.8827</v>
      </c>
      <c r="F31" s="28">
        <v>8.5</v>
      </c>
      <c r="G31" s="30">
        <f t="shared" si="33"/>
        <v>5.29017934575225</v>
      </c>
      <c r="H31" s="35"/>
      <c r="I31" s="36"/>
    </row>
    <row r="32" spans="1:9">
      <c r="A32" s="457"/>
      <c r="B32" s="26" t="s">
        <v>492</v>
      </c>
      <c r="C32" s="27" t="s">
        <v>493</v>
      </c>
      <c r="D32" s="28">
        <v>11.55</v>
      </c>
      <c r="E32" s="29">
        <v>3.1431</v>
      </c>
      <c r="F32" s="28">
        <v>9.5</v>
      </c>
      <c r="G32" s="30">
        <f t="shared" si="33"/>
        <v>3.26111164137317</v>
      </c>
      <c r="H32" s="31">
        <f t="shared" ref="H32" si="36">(G32+G33)/2</f>
        <v>3.39395767477768</v>
      </c>
      <c r="I32" s="32">
        <f t="shared" ref="I32" si="37">ROUND((G32-G33)/H32*100,1)</f>
        <v>-7.8</v>
      </c>
    </row>
    <row r="33" spans="1:9">
      <c r="A33" s="458"/>
      <c r="B33" s="33"/>
      <c r="C33" s="34"/>
      <c r="D33" s="28">
        <v>11.55</v>
      </c>
      <c r="E33" s="29">
        <v>3.4734</v>
      </c>
      <c r="F33" s="28">
        <v>9.1</v>
      </c>
      <c r="G33" s="30">
        <f t="shared" si="33"/>
        <v>3.52680370818219</v>
      </c>
      <c r="H33" s="35"/>
      <c r="I33" s="36"/>
    </row>
    <row r="34" spans="1:9">
      <c r="A34" s="457"/>
      <c r="B34" s="26" t="s">
        <v>494</v>
      </c>
      <c r="C34" s="27" t="s">
        <v>495</v>
      </c>
      <c r="D34" s="28">
        <v>11.5</v>
      </c>
      <c r="E34" s="29">
        <v>2.9219</v>
      </c>
      <c r="F34" s="464">
        <v>9.7</v>
      </c>
      <c r="G34" s="30">
        <f t="shared" si="33"/>
        <v>3.08018754919744</v>
      </c>
      <c r="H34" s="31">
        <f t="shared" ref="H34:H38" si="38">(G34+G35)/2</f>
        <v>3.10604808557882</v>
      </c>
      <c r="I34" s="32">
        <f t="shared" ref="I34:I38" si="39">ROUND((G34-G35)/H34*100,1)</f>
        <v>-1.7</v>
      </c>
    </row>
    <row r="35" spans="1:9">
      <c r="A35" s="458"/>
      <c r="B35" s="33"/>
      <c r="C35" s="34"/>
      <c r="D35" s="28">
        <v>11.5</v>
      </c>
      <c r="E35" s="29">
        <v>2.714</v>
      </c>
      <c r="F35" s="28">
        <v>9.8</v>
      </c>
      <c r="G35" s="30">
        <f t="shared" si="33"/>
        <v>3.1319086219602</v>
      </c>
      <c r="H35" s="35"/>
      <c r="I35" s="36"/>
    </row>
    <row r="36" ht="33.75" customHeight="1" spans="1:9">
      <c r="A36" s="457"/>
      <c r="B36" s="26" t="s">
        <v>496</v>
      </c>
      <c r="C36" s="27" t="s">
        <v>497</v>
      </c>
      <c r="D36" s="28">
        <v>11.5</v>
      </c>
      <c r="E36" s="29">
        <v>3.1659</v>
      </c>
      <c r="F36" s="464">
        <v>8.6</v>
      </c>
      <c r="G36" s="30">
        <f t="shared" ref="G36:G39" si="40">(D36-F36)*250*100*100/E36/10/1000/50</f>
        <v>4.58005622413848</v>
      </c>
      <c r="H36" s="31">
        <f t="shared" si="38"/>
        <v>4.68387345315093</v>
      </c>
      <c r="I36" s="32">
        <f t="shared" si="39"/>
        <v>-4.4</v>
      </c>
    </row>
    <row r="37" spans="1:9">
      <c r="A37" s="458"/>
      <c r="B37" s="33"/>
      <c r="C37" s="34"/>
      <c r="D37" s="28">
        <v>11.5</v>
      </c>
      <c r="E37" s="29">
        <v>3.0286</v>
      </c>
      <c r="F37" s="28">
        <v>8.6</v>
      </c>
      <c r="G37" s="30">
        <f t="shared" si="40"/>
        <v>4.78769068216338</v>
      </c>
      <c r="H37" s="35"/>
      <c r="I37" s="36"/>
    </row>
    <row r="38" spans="1:9">
      <c r="A38" s="457"/>
      <c r="B38" s="26" t="s">
        <v>498</v>
      </c>
      <c r="C38" s="27" t="s">
        <v>499</v>
      </c>
      <c r="D38" s="28">
        <v>11.6</v>
      </c>
      <c r="E38" s="29">
        <v>2.9974</v>
      </c>
      <c r="F38" s="464">
        <v>11.3</v>
      </c>
      <c r="G38" s="30">
        <f t="shared" si="40"/>
        <v>0.500433709214651</v>
      </c>
      <c r="H38" s="31">
        <f t="shared" si="38"/>
        <v>0.506592051161642</v>
      </c>
      <c r="I38" s="32">
        <f t="shared" si="39"/>
        <v>-2.4</v>
      </c>
    </row>
    <row r="39" spans="1:9">
      <c r="A39" s="458"/>
      <c r="B39" s="33"/>
      <c r="C39" s="34"/>
      <c r="D39" s="28">
        <v>11.6</v>
      </c>
      <c r="E39" s="29">
        <v>2.9254</v>
      </c>
      <c r="F39" s="28">
        <v>11.3</v>
      </c>
      <c r="G39" s="30">
        <f t="shared" si="40"/>
        <v>0.512750393108633</v>
      </c>
      <c r="H39" s="35"/>
      <c r="I39" s="36"/>
    </row>
    <row r="40" customHeight="1" spans="1:9">
      <c r="A40" s="457"/>
      <c r="B40" s="26" t="s">
        <v>498</v>
      </c>
      <c r="C40" s="27" t="s">
        <v>499</v>
      </c>
      <c r="D40" s="28">
        <v>11.45</v>
      </c>
      <c r="E40" s="29">
        <v>5.0419</v>
      </c>
      <c r="F40" s="43">
        <v>11.25</v>
      </c>
      <c r="G40" s="30">
        <f t="shared" ref="G40:G43" si="41">(D40-F40)*250*100*100/E40/10/1000/50</f>
        <v>0.198337928162002</v>
      </c>
      <c r="H40" s="31">
        <f t="shared" ref="H40" si="42">(G40+G41)/2</f>
        <v>0.198919587522397</v>
      </c>
      <c r="I40" s="32">
        <f t="shared" ref="I40" si="43">ROUND((G40-G41)/H40*100,1)</f>
        <v>-0.6</v>
      </c>
    </row>
    <row r="41" customHeight="1" spans="1:9">
      <c r="A41" s="458"/>
      <c r="B41" s="33"/>
      <c r="C41" s="34"/>
      <c r="D41" s="28">
        <v>11.45</v>
      </c>
      <c r="E41" s="29">
        <v>5.0125</v>
      </c>
      <c r="F41" s="28">
        <v>11.25</v>
      </c>
      <c r="G41" s="30">
        <f t="shared" si="41"/>
        <v>0.199501246882792</v>
      </c>
      <c r="H41" s="35"/>
      <c r="I41" s="36"/>
    </row>
    <row r="42" spans="1:9">
      <c r="A42" s="457"/>
      <c r="B42" s="26" t="s">
        <v>498</v>
      </c>
      <c r="C42" s="27" t="s">
        <v>499</v>
      </c>
      <c r="D42" s="28">
        <v>11.4</v>
      </c>
      <c r="E42" s="29">
        <v>2.7265</v>
      </c>
      <c r="F42" s="43">
        <v>8.6</v>
      </c>
      <c r="G42" s="30">
        <f t="shared" si="41"/>
        <v>5.13478818998717</v>
      </c>
      <c r="H42" s="31">
        <f t="shared" ref="H42:H47" si="44">(G42+G43)/2</f>
        <v>5.1788471821042</v>
      </c>
      <c r="I42" s="32">
        <f t="shared" ref="I42:I47" si="45">ROUND((G42-G43)/H42*100,1)</f>
        <v>-1.7</v>
      </c>
    </row>
    <row r="43" spans="1:9">
      <c r="A43" s="458"/>
      <c r="B43" s="33"/>
      <c r="C43" s="34"/>
      <c r="D43" s="28">
        <v>11.4</v>
      </c>
      <c r="E43" s="29">
        <v>2.6805</v>
      </c>
      <c r="F43" s="28">
        <v>8.6</v>
      </c>
      <c r="G43" s="30">
        <f t="shared" si="41"/>
        <v>5.22290617422123</v>
      </c>
      <c r="H43" s="35"/>
      <c r="I43" s="36"/>
    </row>
    <row r="45" spans="1:9">
      <c r="A45" s="457"/>
      <c r="B45" s="26" t="s">
        <v>500</v>
      </c>
      <c r="C45" s="27" t="s">
        <v>501</v>
      </c>
      <c r="D45" s="28">
        <v>11.4</v>
      </c>
      <c r="E45" s="29">
        <v>2.7635</v>
      </c>
      <c r="F45" s="43">
        <v>9</v>
      </c>
      <c r="G45" s="30">
        <f t="shared" ref="G45:G48" si="46">(D45-F45)*250*100*100/E45/10/1000/50</f>
        <v>4.34231952234485</v>
      </c>
      <c r="H45" s="31">
        <f t="shared" si="44"/>
        <v>4.40954812155295</v>
      </c>
      <c r="I45" s="32">
        <f t="shared" si="45"/>
        <v>-3</v>
      </c>
    </row>
    <row r="46" spans="1:9">
      <c r="A46" s="458"/>
      <c r="B46" s="33"/>
      <c r="C46" s="34"/>
      <c r="D46" s="28">
        <v>11.4</v>
      </c>
      <c r="E46" s="29">
        <v>2.6805</v>
      </c>
      <c r="F46" s="28">
        <v>9</v>
      </c>
      <c r="G46" s="30">
        <f t="shared" si="46"/>
        <v>4.47677672076105</v>
      </c>
      <c r="H46" s="35"/>
      <c r="I46" s="36"/>
    </row>
    <row r="47" spans="1:9">
      <c r="A47" s="457"/>
      <c r="B47" s="26" t="s">
        <v>502</v>
      </c>
      <c r="C47" s="27" t="s">
        <v>501</v>
      </c>
      <c r="D47" s="28">
        <v>11.4</v>
      </c>
      <c r="E47" s="29">
        <v>3.2779</v>
      </c>
      <c r="F47" s="43">
        <v>8.6</v>
      </c>
      <c r="G47" s="30">
        <f t="shared" si="46"/>
        <v>4.27102718203728</v>
      </c>
      <c r="H47" s="31">
        <f t="shared" si="44"/>
        <v>4.36417416601307</v>
      </c>
      <c r="I47" s="32">
        <f t="shared" si="45"/>
        <v>-4.3</v>
      </c>
    </row>
    <row r="48" spans="1:9">
      <c r="A48" s="458"/>
      <c r="B48" s="33"/>
      <c r="C48" s="34"/>
      <c r="D48" s="28">
        <v>11.4</v>
      </c>
      <c r="E48" s="29">
        <v>3.1409</v>
      </c>
      <c r="F48" s="28">
        <v>8.6</v>
      </c>
      <c r="G48" s="30">
        <f t="shared" si="46"/>
        <v>4.45732114998886</v>
      </c>
      <c r="H48" s="35"/>
      <c r="I48" s="36"/>
    </row>
    <row r="49" spans="1:10">
      <c r="A49" s="457"/>
      <c r="B49" s="26" t="s">
        <v>500</v>
      </c>
      <c r="C49" s="27" t="s">
        <v>503</v>
      </c>
      <c r="D49" s="28">
        <v>11.4</v>
      </c>
      <c r="E49" s="29">
        <v>2.7495</v>
      </c>
      <c r="F49" s="43">
        <v>5.1</v>
      </c>
      <c r="G49" s="30">
        <f t="shared" ref="G49:G50" si="47">(D49-F49)*250*100*100/E49/10/1000/50</f>
        <v>11.4566284779051</v>
      </c>
      <c r="H49" s="31">
        <f t="shared" ref="H49" si="48">(G49+G50)/2</f>
        <v>11.4524647023361</v>
      </c>
      <c r="I49" s="32">
        <f t="shared" ref="I49" si="49">ROUND((G49-G50)/H49*100,1)</f>
        <v>0.1</v>
      </c>
      <c r="J49" s="471">
        <f>G49-G50</f>
        <v>0.00832755113785844</v>
      </c>
    </row>
    <row r="50" spans="1:10">
      <c r="A50" s="458"/>
      <c r="B50" s="33"/>
      <c r="C50" s="34"/>
      <c r="D50" s="28">
        <v>11.4</v>
      </c>
      <c r="E50" s="29">
        <v>2.7515</v>
      </c>
      <c r="F50" s="28">
        <v>5.1</v>
      </c>
      <c r="G50" s="30">
        <f t="shared" si="47"/>
        <v>11.4483009267672</v>
      </c>
      <c r="H50" s="35"/>
      <c r="I50" s="36"/>
      <c r="J50" s="472"/>
    </row>
    <row r="51" spans="1:10">
      <c r="A51" s="457"/>
      <c r="B51" s="26" t="s">
        <v>504</v>
      </c>
      <c r="C51" s="27" t="s">
        <v>505</v>
      </c>
      <c r="D51" s="28">
        <v>11.4</v>
      </c>
      <c r="E51" s="29">
        <v>3.07887</v>
      </c>
      <c r="F51" s="43">
        <v>5.8</v>
      </c>
      <c r="G51" s="30">
        <f t="shared" ref="G51:G52" si="50">(D51-F51)*250*100*100/E51/10/1000/50</f>
        <v>9.09424561608642</v>
      </c>
      <c r="H51" s="31">
        <f t="shared" ref="H51" si="51">(G51+G52)/2</f>
        <v>9.19716414174396</v>
      </c>
      <c r="I51" s="32">
        <f t="shared" ref="I51" si="52">ROUND((G51-G52)/H51*100,1)</f>
        <v>-2.2</v>
      </c>
      <c r="J51" s="471">
        <f t="shared" ref="J51" si="53">G51-G52</f>
        <v>-0.205837051315065</v>
      </c>
    </row>
    <row r="52" spans="1:10">
      <c r="A52" s="458"/>
      <c r="B52" s="33"/>
      <c r="C52" s="34"/>
      <c r="D52" s="28">
        <v>11.4</v>
      </c>
      <c r="E52" s="29">
        <v>2.9032</v>
      </c>
      <c r="F52" s="28">
        <v>6</v>
      </c>
      <c r="G52" s="30">
        <f t="shared" si="50"/>
        <v>9.30008266740149</v>
      </c>
      <c r="H52" s="35"/>
      <c r="I52" s="36"/>
      <c r="J52" s="472"/>
    </row>
    <row r="53" customHeight="1" spans="1:10">
      <c r="A53" s="457"/>
      <c r="B53" s="26" t="s">
        <v>506</v>
      </c>
      <c r="C53" s="27" t="s">
        <v>507</v>
      </c>
      <c r="D53" s="28">
        <v>11.4</v>
      </c>
      <c r="E53" s="29">
        <v>2.721</v>
      </c>
      <c r="F53" s="43">
        <v>4.95</v>
      </c>
      <c r="G53" s="30">
        <f t="shared" ref="G53:G56" si="54">(D53-F53)*250*100*100/E53/10/1000/50</f>
        <v>11.8522601984564</v>
      </c>
      <c r="H53" s="31">
        <f t="shared" ref="H53" si="55">(G53+G54)/2</f>
        <v>11.7450044115431</v>
      </c>
      <c r="I53" s="32">
        <f t="shared" ref="I53" si="56">ROUND((G53-G54)/H53*100,1)</f>
        <v>1.8</v>
      </c>
      <c r="J53" s="471">
        <f t="shared" ref="J53" si="57">G53-G54</f>
        <v>0.214511573826737</v>
      </c>
    </row>
    <row r="54" customHeight="1" spans="1:10">
      <c r="A54" s="458"/>
      <c r="B54" s="33"/>
      <c r="C54" s="34"/>
      <c r="D54" s="28">
        <v>11.4</v>
      </c>
      <c r="E54" s="29">
        <v>2.8356</v>
      </c>
      <c r="F54" s="28">
        <v>4.8</v>
      </c>
      <c r="G54" s="30">
        <f t="shared" si="54"/>
        <v>11.6377486246297</v>
      </c>
      <c r="H54" s="35"/>
      <c r="I54" s="36"/>
      <c r="J54" s="472"/>
    </row>
    <row r="55" customHeight="1" spans="1:10">
      <c r="A55" s="457"/>
      <c r="B55" s="26" t="s">
        <v>508</v>
      </c>
      <c r="C55" s="27" t="s">
        <v>509</v>
      </c>
      <c r="D55" s="28">
        <v>11.4</v>
      </c>
      <c r="E55" s="29">
        <v>2.8028</v>
      </c>
      <c r="F55" s="43">
        <v>4.95</v>
      </c>
      <c r="G55" s="30">
        <f t="shared" si="54"/>
        <v>11.5063507920651</v>
      </c>
      <c r="H55" s="31">
        <f t="shared" ref="H55" si="58">(G55+G56)/2</f>
        <v>11.3599103786085</v>
      </c>
      <c r="I55" s="32">
        <f t="shared" ref="I55" si="59">ROUND((G55-G56)/H55*100,1)</f>
        <v>2.6</v>
      </c>
      <c r="J55" s="471">
        <f t="shared" ref="J55" si="60">G55-G56</f>
        <v>0.292880826913095</v>
      </c>
    </row>
    <row r="56" customHeight="1" spans="1:10">
      <c r="A56" s="458"/>
      <c r="B56" s="33"/>
      <c r="C56" s="34"/>
      <c r="D56" s="28">
        <v>11.4</v>
      </c>
      <c r="E56" s="29">
        <v>2.8983</v>
      </c>
      <c r="F56" s="28">
        <v>4.9</v>
      </c>
      <c r="G56" s="30">
        <f t="shared" si="54"/>
        <v>11.213469965152</v>
      </c>
      <c r="H56" s="35"/>
      <c r="I56" s="36"/>
      <c r="J56" s="472"/>
    </row>
    <row r="57" spans="1:10">
      <c r="A57" s="457"/>
      <c r="B57" s="26" t="s">
        <v>510</v>
      </c>
      <c r="C57" s="27" t="s">
        <v>511</v>
      </c>
      <c r="D57" s="28">
        <v>11.4</v>
      </c>
      <c r="E57" s="29">
        <v>4.3933</v>
      </c>
      <c r="F57" s="43">
        <v>10.2</v>
      </c>
      <c r="G57" s="30">
        <f t="shared" ref="G57:G58" si="61">(D57-F57)*250*100*100/E57/10/1000/50</f>
        <v>1.36571597660073</v>
      </c>
      <c r="H57" s="31">
        <f t="shared" ref="H57" si="62">(G57+G58)/2</f>
        <v>1.36294503944291</v>
      </c>
      <c r="I57" s="32">
        <f t="shared" ref="I57" si="63">ROUND((G57-G58)/H57*100,1)</f>
        <v>0.4</v>
      </c>
      <c r="J57" s="471">
        <f t="shared" ref="J57" si="64">G57-G58</f>
        <v>0.0055418743156419</v>
      </c>
    </row>
    <row r="58" spans="1:10">
      <c r="A58" s="458"/>
      <c r="B58" s="33"/>
      <c r="C58" s="34"/>
      <c r="D58" s="28">
        <v>11.4</v>
      </c>
      <c r="E58" s="29">
        <v>3.676</v>
      </c>
      <c r="F58" s="28">
        <v>10.4</v>
      </c>
      <c r="G58" s="30">
        <f t="shared" si="61"/>
        <v>1.36017410228509</v>
      </c>
      <c r="H58" s="35"/>
      <c r="I58" s="36"/>
      <c r="J58" s="472"/>
    </row>
    <row r="59" spans="1:10">
      <c r="A59" s="457"/>
      <c r="B59" s="26" t="s">
        <v>512</v>
      </c>
      <c r="C59" s="27" t="s">
        <v>513</v>
      </c>
      <c r="D59" s="28">
        <v>11.3</v>
      </c>
      <c r="E59" s="29">
        <v>1.5189</v>
      </c>
      <c r="F59" s="43">
        <v>8.4</v>
      </c>
      <c r="G59" s="30">
        <f t="shared" ref="G59:G66" si="65">(D59-F59)*250*100*100/E59/10/1000/50</f>
        <v>9.54638225031273</v>
      </c>
      <c r="H59" s="31">
        <f t="shared" ref="H59" si="66">(G59+G60)/2</f>
        <v>9.35978603709374</v>
      </c>
      <c r="I59" s="32">
        <f t="shared" ref="I59" si="67">ROUND((G59-G60)/H59*100,1)</f>
        <v>4</v>
      </c>
      <c r="J59" s="471">
        <f t="shared" ref="J59" si="68">G59-G60</f>
        <v>0.373192426437974</v>
      </c>
    </row>
    <row r="60" spans="1:11">
      <c r="A60" s="458"/>
      <c r="B60" s="33"/>
      <c r="C60" s="34"/>
      <c r="D60" s="28">
        <v>11.3</v>
      </c>
      <c r="E60" s="29">
        <v>1.6352</v>
      </c>
      <c r="F60" s="28">
        <v>8.3</v>
      </c>
      <c r="G60" s="30">
        <f t="shared" si="65"/>
        <v>9.17318982387475</v>
      </c>
      <c r="H60" s="35"/>
      <c r="I60" s="36"/>
      <c r="J60" s="472"/>
      <c r="K60" s="473"/>
    </row>
    <row r="61" spans="1:10">
      <c r="A61" s="457"/>
      <c r="B61" s="26" t="s">
        <v>514</v>
      </c>
      <c r="C61" s="27"/>
      <c r="D61" s="28">
        <v>11.2</v>
      </c>
      <c r="E61" s="29">
        <v>2.8194</v>
      </c>
      <c r="F61" s="43">
        <v>8.5</v>
      </c>
      <c r="G61" s="30">
        <f t="shared" si="65"/>
        <v>4.78825281974888</v>
      </c>
      <c r="H61" s="31">
        <f t="shared" ref="H61" si="69">(G61+G62)/2</f>
        <v>4.16141970201457</v>
      </c>
      <c r="I61" s="32">
        <f t="shared" ref="I61" si="70">ROUND((G61-G62)/H61*100,1)</f>
        <v>30.1</v>
      </c>
      <c r="J61" s="471">
        <f t="shared" ref="J61" si="71">G61-G62</f>
        <v>1.25366623546863</v>
      </c>
    </row>
    <row r="62" spans="1:10">
      <c r="A62" s="458"/>
      <c r="B62" s="33"/>
      <c r="C62" s="34"/>
      <c r="D62" s="28">
        <v>11.2</v>
      </c>
      <c r="E62" s="29">
        <v>3.8194</v>
      </c>
      <c r="F62" s="28">
        <v>8.5</v>
      </c>
      <c r="G62" s="30">
        <f t="shared" si="65"/>
        <v>3.53458658428025</v>
      </c>
      <c r="H62" s="35"/>
      <c r="I62" s="36"/>
      <c r="J62" s="472"/>
    </row>
    <row r="63" customHeight="1" spans="1:10">
      <c r="A63" s="457"/>
      <c r="B63" s="26" t="s">
        <v>515</v>
      </c>
      <c r="C63" s="27"/>
      <c r="D63" s="28">
        <v>11.2</v>
      </c>
      <c r="E63" s="29">
        <v>3.5404</v>
      </c>
      <c r="F63" s="43">
        <v>2.95</v>
      </c>
      <c r="G63" s="30">
        <f t="shared" si="65"/>
        <v>11.6512258501864</v>
      </c>
      <c r="H63" s="31">
        <f t="shared" ref="H63" si="72">(G63+G64)/2</f>
        <v>11.6512258501864</v>
      </c>
      <c r="I63" s="32">
        <f t="shared" ref="I63" si="73">ROUND((G63-G64)/H63*100,1)</f>
        <v>0</v>
      </c>
      <c r="J63" s="471">
        <f t="shared" ref="J63" si="74">G63-G64</f>
        <v>0</v>
      </c>
    </row>
    <row r="64" customHeight="1" spans="1:10">
      <c r="A64" s="458"/>
      <c r="B64" s="33"/>
      <c r="C64" s="34"/>
      <c r="D64" s="28">
        <v>11.2</v>
      </c>
      <c r="E64" s="29">
        <v>3.5404</v>
      </c>
      <c r="F64" s="28">
        <v>2.95</v>
      </c>
      <c r="G64" s="30">
        <f t="shared" si="65"/>
        <v>11.6512258501864</v>
      </c>
      <c r="H64" s="35"/>
      <c r="I64" s="36"/>
      <c r="J64" s="472"/>
    </row>
    <row r="65" customHeight="1" spans="1:10">
      <c r="A65" s="457"/>
      <c r="B65" s="26" t="s">
        <v>516</v>
      </c>
      <c r="C65" s="27"/>
      <c r="D65" s="28">
        <v>11.2</v>
      </c>
      <c r="E65" s="29">
        <v>3.108</v>
      </c>
      <c r="F65" s="43">
        <v>6.45</v>
      </c>
      <c r="G65" s="30">
        <f t="shared" si="65"/>
        <v>7.64157014157014</v>
      </c>
      <c r="H65" s="31">
        <f t="shared" ref="H65" si="75">(G65+G66)/2</f>
        <v>7.64157014157014</v>
      </c>
      <c r="I65" s="32">
        <f t="shared" ref="I65" si="76">ROUND((G65-G66)/H65*100,1)</f>
        <v>0</v>
      </c>
      <c r="J65" s="471">
        <f t="shared" ref="J65" si="77">G65-G66</f>
        <v>0</v>
      </c>
    </row>
    <row r="66" customHeight="1" spans="1:10">
      <c r="A66" s="458"/>
      <c r="B66" s="33"/>
      <c r="C66" s="34"/>
      <c r="D66" s="28">
        <v>11.2</v>
      </c>
      <c r="E66" s="29">
        <v>3.108</v>
      </c>
      <c r="F66" s="28">
        <v>6.45</v>
      </c>
      <c r="G66" s="30">
        <f t="shared" si="65"/>
        <v>7.64157014157014</v>
      </c>
      <c r="H66" s="35"/>
      <c r="I66" s="36"/>
      <c r="J66" s="472"/>
    </row>
    <row r="67" customHeight="1" spans="1:10">
      <c r="A67" s="457"/>
      <c r="B67" s="26" t="s">
        <v>517</v>
      </c>
      <c r="C67" s="27"/>
      <c r="D67" s="28">
        <v>11.2</v>
      </c>
      <c r="E67" s="29">
        <v>3.9406</v>
      </c>
      <c r="F67" s="43">
        <v>5.1</v>
      </c>
      <c r="G67" s="30">
        <f t="shared" ref="G67:G78" si="78">(D67-F67)*250*100*100/E67/10/1000/50</f>
        <v>7.73993808049536</v>
      </c>
      <c r="H67" s="31">
        <f t="shared" ref="H67" si="79">(G67+G68)/2</f>
        <v>7.73993808049536</v>
      </c>
      <c r="I67" s="32">
        <f t="shared" ref="I67" si="80">ROUND((G67-G68)/H67*100,1)</f>
        <v>0</v>
      </c>
      <c r="J67" s="471">
        <f t="shared" ref="J67" si="81">G67-G68</f>
        <v>0</v>
      </c>
    </row>
    <row r="68" customHeight="1" spans="1:10">
      <c r="A68" s="458"/>
      <c r="B68" s="33"/>
      <c r="C68" s="34"/>
      <c r="D68" s="28">
        <v>11.2</v>
      </c>
      <c r="E68" s="29">
        <v>3.9406</v>
      </c>
      <c r="F68" s="28">
        <v>5.1</v>
      </c>
      <c r="G68" s="30">
        <f t="shared" si="78"/>
        <v>7.73993808049536</v>
      </c>
      <c r="H68" s="35"/>
      <c r="I68" s="36"/>
      <c r="J68" s="472"/>
    </row>
    <row r="69" customHeight="1" spans="1:10">
      <c r="A69" s="457"/>
      <c r="B69" s="26" t="s">
        <v>518</v>
      </c>
      <c r="C69" s="27"/>
      <c r="D69" s="28">
        <v>11.2</v>
      </c>
      <c r="E69" s="29">
        <v>3.2074</v>
      </c>
      <c r="F69" s="43">
        <v>8.45</v>
      </c>
      <c r="G69" s="30">
        <f t="shared" si="78"/>
        <v>4.28696140175843</v>
      </c>
      <c r="H69" s="31">
        <f t="shared" ref="H69" si="82">(G69+G70)/2</f>
        <v>4.28696140175843</v>
      </c>
      <c r="I69" s="32">
        <f t="shared" ref="I69" si="83">ROUND((G69-G70)/H69*100,1)</f>
        <v>0</v>
      </c>
      <c r="J69" s="471">
        <f t="shared" ref="J69" si="84">G69-G70</f>
        <v>0</v>
      </c>
    </row>
    <row r="70" customHeight="1" spans="1:10">
      <c r="A70" s="458"/>
      <c r="B70" s="33"/>
      <c r="C70" s="34"/>
      <c r="D70" s="28">
        <v>11.2</v>
      </c>
      <c r="E70" s="29">
        <v>3.2074</v>
      </c>
      <c r="F70" s="28">
        <v>8.45</v>
      </c>
      <c r="G70" s="30">
        <f t="shared" si="78"/>
        <v>4.28696140175843</v>
      </c>
      <c r="H70" s="35"/>
      <c r="I70" s="36"/>
      <c r="J70" s="472"/>
    </row>
    <row r="71" spans="1:10">
      <c r="A71" s="457"/>
      <c r="B71" s="26" t="s">
        <v>519</v>
      </c>
      <c r="C71" s="27"/>
      <c r="D71" s="28">
        <v>11.2</v>
      </c>
      <c r="E71" s="29">
        <v>3.6916</v>
      </c>
      <c r="F71" s="43">
        <v>6.8</v>
      </c>
      <c r="G71" s="30">
        <f t="shared" si="78"/>
        <v>5.95947556615018</v>
      </c>
      <c r="H71" s="31">
        <f t="shared" ref="H71" si="85">(G71+G72)/2</f>
        <v>5.95592825926556</v>
      </c>
      <c r="I71" s="32">
        <f t="shared" ref="I71" si="86">ROUND((G71-G72)/H71*100,1)</f>
        <v>0.1</v>
      </c>
      <c r="J71" s="471">
        <f t="shared" ref="J71" si="87">G71-G72</f>
        <v>0.00709461376922604</v>
      </c>
    </row>
    <row r="72" spans="1:10">
      <c r="A72" s="458"/>
      <c r="B72" s="33"/>
      <c r="C72" s="34"/>
      <c r="D72" s="28">
        <v>11.2</v>
      </c>
      <c r="E72" s="29">
        <v>3.696</v>
      </c>
      <c r="F72" s="28">
        <v>6.8</v>
      </c>
      <c r="G72" s="30">
        <f t="shared" si="78"/>
        <v>5.95238095238095</v>
      </c>
      <c r="H72" s="35"/>
      <c r="I72" s="36"/>
      <c r="J72" s="472"/>
    </row>
    <row r="73" customHeight="1" spans="1:10">
      <c r="A73" s="457"/>
      <c r="B73" s="26" t="s">
        <v>520</v>
      </c>
      <c r="C73" s="27"/>
      <c r="D73" s="28">
        <v>11.2</v>
      </c>
      <c r="E73" s="29">
        <v>3.4459</v>
      </c>
      <c r="F73" s="43">
        <v>8.4</v>
      </c>
      <c r="G73" s="30">
        <f t="shared" si="78"/>
        <v>4.06279926869613</v>
      </c>
      <c r="H73" s="31">
        <f t="shared" ref="H73" si="88">(G73+G74)/2</f>
        <v>4.06279926869613</v>
      </c>
      <c r="I73" s="32">
        <f t="shared" ref="I73" si="89">ROUND((G73-G74)/H73*100,1)</f>
        <v>0</v>
      </c>
      <c r="J73" s="471">
        <f t="shared" ref="J73" si="90">G73-G74</f>
        <v>0</v>
      </c>
    </row>
    <row r="74" customHeight="1" spans="1:10">
      <c r="A74" s="458"/>
      <c r="B74" s="33"/>
      <c r="C74" s="34"/>
      <c r="D74" s="28">
        <v>11.2</v>
      </c>
      <c r="E74" s="29">
        <v>3.4459</v>
      </c>
      <c r="F74" s="28">
        <v>8.4</v>
      </c>
      <c r="G74" s="30">
        <f t="shared" si="78"/>
        <v>4.06279926869613</v>
      </c>
      <c r="H74" s="35"/>
      <c r="I74" s="36"/>
      <c r="J74" s="472"/>
    </row>
    <row r="75" customHeight="1" spans="1:10">
      <c r="A75" s="457"/>
      <c r="B75" s="26" t="s">
        <v>521</v>
      </c>
      <c r="C75" s="27"/>
      <c r="D75" s="28">
        <v>11.2</v>
      </c>
      <c r="E75" s="29">
        <v>3.6496</v>
      </c>
      <c r="F75" s="43">
        <v>8.9</v>
      </c>
      <c r="G75" s="30">
        <f t="shared" si="78"/>
        <v>3.1510302498904</v>
      </c>
      <c r="H75" s="31">
        <f t="shared" ref="H75" si="91">(G75+G76)/2</f>
        <v>3.1510302498904</v>
      </c>
      <c r="I75" s="32">
        <f t="shared" ref="I75" si="92">ROUND((G75-G76)/H75*100,1)</f>
        <v>0</v>
      </c>
      <c r="J75" s="471">
        <f t="shared" ref="J75" si="93">G75-G76</f>
        <v>0</v>
      </c>
    </row>
    <row r="76" customHeight="1" spans="1:10">
      <c r="A76" s="458"/>
      <c r="B76" s="33"/>
      <c r="C76" s="34"/>
      <c r="D76" s="28">
        <v>11.2</v>
      </c>
      <c r="E76" s="29">
        <v>3.6496</v>
      </c>
      <c r="F76" s="28">
        <v>8.9</v>
      </c>
      <c r="G76" s="30">
        <f t="shared" si="78"/>
        <v>3.1510302498904</v>
      </c>
      <c r="H76" s="35"/>
      <c r="I76" s="36"/>
      <c r="J76" s="472"/>
    </row>
    <row r="77" spans="1:10">
      <c r="A77" s="457"/>
      <c r="B77" s="26" t="s">
        <v>522</v>
      </c>
      <c r="C77" s="27" t="s">
        <v>523</v>
      </c>
      <c r="D77" s="28">
        <v>11.2</v>
      </c>
      <c r="E77" s="29">
        <v>6.7014</v>
      </c>
      <c r="F77" s="43">
        <v>9</v>
      </c>
      <c r="G77" s="30">
        <f t="shared" si="78"/>
        <v>1.64144805563017</v>
      </c>
      <c r="H77" s="31">
        <f t="shared" ref="H77" si="94">(G77+G78)/2</f>
        <v>1.63054262844854</v>
      </c>
      <c r="I77" s="32">
        <f t="shared" ref="I77" si="95">ROUND((G77-G78)/H77*100,1)</f>
        <v>1.3</v>
      </c>
      <c r="J77" s="471">
        <f t="shared" ref="J77" si="96">G77-G78</f>
        <v>0.0218108543632509</v>
      </c>
    </row>
    <row r="78" spans="1:10">
      <c r="A78" s="458"/>
      <c r="B78" s="33"/>
      <c r="C78" s="34"/>
      <c r="D78" s="28">
        <v>11.2</v>
      </c>
      <c r="E78" s="29">
        <v>5.5568</v>
      </c>
      <c r="F78" s="28">
        <v>9.4</v>
      </c>
      <c r="G78" s="30">
        <f t="shared" si="78"/>
        <v>1.61963720126692</v>
      </c>
      <c r="H78" s="35"/>
      <c r="I78" s="36"/>
      <c r="J78" s="472"/>
    </row>
    <row r="80" spans="1:10">
      <c r="A80" s="457"/>
      <c r="B80" s="26" t="s">
        <v>524</v>
      </c>
      <c r="C80" s="27" t="s">
        <v>523</v>
      </c>
      <c r="D80" s="28">
        <v>11.2</v>
      </c>
      <c r="E80" s="29">
        <v>5.8955</v>
      </c>
      <c r="F80" s="43">
        <v>9.3</v>
      </c>
      <c r="G80" s="30">
        <f t="shared" ref="G80:G83" si="97">(D80-F80)*250*100*100/E80/10/1000/50</f>
        <v>1.61139852429819</v>
      </c>
      <c r="H80" s="31">
        <f t="shared" ref="H80" si="98">(G80+G81)/2</f>
        <v>1.6207498911764</v>
      </c>
      <c r="I80" s="32">
        <f t="shared" ref="I80" si="99">ROUND((G80-G81)/H80*100,1)</f>
        <v>-1.2</v>
      </c>
      <c r="J80" s="471">
        <f t="shared" ref="J80" si="100">G80-G81</f>
        <v>-0.0187027337564247</v>
      </c>
    </row>
    <row r="81" spans="1:10">
      <c r="A81" s="458"/>
      <c r="B81" s="33"/>
      <c r="C81" s="34"/>
      <c r="D81" s="28">
        <v>11.2</v>
      </c>
      <c r="E81" s="29">
        <v>5.2144</v>
      </c>
      <c r="F81" s="28">
        <v>9.5</v>
      </c>
      <c r="G81" s="30">
        <f t="shared" si="97"/>
        <v>1.63010125805462</v>
      </c>
      <c r="H81" s="35"/>
      <c r="I81" s="36"/>
      <c r="J81" s="472"/>
    </row>
    <row r="82" spans="1:10">
      <c r="A82" s="457"/>
      <c r="B82" s="26" t="s">
        <v>525</v>
      </c>
      <c r="C82" s="27" t="s">
        <v>526</v>
      </c>
      <c r="D82" s="28">
        <v>11.2</v>
      </c>
      <c r="E82" s="29">
        <v>5.4153</v>
      </c>
      <c r="F82" s="43">
        <v>9.7</v>
      </c>
      <c r="G82" s="30">
        <f t="shared" si="97"/>
        <v>1.38496482189352</v>
      </c>
      <c r="H82" s="31">
        <f>(G82+G83)/2</f>
        <v>1.35916177626801</v>
      </c>
      <c r="I82" s="32">
        <f>ROUND((G82-G83)/H82*100,1)</f>
        <v>3.8</v>
      </c>
      <c r="J82" s="471">
        <f>G82-G83</f>
        <v>0.0516060912510365</v>
      </c>
    </row>
    <row r="83" spans="1:10">
      <c r="A83" s="458"/>
      <c r="B83" s="33"/>
      <c r="C83" s="34"/>
      <c r="D83" s="28">
        <v>11.2</v>
      </c>
      <c r="E83" s="29">
        <v>5.2499</v>
      </c>
      <c r="F83" s="28">
        <v>9.8</v>
      </c>
      <c r="G83" s="30">
        <f t="shared" si="97"/>
        <v>1.33335873064249</v>
      </c>
      <c r="H83" s="35"/>
      <c r="I83" s="36"/>
      <c r="J83" s="472"/>
    </row>
    <row r="84" spans="1:10">
      <c r="A84" s="457"/>
      <c r="B84" s="26" t="s">
        <v>527</v>
      </c>
      <c r="C84" s="27" t="s">
        <v>528</v>
      </c>
      <c r="D84" s="28">
        <v>11.2</v>
      </c>
      <c r="E84" s="29">
        <v>2.9683</v>
      </c>
      <c r="F84" s="43">
        <v>9.35</v>
      </c>
      <c r="G84" s="30">
        <f t="shared" ref="G84:G85" si="101">(D84-F84)*250*100*100/E84/10/1000/50</f>
        <v>3.11626183337264</v>
      </c>
      <c r="H84" s="31">
        <f>(G84+G85)/2</f>
        <v>3.12656413445089</v>
      </c>
      <c r="I84" s="32">
        <f>ROUND((G84-G85)/H84*100,1)</f>
        <v>-0.7</v>
      </c>
      <c r="J84" s="471">
        <f>G84-G85</f>
        <v>-0.0206046021565003</v>
      </c>
    </row>
    <row r="85" spans="1:10">
      <c r="A85" s="458"/>
      <c r="B85" s="33"/>
      <c r="C85" s="34"/>
      <c r="D85" s="28">
        <v>11.2</v>
      </c>
      <c r="E85" s="29">
        <v>3.0285</v>
      </c>
      <c r="F85" s="28">
        <v>9.3</v>
      </c>
      <c r="G85" s="30">
        <f t="shared" si="101"/>
        <v>3.13686643552914</v>
      </c>
      <c r="H85" s="35"/>
      <c r="I85" s="36"/>
      <c r="J85" s="472"/>
    </row>
    <row r="86" spans="1:10">
      <c r="A86" s="457"/>
      <c r="B86" s="26" t="s">
        <v>159</v>
      </c>
      <c r="C86" s="27" t="s">
        <v>149</v>
      </c>
      <c r="D86" s="28">
        <v>11.3</v>
      </c>
      <c r="E86" s="29">
        <v>3.4402</v>
      </c>
      <c r="F86" s="43">
        <v>11.2</v>
      </c>
      <c r="G86" s="30">
        <f t="shared" ref="G86:G87" si="102">(D86-F86)*250*100*100/E86/10/1000/50</f>
        <v>0.145340387186794</v>
      </c>
      <c r="H86" s="31">
        <f>(G86+G87)/2</f>
        <v>0.145215969978297</v>
      </c>
      <c r="I86" s="32">
        <f>ROUND((G86-G87)/H86*100,1)</f>
        <v>0.2</v>
      </c>
      <c r="J86" s="471">
        <f>G86-G87</f>
        <v>0.000248834416993748</v>
      </c>
    </row>
    <row r="87" spans="1:10">
      <c r="A87" s="458"/>
      <c r="B87" s="33"/>
      <c r="C87" s="34"/>
      <c r="D87" s="28">
        <v>11.3</v>
      </c>
      <c r="E87" s="29">
        <v>3.4461</v>
      </c>
      <c r="F87" s="28">
        <v>11.2</v>
      </c>
      <c r="G87" s="30">
        <f t="shared" si="102"/>
        <v>0.1450915527698</v>
      </c>
      <c r="H87" s="35"/>
      <c r="I87" s="36"/>
      <c r="J87" s="472"/>
    </row>
    <row r="88" spans="1:10">
      <c r="A88" s="457"/>
      <c r="B88" s="26" t="s">
        <v>529</v>
      </c>
      <c r="C88" s="27" t="s">
        <v>530</v>
      </c>
      <c r="D88" s="28">
        <v>11.3</v>
      </c>
      <c r="E88" s="29">
        <v>3.4402</v>
      </c>
      <c r="F88" s="43">
        <v>11.2</v>
      </c>
      <c r="G88" s="30">
        <f t="shared" ref="G88:G91" si="103">(D88-F88)*250*100*100/E88/10/1000/50</f>
        <v>0.145340387186794</v>
      </c>
      <c r="H88" s="31">
        <f>(G88+G89)/2</f>
        <v>0.145215969978297</v>
      </c>
      <c r="I88" s="32">
        <f>ROUND((G88-G89)/H88*100,1)</f>
        <v>0.2</v>
      </c>
      <c r="J88" s="471">
        <f>G88-G89</f>
        <v>0.000248834416993748</v>
      </c>
    </row>
    <row r="89" spans="1:10">
      <c r="A89" s="458"/>
      <c r="B89" s="33"/>
      <c r="C89" s="34"/>
      <c r="D89" s="28">
        <v>11.3</v>
      </c>
      <c r="E89" s="29">
        <v>3.4461</v>
      </c>
      <c r="F89" s="28">
        <v>11.2</v>
      </c>
      <c r="G89" s="30">
        <f t="shared" si="103"/>
        <v>0.1450915527698</v>
      </c>
      <c r="H89" s="35"/>
      <c r="I89" s="36"/>
      <c r="J89" s="472"/>
    </row>
    <row r="90" spans="1:10">
      <c r="A90" s="457"/>
      <c r="B90" s="26" t="s">
        <v>531</v>
      </c>
      <c r="C90" s="27"/>
      <c r="D90" s="28">
        <v>11.4</v>
      </c>
      <c r="E90" s="29">
        <v>4.8204</v>
      </c>
      <c r="F90" s="43">
        <v>9.8</v>
      </c>
      <c r="G90" s="30">
        <f t="shared" si="103"/>
        <v>1.65961331009875</v>
      </c>
      <c r="H90" s="31">
        <f>(G90+G91)/2</f>
        <v>1.64691694451069</v>
      </c>
      <c r="I90" s="32">
        <f>ROUND((G90-G91)/H90*100,1)</f>
        <v>1.5</v>
      </c>
      <c r="J90" s="471">
        <f>G90-G91</f>
        <v>0.0253927311761069</v>
      </c>
    </row>
    <row r="91" spans="1:10">
      <c r="A91" s="458"/>
      <c r="B91" s="33"/>
      <c r="C91" s="34"/>
      <c r="D91" s="28">
        <v>11.4</v>
      </c>
      <c r="E91" s="29">
        <v>4.8953</v>
      </c>
      <c r="F91" s="28">
        <v>9.8</v>
      </c>
      <c r="G91" s="30">
        <f t="shared" si="103"/>
        <v>1.63422057892264</v>
      </c>
      <c r="H91" s="35"/>
      <c r="I91" s="36"/>
      <c r="J91" s="472"/>
    </row>
    <row r="92" spans="1:10">
      <c r="A92" s="457"/>
      <c r="B92" s="26" t="s">
        <v>532</v>
      </c>
      <c r="C92" s="27"/>
      <c r="D92" s="28">
        <v>11.4</v>
      </c>
      <c r="E92" s="29">
        <v>5.0147</v>
      </c>
      <c r="F92" s="43">
        <v>9.7</v>
      </c>
      <c r="G92" s="30">
        <f t="shared" ref="G92:G93" si="104">(D92-F92)*250*100*100/E92/10/1000/50</f>
        <v>1.69501665104593</v>
      </c>
      <c r="H92" s="31">
        <f>(G92+G93)/2</f>
        <v>1.66251901121862</v>
      </c>
      <c r="I92" s="32">
        <f>ROUND((G92-G93)/H92*100,1)</f>
        <v>3.9</v>
      </c>
      <c r="J92" s="471">
        <f>G92-G93</f>
        <v>0.0649952796546116</v>
      </c>
    </row>
    <row r="93" spans="1:10">
      <c r="A93" s="458"/>
      <c r="B93" s="33"/>
      <c r="C93" s="34"/>
      <c r="D93" s="28">
        <v>11.4</v>
      </c>
      <c r="E93" s="29">
        <v>5.5214</v>
      </c>
      <c r="F93" s="28">
        <v>9.6</v>
      </c>
      <c r="G93" s="30">
        <f t="shared" si="104"/>
        <v>1.63002137139131</v>
      </c>
      <c r="H93" s="35"/>
      <c r="I93" s="36"/>
      <c r="J93" s="472"/>
    </row>
    <row r="96" spans="1:10">
      <c r="A96" s="457"/>
      <c r="B96" s="26" t="s">
        <v>402</v>
      </c>
      <c r="C96" s="27"/>
      <c r="D96" s="28">
        <v>11.4</v>
      </c>
      <c r="E96" s="29">
        <v>3.5049</v>
      </c>
      <c r="F96" s="43">
        <v>11.25</v>
      </c>
      <c r="G96" s="30">
        <f t="shared" ref="G96:G97" si="105">(D96-F96)*250*100*100/E96/10/1000/50</f>
        <v>0.213986133698537</v>
      </c>
      <c r="H96" s="31">
        <f>(G96+G97)/2</f>
        <v>0.212176506768488</v>
      </c>
      <c r="I96" s="32">
        <f>ROUND((G96-G97)/H96*100,1)</f>
        <v>1.7</v>
      </c>
      <c r="J96" s="471">
        <f>G96-G97</f>
        <v>0.00361925386009812</v>
      </c>
    </row>
    <row r="97" spans="1:10">
      <c r="A97" s="458"/>
      <c r="B97" s="33"/>
      <c r="C97" s="34"/>
      <c r="D97" s="28">
        <v>11.4</v>
      </c>
      <c r="E97" s="29">
        <v>3.5652</v>
      </c>
      <c r="F97" s="28">
        <v>11.25</v>
      </c>
      <c r="G97" s="30">
        <f t="shared" si="105"/>
        <v>0.210366879838439</v>
      </c>
      <c r="H97" s="35"/>
      <c r="I97" s="36"/>
      <c r="J97" s="472"/>
    </row>
    <row r="98" spans="1:10">
      <c r="A98" s="457"/>
      <c r="B98" s="26" t="s">
        <v>533</v>
      </c>
      <c r="C98" s="27"/>
      <c r="D98" s="28">
        <v>11.4</v>
      </c>
      <c r="E98" s="29">
        <v>4.269</v>
      </c>
      <c r="F98" s="43">
        <v>9.8</v>
      </c>
      <c r="G98" s="30">
        <f t="shared" ref="G98:G99" si="106">(D98-F98)*250*100*100/E98/10/1000/50</f>
        <v>1.873975169829</v>
      </c>
      <c r="H98" s="31">
        <f>(G98+G99)/2</f>
        <v>1.86847946230533</v>
      </c>
      <c r="I98" s="32">
        <f>ROUND((G98-G99)/H98*100,1)</f>
        <v>0.6</v>
      </c>
      <c r="J98" s="471">
        <f>G98-G99</f>
        <v>0.0109914150473409</v>
      </c>
    </row>
    <row r="99" spans="1:10">
      <c r="A99" s="458"/>
      <c r="B99" s="33"/>
      <c r="C99" s="34"/>
      <c r="D99" s="28">
        <v>11.4</v>
      </c>
      <c r="E99" s="29">
        <v>4.0258</v>
      </c>
      <c r="F99" s="28">
        <v>9.9</v>
      </c>
      <c r="G99" s="30">
        <f t="shared" si="106"/>
        <v>1.86298375478166</v>
      </c>
      <c r="H99" s="35"/>
      <c r="I99" s="36"/>
      <c r="J99" s="472"/>
    </row>
    <row r="100" customHeight="1" spans="1:10">
      <c r="A100" s="457"/>
      <c r="B100" s="26" t="s">
        <v>533</v>
      </c>
      <c r="C100" s="27"/>
      <c r="D100" s="28">
        <v>11.4</v>
      </c>
      <c r="E100" s="29">
        <v>2.5274</v>
      </c>
      <c r="F100" s="43">
        <v>10.6</v>
      </c>
      <c r="G100" s="30">
        <f t="shared" ref="G100:G101" si="107">(D100-F100)*250*100*100/E100/10/1000/50</f>
        <v>1.58265411094405</v>
      </c>
      <c r="H100" s="31">
        <f>(G100+G101)/2</f>
        <v>1.72865130717483</v>
      </c>
      <c r="I100" s="32">
        <f>ROUND((G100-G101)/H100*100,1)</f>
        <v>-16.9</v>
      </c>
      <c r="J100" s="471">
        <f>G100-G101</f>
        <v>-0.291994392461558</v>
      </c>
    </row>
    <row r="101" customHeight="1" spans="1:10">
      <c r="A101" s="458"/>
      <c r="B101" s="33"/>
      <c r="C101" s="34"/>
      <c r="D101" s="28">
        <v>11.4</v>
      </c>
      <c r="E101" s="29">
        <v>3.2006</v>
      </c>
      <c r="F101" s="28">
        <v>10.2</v>
      </c>
      <c r="G101" s="30">
        <f t="shared" si="107"/>
        <v>1.87464850340561</v>
      </c>
      <c r="H101" s="35"/>
      <c r="I101" s="36"/>
      <c r="J101" s="472"/>
    </row>
    <row r="102" spans="1:10">
      <c r="A102" s="457"/>
      <c r="B102" s="26" t="s">
        <v>534</v>
      </c>
      <c r="C102" s="27"/>
      <c r="D102" s="28">
        <v>11.4</v>
      </c>
      <c r="E102" s="29">
        <v>4.723</v>
      </c>
      <c r="F102" s="43">
        <v>9.45</v>
      </c>
      <c r="G102" s="30">
        <f t="shared" ref="G102:G103" si="108">(D102-F102)*250*100*100/E102/10/1000/50</f>
        <v>2.06436586915096</v>
      </c>
      <c r="H102" s="31">
        <f>(G102+G103)/2</f>
        <v>2.06436586915096</v>
      </c>
      <c r="I102" s="32">
        <f>ROUND((G102-G103)/H102*100,1)</f>
        <v>0</v>
      </c>
      <c r="J102" s="471">
        <f>G102-G103</f>
        <v>0</v>
      </c>
    </row>
    <row r="103" spans="1:10">
      <c r="A103" s="458"/>
      <c r="B103" s="33"/>
      <c r="C103" s="34"/>
      <c r="D103" s="28">
        <v>11.4</v>
      </c>
      <c r="E103" s="29">
        <v>4.723</v>
      </c>
      <c r="F103" s="43">
        <v>9.45</v>
      </c>
      <c r="G103" s="30">
        <f t="shared" si="108"/>
        <v>2.06436586915096</v>
      </c>
      <c r="H103" s="35"/>
      <c r="I103" s="36"/>
      <c r="J103" s="472"/>
    </row>
    <row r="104" spans="1:10">
      <c r="A104" s="457"/>
      <c r="B104" s="26" t="s">
        <v>535</v>
      </c>
      <c r="C104" s="27"/>
      <c r="D104" s="28">
        <v>11.4</v>
      </c>
      <c r="E104" s="29">
        <v>1.8446</v>
      </c>
      <c r="F104" s="43">
        <v>8.9</v>
      </c>
      <c r="G104" s="30">
        <f t="shared" ref="G104:G105" si="109">(D104-F104)*250*100*100/E104/10/1000/50</f>
        <v>6.77653691857313</v>
      </c>
      <c r="H104" s="31">
        <f>(G104+G105)/2</f>
        <v>6.7216017926199</v>
      </c>
      <c r="I104" s="32">
        <f>ROUND((G104-G105)/H104*100,1)</f>
        <v>1.6</v>
      </c>
      <c r="J104" s="471">
        <f>G104-G105</f>
        <v>0.109870251906463</v>
      </c>
    </row>
    <row r="105" spans="1:10">
      <c r="A105" s="458"/>
      <c r="B105" s="33"/>
      <c r="C105" s="34"/>
      <c r="D105" s="28">
        <v>11.4</v>
      </c>
      <c r="E105" s="29">
        <v>2.025</v>
      </c>
      <c r="F105" s="43">
        <v>8.7</v>
      </c>
      <c r="G105" s="30">
        <f t="shared" si="109"/>
        <v>6.66666666666667</v>
      </c>
      <c r="H105" s="35"/>
      <c r="I105" s="36"/>
      <c r="J105" s="472"/>
    </row>
    <row r="106" spans="1:10">
      <c r="A106" s="457"/>
      <c r="B106" s="26" t="s">
        <v>535</v>
      </c>
      <c r="C106" s="27"/>
      <c r="D106" s="28">
        <v>11.4</v>
      </c>
      <c r="E106" s="29">
        <v>1.8446</v>
      </c>
      <c r="F106" s="43">
        <v>8.9</v>
      </c>
      <c r="G106" s="30">
        <f t="shared" ref="G106:G107" si="110">(D106-F106)*250*100*100/E106/10/1000/50</f>
        <v>6.77653691857313</v>
      </c>
      <c r="H106" s="31">
        <f>(G106+G107)/2</f>
        <v>6.7216017926199</v>
      </c>
      <c r="I106" s="32">
        <f>ROUND((G106-G107)/H106*100,1)</f>
        <v>1.6</v>
      </c>
      <c r="J106" s="471">
        <f>G106-G107</f>
        <v>0.109870251906463</v>
      </c>
    </row>
    <row r="107" spans="1:10">
      <c r="A107" s="458"/>
      <c r="B107" s="33"/>
      <c r="C107" s="34"/>
      <c r="D107" s="28">
        <v>11.4</v>
      </c>
      <c r="E107" s="29">
        <v>2.025</v>
      </c>
      <c r="F107" s="43">
        <v>8.7</v>
      </c>
      <c r="G107" s="30">
        <f t="shared" si="110"/>
        <v>6.66666666666667</v>
      </c>
      <c r="H107" s="35"/>
      <c r="I107" s="36"/>
      <c r="J107" s="472"/>
    </row>
    <row r="108" spans="1:10">
      <c r="A108" s="457"/>
      <c r="B108" s="26" t="s">
        <v>536</v>
      </c>
      <c r="C108" s="27"/>
      <c r="D108" s="28">
        <v>11.3</v>
      </c>
      <c r="E108" s="29">
        <v>2.7073</v>
      </c>
      <c r="F108" s="43">
        <v>9.8</v>
      </c>
      <c r="G108" s="30">
        <f t="shared" ref="G108:G113" si="111">(D108-F108)*250*100*100/E108/10/1000/50</f>
        <v>2.77028774055332</v>
      </c>
      <c r="H108" s="31">
        <f>(G108+G109)/2</f>
        <v>2.8246279591792</v>
      </c>
      <c r="I108" s="32">
        <f>ROUND((G108-G109)/H108*100,1)</f>
        <v>-3.8</v>
      </c>
      <c r="J108" s="471">
        <f>G108-G109</f>
        <v>-0.108680437251755</v>
      </c>
    </row>
    <row r="109" spans="1:10">
      <c r="A109" s="458"/>
      <c r="B109" s="33"/>
      <c r="C109" s="34"/>
      <c r="D109" s="28">
        <v>11.3</v>
      </c>
      <c r="E109" s="29">
        <v>2.6051</v>
      </c>
      <c r="F109" s="43">
        <v>9.8</v>
      </c>
      <c r="G109" s="30">
        <f t="shared" si="111"/>
        <v>2.87896817780507</v>
      </c>
      <c r="H109" s="35"/>
      <c r="I109" s="36"/>
      <c r="J109" s="472"/>
    </row>
    <row r="110" spans="1:10">
      <c r="A110" s="457"/>
      <c r="B110" s="26" t="s">
        <v>537</v>
      </c>
      <c r="C110" s="27"/>
      <c r="D110" s="28">
        <v>11.3</v>
      </c>
      <c r="E110" s="29">
        <v>1.1867</v>
      </c>
      <c r="F110" s="43">
        <v>8.9</v>
      </c>
      <c r="G110" s="30">
        <f t="shared" si="111"/>
        <v>10.1120755034971</v>
      </c>
      <c r="H110" s="31">
        <f>(G110+G111)/2</f>
        <v>9.9609577638222</v>
      </c>
      <c r="I110" s="32">
        <f>ROUND((G110-G111)/H110*100,1)</f>
        <v>3</v>
      </c>
      <c r="J110" s="471">
        <f>G110-G111</f>
        <v>0.302235479349791</v>
      </c>
    </row>
    <row r="111" spans="1:10">
      <c r="A111" s="458"/>
      <c r="B111" s="33"/>
      <c r="C111" s="34"/>
      <c r="D111" s="28">
        <v>11.3</v>
      </c>
      <c r="E111" s="29">
        <v>1.3252</v>
      </c>
      <c r="F111" s="43">
        <v>8.7</v>
      </c>
      <c r="G111" s="30">
        <f t="shared" si="111"/>
        <v>9.8098400241473</v>
      </c>
      <c r="H111" s="35"/>
      <c r="I111" s="36"/>
      <c r="J111" s="472"/>
    </row>
    <row r="112" spans="1:10">
      <c r="A112" s="457"/>
      <c r="B112" s="26" t="s">
        <v>535</v>
      </c>
      <c r="C112" s="27"/>
      <c r="D112" s="28">
        <v>11.3</v>
      </c>
      <c r="E112" s="29">
        <v>1.4513</v>
      </c>
      <c r="F112" s="43">
        <v>8.9</v>
      </c>
      <c r="G112" s="30">
        <f t="shared" si="111"/>
        <v>8.26844897677944</v>
      </c>
      <c r="H112" s="31">
        <f>(G112+G113)/2</f>
        <v>8.14360025942353</v>
      </c>
      <c r="I112" s="32">
        <f>ROUND((G112-G113)/H112*100,1)</f>
        <v>3.1</v>
      </c>
      <c r="J112" s="471">
        <f>G112-G113</f>
        <v>0.24969743471183</v>
      </c>
    </row>
    <row r="113" spans="1:10">
      <c r="A113" s="458"/>
      <c r="B113" s="33"/>
      <c r="C113" s="34"/>
      <c r="D113" s="28">
        <v>11.3</v>
      </c>
      <c r="E113" s="29">
        <v>1.6212</v>
      </c>
      <c r="F113" s="43">
        <v>8.7</v>
      </c>
      <c r="G113" s="30">
        <f t="shared" si="111"/>
        <v>8.01875154206761</v>
      </c>
      <c r="H113" s="35"/>
      <c r="I113" s="36"/>
      <c r="J113" s="472"/>
    </row>
    <row r="114" ht="25.5" customHeight="1" spans="1:10">
      <c r="A114" s="457"/>
      <c r="B114" s="412" t="s">
        <v>538</v>
      </c>
      <c r="C114" s="459"/>
      <c r="D114" s="413">
        <v>11.3</v>
      </c>
      <c r="E114" s="414">
        <v>1.1867</v>
      </c>
      <c r="F114" s="474">
        <v>7.7</v>
      </c>
      <c r="G114" s="460">
        <f t="shared" ref="G114:G115" si="112">(D114-F114)*250*100*100/E114/10/1000/50</f>
        <v>15.1681132552456</v>
      </c>
      <c r="H114" s="461">
        <f>(G114+G115)/2</f>
        <v>15.2827665735238</v>
      </c>
      <c r="I114" s="469">
        <f>ROUND((G114-G115)/H114*100,1)</f>
        <v>-1.5</v>
      </c>
      <c r="J114" s="475">
        <f>G114-G115</f>
        <v>-0.229306636556277</v>
      </c>
    </row>
    <row r="115" customHeight="1" spans="1:10">
      <c r="A115" s="458"/>
      <c r="B115" s="415"/>
      <c r="C115" s="462"/>
      <c r="D115" s="413">
        <v>11.3</v>
      </c>
      <c r="E115" s="414">
        <v>1.2015</v>
      </c>
      <c r="F115" s="474">
        <v>7.6</v>
      </c>
      <c r="G115" s="460">
        <f t="shared" si="112"/>
        <v>15.3974198918019</v>
      </c>
      <c r="H115" s="463"/>
      <c r="I115" s="470"/>
      <c r="J115" s="476"/>
    </row>
    <row r="116" customHeight="1" spans="1:10">
      <c r="A116" s="457"/>
      <c r="B116" s="412" t="s">
        <v>539</v>
      </c>
      <c r="C116" s="459"/>
      <c r="D116" s="413">
        <v>11.3</v>
      </c>
      <c r="E116" s="414">
        <v>1.4513</v>
      </c>
      <c r="F116" s="474">
        <v>6.8</v>
      </c>
      <c r="G116" s="460">
        <f t="shared" ref="G116:G120" si="113">(D116-F116)*250*100*100/E116/10/1000/50</f>
        <v>15.5033418314615</v>
      </c>
      <c r="H116" s="461">
        <f>(G116+G117)/2</f>
        <v>15.6391429809338</v>
      </c>
      <c r="I116" s="469">
        <f>ROUND((G116-G117)/H116*100,1)</f>
        <v>-1.7</v>
      </c>
      <c r="J116" s="475">
        <f>G116-G117</f>
        <v>-0.271602298944751</v>
      </c>
    </row>
    <row r="117" customHeight="1" spans="1:10">
      <c r="A117" s="458"/>
      <c r="B117" s="415"/>
      <c r="C117" s="462"/>
      <c r="D117" s="413">
        <v>11.3</v>
      </c>
      <c r="E117" s="414">
        <v>1.5214</v>
      </c>
      <c r="F117" s="474">
        <v>6.5</v>
      </c>
      <c r="G117" s="460">
        <f t="shared" si="113"/>
        <v>15.7749441304062</v>
      </c>
      <c r="H117" s="463"/>
      <c r="I117" s="470"/>
      <c r="J117" s="476"/>
    </row>
    <row r="118" spans="1:10">
      <c r="A118" s="457"/>
      <c r="B118" s="26" t="s">
        <v>540</v>
      </c>
      <c r="C118" s="27" t="s">
        <v>541</v>
      </c>
      <c r="D118" s="28">
        <v>11.3</v>
      </c>
      <c r="E118" s="29">
        <v>1.517</v>
      </c>
      <c r="F118" s="43">
        <v>6.4</v>
      </c>
      <c r="G118" s="30">
        <f t="shared" si="113"/>
        <v>16.1502966381015</v>
      </c>
      <c r="H118" s="31">
        <f>(G118+G119)/2</f>
        <v>16.2279910460997</v>
      </c>
      <c r="I118" s="32">
        <f>ROUND((G118-G119)/H118*100,1)</f>
        <v>-1</v>
      </c>
      <c r="J118" s="471">
        <f>G118-G119</f>
        <v>-0.155388815996449</v>
      </c>
    </row>
    <row r="119" spans="1:10">
      <c r="A119" s="458"/>
      <c r="B119" s="33"/>
      <c r="C119" s="34"/>
      <c r="D119" s="28">
        <v>11.3</v>
      </c>
      <c r="E119" s="29">
        <v>1.6252</v>
      </c>
      <c r="F119" s="43">
        <v>6</v>
      </c>
      <c r="G119" s="30">
        <f t="shared" si="113"/>
        <v>16.305685454098</v>
      </c>
      <c r="H119" s="35"/>
      <c r="I119" s="36"/>
      <c r="J119" s="472"/>
    </row>
    <row r="120" spans="1:10">
      <c r="A120" s="457"/>
      <c r="B120" s="26" t="s">
        <v>542</v>
      </c>
      <c r="C120" s="27"/>
      <c r="D120" s="28">
        <v>11.3</v>
      </c>
      <c r="E120" s="29">
        <v>0.542</v>
      </c>
      <c r="F120" s="43">
        <v>4.9</v>
      </c>
      <c r="G120" s="30">
        <f t="shared" si="113"/>
        <v>59.0405904059041</v>
      </c>
      <c r="H120" s="31">
        <f>(G120+G121)/2</f>
        <v>59.0405904059041</v>
      </c>
      <c r="I120" s="32">
        <f>ROUND((G120-G121)/H120*100,1)</f>
        <v>0</v>
      </c>
      <c r="J120" s="471">
        <f>G120-G121</f>
        <v>0</v>
      </c>
    </row>
    <row r="121" spans="1:10">
      <c r="A121" s="458"/>
      <c r="B121" s="33"/>
      <c r="C121" s="34"/>
      <c r="D121" s="28">
        <v>11.3</v>
      </c>
      <c r="E121" s="29">
        <v>0.542</v>
      </c>
      <c r="F121" s="43">
        <v>4.9</v>
      </c>
      <c r="G121" s="30">
        <f t="shared" ref="G121" si="114">(D121-F121)*250*100*100/E121/10/1000/50</f>
        <v>59.0405904059041</v>
      </c>
      <c r="H121" s="35"/>
      <c r="I121" s="36"/>
      <c r="J121" s="472"/>
    </row>
    <row r="122" spans="1:10">
      <c r="A122" s="457"/>
      <c r="B122" s="26" t="s">
        <v>543</v>
      </c>
      <c r="C122" s="27"/>
      <c r="D122" s="28">
        <v>11.3</v>
      </c>
      <c r="E122" s="29">
        <v>21.9087</v>
      </c>
      <c r="F122" s="43">
        <v>11</v>
      </c>
      <c r="G122" s="30">
        <f t="shared" ref="G122:G127" si="115">(D122-F122)*250*100*100/E122/10/1000/50</f>
        <v>0.0684659518821292</v>
      </c>
      <c r="H122" s="31">
        <f>(G122+G123)/2</f>
        <v>0.0684659518821292</v>
      </c>
      <c r="I122" s="32">
        <f>ROUND((G122-G123)/H122*100,1)</f>
        <v>0</v>
      </c>
      <c r="J122" s="471">
        <f>G122-G123</f>
        <v>0</v>
      </c>
    </row>
    <row r="123" spans="1:10">
      <c r="A123" s="458"/>
      <c r="B123" s="33"/>
      <c r="C123" s="34"/>
      <c r="D123" s="28">
        <v>11.3</v>
      </c>
      <c r="E123" s="29">
        <v>21.9087</v>
      </c>
      <c r="F123" s="43">
        <v>11</v>
      </c>
      <c r="G123" s="30">
        <f t="shared" si="115"/>
        <v>0.0684659518821292</v>
      </c>
      <c r="H123" s="35"/>
      <c r="I123" s="36"/>
      <c r="J123" s="472"/>
    </row>
    <row r="124" spans="1:10">
      <c r="A124" s="457"/>
      <c r="B124" s="26" t="s">
        <v>544</v>
      </c>
      <c r="C124" s="27"/>
      <c r="D124" s="28">
        <v>11.3</v>
      </c>
      <c r="E124" s="29">
        <v>5.3672</v>
      </c>
      <c r="F124" s="43">
        <v>9.8</v>
      </c>
      <c r="G124" s="30">
        <f t="shared" si="115"/>
        <v>1.3973766582203</v>
      </c>
      <c r="H124" s="31">
        <f>(G124+G125)/2</f>
        <v>1.39067238579748</v>
      </c>
      <c r="I124" s="32">
        <f>ROUND((G124-G125)/H124*100,1)</f>
        <v>1</v>
      </c>
      <c r="J124" s="471">
        <f>G124-G125</f>
        <v>0.0134085448456329</v>
      </c>
    </row>
    <row r="125" spans="1:10">
      <c r="A125" s="458"/>
      <c r="B125" s="33"/>
      <c r="C125" s="34"/>
      <c r="D125" s="28">
        <v>11.3</v>
      </c>
      <c r="E125" s="29">
        <v>5.4192</v>
      </c>
      <c r="F125" s="43">
        <v>9.8</v>
      </c>
      <c r="G125" s="30">
        <f t="shared" si="115"/>
        <v>1.38396811337467</v>
      </c>
      <c r="H125" s="35"/>
      <c r="I125" s="36"/>
      <c r="J125" s="472"/>
    </row>
    <row r="126" spans="1:10">
      <c r="A126" s="457"/>
      <c r="B126" s="26" t="s">
        <v>545</v>
      </c>
      <c r="C126" s="27"/>
      <c r="D126" s="28">
        <v>11.3</v>
      </c>
      <c r="E126" s="29">
        <v>2.4101</v>
      </c>
      <c r="F126" s="43">
        <v>10.35</v>
      </c>
      <c r="G126" s="30">
        <f t="shared" si="115"/>
        <v>1.97087257790133</v>
      </c>
      <c r="H126" s="31">
        <f>(G126+G127)/2</f>
        <v>1.93335087685727</v>
      </c>
      <c r="I126" s="32">
        <f>ROUND((G126-G127)/H126*100,1)</f>
        <v>3.9</v>
      </c>
      <c r="J126" s="471">
        <f>G126-G127</f>
        <v>0.0750434020881212</v>
      </c>
    </row>
    <row r="127" spans="1:10">
      <c r="A127" s="458"/>
      <c r="B127" s="33"/>
      <c r="C127" s="34"/>
      <c r="D127" s="28">
        <v>11.3</v>
      </c>
      <c r="E127" s="29">
        <v>2.5055</v>
      </c>
      <c r="F127" s="43">
        <v>10.35</v>
      </c>
      <c r="G127" s="30">
        <f t="shared" si="115"/>
        <v>1.89582917581321</v>
      </c>
      <c r="H127" s="35"/>
      <c r="I127" s="36"/>
      <c r="J127" s="472"/>
    </row>
    <row r="128" spans="1:10">
      <c r="A128" s="457"/>
      <c r="B128" s="26" t="s">
        <v>546</v>
      </c>
      <c r="C128" s="27" t="s">
        <v>547</v>
      </c>
      <c r="D128" s="28">
        <v>11.1</v>
      </c>
      <c r="E128" s="29">
        <v>2.5563</v>
      </c>
      <c r="F128" s="43">
        <v>9.7</v>
      </c>
      <c r="G128" s="30">
        <f t="shared" ref="G128:G129" si="116">(D128-F128)*250*100*100/E128/10/1000/50</f>
        <v>2.73833274654775</v>
      </c>
      <c r="H128" s="31">
        <f>(G128+G129)/2</f>
        <v>2.68306567603131</v>
      </c>
      <c r="I128" s="32">
        <f>ROUND((G128-G129)/H128*100,1)</f>
        <v>4.1</v>
      </c>
      <c r="J128" s="471">
        <f>G128-G129</f>
        <v>0.110534141032873</v>
      </c>
    </row>
    <row r="129" spans="1:10">
      <c r="A129" s="458"/>
      <c r="B129" s="33"/>
      <c r="C129" s="34"/>
      <c r="D129" s="28">
        <v>11.1</v>
      </c>
      <c r="E129" s="29">
        <v>2.8541</v>
      </c>
      <c r="F129" s="43">
        <v>9.6</v>
      </c>
      <c r="G129" s="30">
        <f t="shared" si="116"/>
        <v>2.62779860551487</v>
      </c>
      <c r="H129" s="35"/>
      <c r="I129" s="36"/>
      <c r="J129" s="472"/>
    </row>
    <row r="130" spans="1:10">
      <c r="A130" s="457"/>
      <c r="B130" s="26" t="s">
        <v>548</v>
      </c>
      <c r="C130" s="27"/>
      <c r="D130" s="28">
        <v>11.1</v>
      </c>
      <c r="E130" s="29">
        <v>2.5769</v>
      </c>
      <c r="F130" s="43">
        <v>9.45</v>
      </c>
      <c r="G130" s="30">
        <f t="shared" ref="G130:G131" si="117">(D130-F130)*250*100*100/E130/10/1000/50</f>
        <v>3.20152120765261</v>
      </c>
      <c r="H130" s="31">
        <f>(G130+G131)/2</f>
        <v>3.21290739711977</v>
      </c>
      <c r="I130" s="32">
        <f>ROUND((G130-G131)/H130*100,1)</f>
        <v>-0.7</v>
      </c>
      <c r="J130" s="471">
        <f>G130-G131</f>
        <v>-0.0227723789343335</v>
      </c>
    </row>
    <row r="131" spans="1:10">
      <c r="A131" s="458"/>
      <c r="B131" s="33"/>
      <c r="C131" s="34"/>
      <c r="D131" s="28">
        <v>11.1</v>
      </c>
      <c r="E131" s="29">
        <v>2.5587</v>
      </c>
      <c r="F131" s="43">
        <v>9.45</v>
      </c>
      <c r="G131" s="30">
        <f t="shared" si="117"/>
        <v>3.22429358658694</v>
      </c>
      <c r="H131" s="35"/>
      <c r="I131" s="36"/>
      <c r="J131" s="472"/>
    </row>
    <row r="132" spans="1:10">
      <c r="A132" s="457"/>
      <c r="B132" s="26" t="s">
        <v>549</v>
      </c>
      <c r="C132" s="27"/>
      <c r="D132" s="28">
        <v>11.2</v>
      </c>
      <c r="E132" s="29">
        <v>4.4453</v>
      </c>
      <c r="F132" s="43">
        <v>9.8</v>
      </c>
      <c r="G132" s="30">
        <f t="shared" ref="G132:G133" si="118">(D132-F132)*250*100*100/E132/10/1000/50</f>
        <v>1.57469687085236</v>
      </c>
      <c r="H132" s="31">
        <f>(G132+G133)/2</f>
        <v>1.56269678836475</v>
      </c>
      <c r="I132" s="32">
        <f>ROUND((G132-G133)/H132*100,1)</f>
        <v>1.5</v>
      </c>
      <c r="J132" s="471">
        <f>G132-G133</f>
        <v>0.0240001649752206</v>
      </c>
    </row>
    <row r="133" spans="1:10">
      <c r="A133" s="458"/>
      <c r="B133" s="33"/>
      <c r="C133" s="34"/>
      <c r="D133" s="28">
        <v>11.2</v>
      </c>
      <c r="E133" s="29">
        <v>4.5141</v>
      </c>
      <c r="F133" s="43">
        <v>9.8</v>
      </c>
      <c r="G133" s="30">
        <f t="shared" si="118"/>
        <v>1.55069670587714</v>
      </c>
      <c r="H133" s="35"/>
      <c r="I133" s="36"/>
      <c r="J133" s="472"/>
    </row>
    <row r="134" spans="1:10">
      <c r="A134" s="457"/>
      <c r="B134" s="26" t="s">
        <v>550</v>
      </c>
      <c r="C134" s="27"/>
      <c r="D134" s="28">
        <v>11.2</v>
      </c>
      <c r="E134" s="29">
        <v>3.7032</v>
      </c>
      <c r="F134" s="43">
        <v>9.1</v>
      </c>
      <c r="G134" s="43">
        <f t="shared" ref="G134:G135" si="119">(D134-F134)*250*100*100/E134/10/1000/50</f>
        <v>2.83538561244329</v>
      </c>
      <c r="H134" s="44">
        <f>(G134+G135)/2</f>
        <v>2.71474331336839</v>
      </c>
      <c r="I134" s="32">
        <f>ROUND((G134-G135)/H134*100,1)</f>
        <v>8.9</v>
      </c>
      <c r="J134" s="485">
        <f>G134-G135</f>
        <v>0.241284598149795</v>
      </c>
    </row>
    <row r="135" ht="23.25" customHeight="1" spans="1:10">
      <c r="A135" s="458"/>
      <c r="B135" s="33"/>
      <c r="C135" s="34"/>
      <c r="D135" s="28">
        <v>11.2</v>
      </c>
      <c r="E135" s="29">
        <v>3.8549</v>
      </c>
      <c r="F135" s="43">
        <v>9.2</v>
      </c>
      <c r="G135" s="43">
        <f t="shared" si="119"/>
        <v>2.5941010142935</v>
      </c>
      <c r="H135" s="45"/>
      <c r="I135" s="36"/>
      <c r="J135" s="486"/>
    </row>
    <row r="136" spans="1:10">
      <c r="A136" s="457"/>
      <c r="B136" s="26" t="s">
        <v>551</v>
      </c>
      <c r="C136" s="27"/>
      <c r="D136" s="28">
        <v>11.1</v>
      </c>
      <c r="E136" s="29">
        <v>5.7494</v>
      </c>
      <c r="F136" s="43">
        <v>9.55</v>
      </c>
      <c r="G136" s="43">
        <f t="shared" ref="G136:G137" si="120">(D136-F136)*250*100*100/E136/10/1000/50</f>
        <v>1.34796674435593</v>
      </c>
      <c r="H136" s="44">
        <f>(G136+G137)/2</f>
        <v>1.35399881510931</v>
      </c>
      <c r="I136" s="32">
        <f>ROUND((G136-G137)/H136*100,1)</f>
        <v>-0.9</v>
      </c>
      <c r="J136" s="485">
        <f>G136-G137</f>
        <v>-0.012064141506765</v>
      </c>
    </row>
    <row r="137" spans="1:10">
      <c r="A137" s="458"/>
      <c r="B137" s="33"/>
      <c r="C137" s="34"/>
      <c r="D137" s="28">
        <v>11.1</v>
      </c>
      <c r="E137" s="29">
        <v>5.6984</v>
      </c>
      <c r="F137" s="43">
        <v>9.55</v>
      </c>
      <c r="G137" s="43">
        <f t="shared" si="120"/>
        <v>1.3600308858627</v>
      </c>
      <c r="H137" s="45"/>
      <c r="I137" s="36"/>
      <c r="J137" s="486"/>
    </row>
    <row r="138" spans="1:10">
      <c r="A138" s="457"/>
      <c r="B138" s="26" t="s">
        <v>552</v>
      </c>
      <c r="C138" s="27"/>
      <c r="D138" s="28">
        <v>11.1</v>
      </c>
      <c r="E138" s="29">
        <v>2.6618</v>
      </c>
      <c r="F138" s="43">
        <v>3.15</v>
      </c>
      <c r="G138" s="43">
        <f t="shared" ref="G138:G139" si="121">(D138-F138)*250*100*100/E138/10/1000/50</f>
        <v>14.9335036441506</v>
      </c>
      <c r="H138" s="44">
        <f>(G138+G139)/2</f>
        <v>14.853521077251</v>
      </c>
      <c r="I138" s="32">
        <f>ROUND((G138-G139)/H138*100,1)</f>
        <v>1.1</v>
      </c>
      <c r="J138" s="485">
        <f>G138-G139</f>
        <v>0.159965133799179</v>
      </c>
    </row>
    <row r="139" spans="1:10">
      <c r="A139" s="458"/>
      <c r="B139" s="33"/>
      <c r="C139" s="34"/>
      <c r="D139" s="28">
        <v>11.1</v>
      </c>
      <c r="E139" s="29">
        <v>2.5214</v>
      </c>
      <c r="F139" s="43">
        <v>3.65</v>
      </c>
      <c r="G139" s="43">
        <f t="shared" si="121"/>
        <v>14.7735385103514</v>
      </c>
      <c r="H139" s="45"/>
      <c r="I139" s="36"/>
      <c r="J139" s="486"/>
    </row>
    <row r="140" ht="30" customHeight="1" spans="1:10">
      <c r="A140" s="457"/>
      <c r="B140" s="26" t="s">
        <v>553</v>
      </c>
      <c r="C140" s="27"/>
      <c r="D140" s="28">
        <v>10.8</v>
      </c>
      <c r="E140" s="29">
        <v>3.0379</v>
      </c>
      <c r="F140" s="43">
        <v>9.2</v>
      </c>
      <c r="G140" s="43">
        <f t="shared" ref="G140:G141" si="122">(D140-F140)*250*100*100/E140/10/1000/50</f>
        <v>2.63339807103592</v>
      </c>
      <c r="H140" s="44">
        <f>(G140+G141)/2</f>
        <v>2.59682192731557</v>
      </c>
      <c r="I140" s="32">
        <f>ROUND((G140-G141)/H140*100,1)</f>
        <v>2.8</v>
      </c>
      <c r="J140" s="485">
        <f>G140-G141</f>
        <v>0.073152287440688</v>
      </c>
    </row>
    <row r="141" spans="1:10">
      <c r="A141" s="458"/>
      <c r="B141" s="33"/>
      <c r="C141" s="34"/>
      <c r="D141" s="28">
        <v>10.8</v>
      </c>
      <c r="E141" s="29">
        <v>3.1247</v>
      </c>
      <c r="F141" s="43">
        <v>9.2</v>
      </c>
      <c r="G141" s="43">
        <f t="shared" si="122"/>
        <v>2.56024578359523</v>
      </c>
      <c r="H141" s="45"/>
      <c r="I141" s="36"/>
      <c r="J141" s="486"/>
    </row>
    <row r="142" spans="1:10">
      <c r="A142" s="457"/>
      <c r="B142" s="26" t="s">
        <v>415</v>
      </c>
      <c r="C142" s="27"/>
      <c r="D142" s="28">
        <v>10.8</v>
      </c>
      <c r="E142" s="29">
        <v>2.8225</v>
      </c>
      <c r="F142" s="43">
        <v>9.55</v>
      </c>
      <c r="G142" s="43">
        <f t="shared" ref="G142:G143" si="123">(D142-F142)*250*100*100/E142/10/1000/50</f>
        <v>2.21434898139947</v>
      </c>
      <c r="H142" s="44">
        <f>(G142+G143)/2</f>
        <v>2.23216549077173</v>
      </c>
      <c r="I142" s="32">
        <f>ROUND((G142-G143)/H142*100,1)</f>
        <v>-1.6</v>
      </c>
      <c r="J142" s="485">
        <f>G142-G143</f>
        <v>-0.0356330187445302</v>
      </c>
    </row>
    <row r="143" spans="1:10">
      <c r="A143" s="458"/>
      <c r="B143" s="33"/>
      <c r="C143" s="34"/>
      <c r="D143" s="28">
        <v>10.8</v>
      </c>
      <c r="E143" s="29">
        <v>2.7778</v>
      </c>
      <c r="F143" s="43">
        <v>9.55</v>
      </c>
      <c r="G143" s="43">
        <f t="shared" si="123"/>
        <v>2.249982000144</v>
      </c>
      <c r="H143" s="45"/>
      <c r="I143" s="36"/>
      <c r="J143" s="486"/>
    </row>
    <row r="145" s="448" customFormat="1" spans="1:13">
      <c r="A145" s="477"/>
      <c r="B145" s="478" t="s">
        <v>554</v>
      </c>
      <c r="C145" s="395"/>
      <c r="D145" s="282">
        <v>11</v>
      </c>
      <c r="E145" s="479">
        <v>6.3885</v>
      </c>
      <c r="F145" s="480">
        <v>7.2</v>
      </c>
      <c r="G145" s="480">
        <f t="shared" ref="G145:G155" si="124">(D145-F145)*250*100*100/E145/10/1000/50</f>
        <v>2.97409407529154</v>
      </c>
      <c r="H145" s="481">
        <f>(G145+G146)/2</f>
        <v>2.97409407529154</v>
      </c>
      <c r="I145" s="487">
        <f>ROUND((G145-G146)/H145*100,1)</f>
        <v>0</v>
      </c>
      <c r="J145" s="488">
        <f>G145-G146</f>
        <v>0</v>
      </c>
      <c r="K145" s="489"/>
      <c r="L145" s="490"/>
      <c r="M145" s="489"/>
    </row>
    <row r="146" s="448" customFormat="1" spans="1:13">
      <c r="A146" s="482"/>
      <c r="B146" s="483"/>
      <c r="C146" s="396"/>
      <c r="D146" s="282">
        <v>11</v>
      </c>
      <c r="E146" s="479">
        <v>6.3885</v>
      </c>
      <c r="F146" s="480">
        <v>7.2</v>
      </c>
      <c r="G146" s="480">
        <f t="shared" si="124"/>
        <v>2.97409407529154</v>
      </c>
      <c r="H146" s="484"/>
      <c r="I146" s="491"/>
      <c r="J146" s="492"/>
      <c r="K146" s="489"/>
      <c r="L146" s="490"/>
      <c r="M146" s="489"/>
    </row>
    <row r="147" customHeight="1" spans="1:10">
      <c r="A147" s="457"/>
      <c r="B147" s="26" t="s">
        <v>555</v>
      </c>
      <c r="C147" s="27"/>
      <c r="D147" s="282">
        <v>11</v>
      </c>
      <c r="E147" s="29">
        <v>5.4957</v>
      </c>
      <c r="F147" s="43">
        <v>8.8</v>
      </c>
      <c r="G147" s="43">
        <f t="shared" si="124"/>
        <v>2.00156485979948</v>
      </c>
      <c r="H147" s="44">
        <f>(G147+G148)/2</f>
        <v>1.98881821475944</v>
      </c>
      <c r="I147" s="32">
        <f>ROUND((G147-G148)/H147*100,1)</f>
        <v>1.3</v>
      </c>
      <c r="J147" s="485">
        <f>G147-G148</f>
        <v>0.0254932900800817</v>
      </c>
    </row>
    <row r="148" customHeight="1" spans="1:10">
      <c r="A148" s="458"/>
      <c r="B148" s="33"/>
      <c r="C148" s="34"/>
      <c r="D148" s="282">
        <v>11</v>
      </c>
      <c r="E148" s="29">
        <v>5.5666</v>
      </c>
      <c r="F148" s="43">
        <v>8.8</v>
      </c>
      <c r="G148" s="43">
        <f t="shared" si="124"/>
        <v>1.9760715697194</v>
      </c>
      <c r="H148" s="45"/>
      <c r="I148" s="36"/>
      <c r="J148" s="486"/>
    </row>
    <row r="149" customHeight="1" spans="1:10">
      <c r="A149" s="457"/>
      <c r="B149" s="26" t="s">
        <v>556</v>
      </c>
      <c r="C149" s="27"/>
      <c r="D149" s="282">
        <v>11</v>
      </c>
      <c r="E149" s="29">
        <v>4.7789</v>
      </c>
      <c r="F149" s="43">
        <v>9.2</v>
      </c>
      <c r="G149" s="43">
        <f t="shared" si="124"/>
        <v>1.88327857875243</v>
      </c>
      <c r="H149" s="44">
        <f>(G149+G150)/2</f>
        <v>1.86090714360076</v>
      </c>
      <c r="I149" s="32">
        <f>ROUND((G149-G150)/H149*100,1)</f>
        <v>2.4</v>
      </c>
      <c r="J149" s="485">
        <f>G149-G150</f>
        <v>0.0447428703033397</v>
      </c>
    </row>
    <row r="150" customHeight="1" spans="1:10">
      <c r="A150" s="458"/>
      <c r="B150" s="33"/>
      <c r="C150" s="34"/>
      <c r="D150" s="282">
        <v>11</v>
      </c>
      <c r="E150" s="29">
        <v>4.8952</v>
      </c>
      <c r="F150" s="43">
        <v>9.2</v>
      </c>
      <c r="G150" s="43">
        <f t="shared" si="124"/>
        <v>1.83853570844909</v>
      </c>
      <c r="H150" s="45"/>
      <c r="I150" s="36"/>
      <c r="J150" s="486"/>
    </row>
    <row r="151" customHeight="1" spans="1:10">
      <c r="A151" s="457"/>
      <c r="B151" s="26" t="s">
        <v>557</v>
      </c>
      <c r="C151" s="27"/>
      <c r="D151" s="282">
        <v>11</v>
      </c>
      <c r="E151" s="29">
        <v>6.5291</v>
      </c>
      <c r="F151" s="43">
        <v>8.55</v>
      </c>
      <c r="G151" s="43">
        <f t="shared" si="124"/>
        <v>1.87621571120062</v>
      </c>
      <c r="H151" s="44">
        <f>(G151+G152)/2</f>
        <v>1.82706447451731</v>
      </c>
      <c r="I151" s="32">
        <f>ROUND((G151-G152)/H151*100,1)</f>
        <v>5.4</v>
      </c>
      <c r="J151" s="485">
        <f>G151-G152</f>
        <v>0.0983024733666313</v>
      </c>
    </row>
    <row r="152" customHeight="1" spans="1:10">
      <c r="A152" s="458"/>
      <c r="B152" s="33"/>
      <c r="C152" s="34"/>
      <c r="D152" s="282">
        <v>11</v>
      </c>
      <c r="E152" s="29">
        <v>5.9058</v>
      </c>
      <c r="F152" s="43">
        <v>8.9</v>
      </c>
      <c r="G152" s="43">
        <f t="shared" si="124"/>
        <v>1.77791323783399</v>
      </c>
      <c r="H152" s="45"/>
      <c r="I152" s="36"/>
      <c r="J152" s="486"/>
    </row>
    <row r="153" customHeight="1" spans="1:10">
      <c r="A153" s="457"/>
      <c r="B153" s="26" t="s">
        <v>558</v>
      </c>
      <c r="C153" s="27"/>
      <c r="D153" s="282">
        <v>11</v>
      </c>
      <c r="E153" s="29">
        <v>5.0423</v>
      </c>
      <c r="F153" s="43">
        <v>9.15</v>
      </c>
      <c r="G153" s="43">
        <f t="shared" si="124"/>
        <v>1.83448029669</v>
      </c>
      <c r="H153" s="44">
        <f>(G153+G154)/2</f>
        <v>1.86918210994667</v>
      </c>
      <c r="I153" s="32">
        <f>ROUND((G153-G154)/H153*100,1)</f>
        <v>-3.7</v>
      </c>
      <c r="J153" s="485">
        <f>G153-G154</f>
        <v>-0.0694036265133335</v>
      </c>
    </row>
    <row r="154" customHeight="1" spans="1:10">
      <c r="A154" s="458"/>
      <c r="B154" s="33"/>
      <c r="C154" s="34"/>
      <c r="D154" s="282">
        <v>11</v>
      </c>
      <c r="E154" s="29">
        <v>4.9898</v>
      </c>
      <c r="F154" s="43">
        <v>9.1</v>
      </c>
      <c r="G154" s="43">
        <f t="shared" si="124"/>
        <v>1.90388392320334</v>
      </c>
      <c r="H154" s="45"/>
      <c r="I154" s="36"/>
      <c r="J154" s="486"/>
    </row>
    <row r="155" spans="1:10">
      <c r="A155" s="457"/>
      <c r="B155" s="26" t="s">
        <v>554</v>
      </c>
      <c r="C155" s="27"/>
      <c r="D155" s="282">
        <v>11</v>
      </c>
      <c r="E155" s="29">
        <v>7.7503</v>
      </c>
      <c r="F155" s="43">
        <v>9.2</v>
      </c>
      <c r="G155" s="43">
        <f t="shared" si="124"/>
        <v>1.16124537114692</v>
      </c>
      <c r="H155" s="44">
        <f>(G155+G156)/2</f>
        <v>1.17340582035438</v>
      </c>
      <c r="I155" s="32">
        <f>ROUND((G155-G156)/H155*100,1)</f>
        <v>-2.1</v>
      </c>
      <c r="J155" s="485">
        <f>G155-G156</f>
        <v>-0.0243208984149197</v>
      </c>
    </row>
    <row r="156" spans="1:10">
      <c r="A156" s="458"/>
      <c r="B156" s="33"/>
      <c r="C156" s="34"/>
      <c r="D156" s="282">
        <v>11</v>
      </c>
      <c r="E156" s="29">
        <v>6.9587</v>
      </c>
      <c r="F156" s="43">
        <v>9.35</v>
      </c>
      <c r="G156" s="43">
        <f t="shared" ref="G156:G157" si="125">(D156-F156)*250*100*100/E156/10/1000/50</f>
        <v>1.18556626956184</v>
      </c>
      <c r="H156" s="45"/>
      <c r="I156" s="36"/>
      <c r="J156" s="486"/>
    </row>
    <row r="157" spans="1:10">
      <c r="A157" s="457"/>
      <c r="B157" s="26" t="s">
        <v>559</v>
      </c>
      <c r="C157" s="27"/>
      <c r="D157" s="282">
        <v>11</v>
      </c>
      <c r="E157" s="29">
        <v>6.1155</v>
      </c>
      <c r="F157" s="43">
        <v>9.6</v>
      </c>
      <c r="G157" s="43">
        <f t="shared" si="125"/>
        <v>1.14463249121086</v>
      </c>
      <c r="H157" s="44">
        <f>(G157+G158)/2</f>
        <v>1.1173015092039</v>
      </c>
      <c r="I157" s="32">
        <f>ROUND((G157-G158)/H157*100,1)</f>
        <v>4.9</v>
      </c>
      <c r="J157" s="485">
        <f>G157-G158</f>
        <v>0.0546619640139132</v>
      </c>
    </row>
    <row r="158" spans="1:10">
      <c r="A158" s="458"/>
      <c r="B158" s="33"/>
      <c r="C158" s="34"/>
      <c r="D158" s="282">
        <v>11</v>
      </c>
      <c r="E158" s="29">
        <v>5.7341</v>
      </c>
      <c r="F158" s="43">
        <v>9.75</v>
      </c>
      <c r="G158" s="43">
        <f t="shared" ref="G158:G159" si="126">(D158-F158)*250*100*100/E158/10/1000/50</f>
        <v>1.08997052719694</v>
      </c>
      <c r="H158" s="45"/>
      <c r="I158" s="36"/>
      <c r="J158" s="486"/>
    </row>
    <row r="159" spans="1:10">
      <c r="A159" s="457"/>
      <c r="B159" s="26" t="s">
        <v>560</v>
      </c>
      <c r="C159" s="27"/>
      <c r="D159" s="282">
        <v>10.7</v>
      </c>
      <c r="E159" s="29">
        <v>4.6307</v>
      </c>
      <c r="F159" s="43">
        <v>7.2</v>
      </c>
      <c r="G159" s="43">
        <f t="shared" si="126"/>
        <v>3.7791262660073</v>
      </c>
      <c r="H159" s="44">
        <f>(G159+G160)/2</f>
        <v>3.82159960985233</v>
      </c>
      <c r="I159" s="32">
        <f>ROUND((G159-G160)/H159*100,1)</f>
        <v>-2.2</v>
      </c>
      <c r="J159" s="485">
        <f>G159-G160</f>
        <v>-0.0849466876900662</v>
      </c>
    </row>
    <row r="160" spans="1:10">
      <c r="A160" s="458"/>
      <c r="B160" s="33"/>
      <c r="C160" s="34"/>
      <c r="D160" s="282">
        <v>10.7</v>
      </c>
      <c r="E160" s="29">
        <v>4.5289</v>
      </c>
      <c r="F160" s="43">
        <v>7.2</v>
      </c>
      <c r="G160" s="43">
        <f t="shared" ref="G160:G163" si="127">(D160-F160)*250*100*100/E160/10/1000/50</f>
        <v>3.86407295369736</v>
      </c>
      <c r="H160" s="45"/>
      <c r="I160" s="36"/>
      <c r="J160" s="486"/>
    </row>
    <row r="161" ht="18.75" customHeight="1" spans="4:10">
      <c r="D161" s="450">
        <v>10.7</v>
      </c>
      <c r="E161" s="450">
        <v>3.8565</v>
      </c>
      <c r="F161" s="451">
        <v>8.5</v>
      </c>
      <c r="G161" s="452">
        <f t="shared" si="127"/>
        <v>2.85232723972514</v>
      </c>
      <c r="H161" s="44">
        <f>(G161+G162)/2</f>
        <v>2.8077260413647</v>
      </c>
      <c r="I161" s="32">
        <f>ROUND((G161-G162)/H161*100,1)</f>
        <v>3.2</v>
      </c>
      <c r="J161" s="485">
        <f>G161-G162</f>
        <v>0.0892023967208688</v>
      </c>
    </row>
    <row r="162" spans="4:10">
      <c r="D162" s="450">
        <v>10.7</v>
      </c>
      <c r="E162" s="450">
        <v>3.981</v>
      </c>
      <c r="F162" s="451">
        <v>8.5</v>
      </c>
      <c r="G162" s="452">
        <f t="shared" si="127"/>
        <v>2.76312484300427</v>
      </c>
      <c r="H162" s="45"/>
      <c r="I162" s="36"/>
      <c r="J162" s="486"/>
    </row>
    <row r="163" spans="1:10">
      <c r="A163" s="457"/>
      <c r="B163" s="26" t="s">
        <v>561</v>
      </c>
      <c r="C163" s="27"/>
      <c r="D163" s="282">
        <v>10.8</v>
      </c>
      <c r="E163" s="29">
        <v>4.2213</v>
      </c>
      <c r="F163" s="43">
        <v>9.3</v>
      </c>
      <c r="G163" s="43">
        <f t="shared" si="127"/>
        <v>1.77670385900078</v>
      </c>
      <c r="H163" s="44">
        <f>(G163+G164)/2</f>
        <v>1.71748039703409</v>
      </c>
      <c r="I163" s="32">
        <f>ROUND((G163-G164)/H163*100,1)</f>
        <v>6.9</v>
      </c>
      <c r="J163" s="485">
        <f>G163-G164</f>
        <v>0.118446923933385</v>
      </c>
    </row>
    <row r="164" spans="1:10">
      <c r="A164" s="458"/>
      <c r="B164" s="33"/>
      <c r="C164" s="34"/>
      <c r="D164" s="282">
        <v>10.8</v>
      </c>
      <c r="E164" s="29">
        <v>4.2213</v>
      </c>
      <c r="F164" s="43">
        <v>9.4</v>
      </c>
      <c r="G164" s="43">
        <f t="shared" ref="G164:G174" si="128">(D164-F164)*250*100*100/E164/10/1000/50</f>
        <v>1.6582569350674</v>
      </c>
      <c r="H164" s="45"/>
      <c r="I164" s="36"/>
      <c r="J164" s="486"/>
    </row>
    <row r="165" spans="1:10">
      <c r="A165" s="457"/>
      <c r="B165" s="26" t="s">
        <v>562</v>
      </c>
      <c r="C165" s="27"/>
      <c r="D165" s="282">
        <v>10.8</v>
      </c>
      <c r="E165" s="29">
        <v>4.2213</v>
      </c>
      <c r="F165" s="43">
        <v>8.3</v>
      </c>
      <c r="G165" s="43">
        <f t="shared" si="128"/>
        <v>2.96117309833464</v>
      </c>
      <c r="H165" s="44">
        <f>(G165+G166)/2</f>
        <v>2.96723053955765</v>
      </c>
      <c r="I165" s="32">
        <f>ROUND((G165-G166)/H165*100,1)</f>
        <v>-0.4</v>
      </c>
      <c r="J165" s="485">
        <f>G165-G166</f>
        <v>-0.0121148824460295</v>
      </c>
    </row>
    <row r="166" spans="1:10">
      <c r="A166" s="458"/>
      <c r="B166" s="33"/>
      <c r="C166" s="34"/>
      <c r="D166" s="282">
        <v>10.8</v>
      </c>
      <c r="E166" s="29">
        <v>4.2041</v>
      </c>
      <c r="F166" s="43">
        <v>8.3</v>
      </c>
      <c r="G166" s="43">
        <f t="shared" si="128"/>
        <v>2.97328798078067</v>
      </c>
      <c r="H166" s="45"/>
      <c r="I166" s="36"/>
      <c r="J166" s="486"/>
    </row>
    <row r="167" customHeight="1" spans="1:10">
      <c r="A167" s="457"/>
      <c r="B167" s="26" t="s">
        <v>563</v>
      </c>
      <c r="C167" s="27"/>
      <c r="D167" s="282">
        <v>10.8</v>
      </c>
      <c r="E167" s="29">
        <v>3.1146</v>
      </c>
      <c r="F167" s="43">
        <v>9.15</v>
      </c>
      <c r="G167" s="43">
        <f t="shared" si="128"/>
        <v>2.64881525717588</v>
      </c>
      <c r="H167" s="44">
        <f>(G167+G168)/2</f>
        <v>2.69261221248791</v>
      </c>
      <c r="I167" s="32">
        <f>ROUND((G167-G168)/H167*100,1)</f>
        <v>-3.3</v>
      </c>
      <c r="J167" s="485">
        <f>G167-G168</f>
        <v>-0.0875939106240455</v>
      </c>
    </row>
    <row r="168" customHeight="1" spans="1:10">
      <c r="A168" s="458"/>
      <c r="B168" s="33"/>
      <c r="C168" s="34"/>
      <c r="D168" s="282">
        <v>10.8</v>
      </c>
      <c r="E168" s="29">
        <v>3.0149</v>
      </c>
      <c r="F168" s="43">
        <v>9.15</v>
      </c>
      <c r="G168" s="43">
        <f t="shared" si="128"/>
        <v>2.73640916779993</v>
      </c>
      <c r="H168" s="45"/>
      <c r="I168" s="36"/>
      <c r="J168" s="486"/>
    </row>
    <row r="169" customHeight="1" spans="1:10">
      <c r="A169" s="457"/>
      <c r="B169" s="26" t="s">
        <v>564</v>
      </c>
      <c r="C169" s="27"/>
      <c r="D169" s="282">
        <v>10.8</v>
      </c>
      <c r="E169" s="29">
        <v>3.5988</v>
      </c>
      <c r="F169" s="43">
        <v>9.5</v>
      </c>
      <c r="G169" s="43">
        <f t="shared" si="128"/>
        <v>1.80615760809159</v>
      </c>
      <c r="H169" s="44">
        <f>(G169+G170)/2</f>
        <v>1.81840299523205</v>
      </c>
      <c r="I169" s="32">
        <f>ROUND((G169-G170)/H169*100,1)</f>
        <v>-1.3</v>
      </c>
      <c r="J169" s="485">
        <f>G169-G170</f>
        <v>-0.0244907742809357</v>
      </c>
    </row>
    <row r="170" customHeight="1" spans="1:10">
      <c r="A170" s="458"/>
      <c r="B170" s="33"/>
      <c r="C170" s="34"/>
      <c r="D170" s="282">
        <v>10.8</v>
      </c>
      <c r="E170" s="29">
        <v>3.0044</v>
      </c>
      <c r="F170" s="43">
        <v>9.7</v>
      </c>
      <c r="G170" s="43">
        <f t="shared" si="128"/>
        <v>1.83064838237252</v>
      </c>
      <c r="H170" s="45"/>
      <c r="I170" s="36"/>
      <c r="J170" s="486"/>
    </row>
    <row r="171" customHeight="1" spans="1:10">
      <c r="A171" s="457"/>
      <c r="B171" s="26" t="s">
        <v>565</v>
      </c>
      <c r="C171" s="27"/>
      <c r="D171" s="282">
        <v>10.8</v>
      </c>
      <c r="E171" s="29">
        <v>3.7495</v>
      </c>
      <c r="F171" s="43">
        <v>8.3</v>
      </c>
      <c r="G171" s="43">
        <f t="shared" si="128"/>
        <v>3.33377783704494</v>
      </c>
      <c r="H171" s="44">
        <f>(G171+G172)/2</f>
        <v>3.32801848662878</v>
      </c>
      <c r="I171" s="32">
        <f>ROUND((G171-G172)/H171*100,1)</f>
        <v>0.3</v>
      </c>
      <c r="J171" s="485">
        <f>G171-G172</f>
        <v>0.0115187008323145</v>
      </c>
    </row>
    <row r="172" customHeight="1" spans="1:10">
      <c r="A172" s="458"/>
      <c r="B172" s="33"/>
      <c r="C172" s="34"/>
      <c r="D172" s="282">
        <v>10.8</v>
      </c>
      <c r="E172" s="29">
        <v>4.214</v>
      </c>
      <c r="F172" s="43">
        <v>8</v>
      </c>
      <c r="G172" s="43">
        <f t="shared" si="128"/>
        <v>3.32225913621262</v>
      </c>
      <c r="H172" s="45"/>
      <c r="I172" s="36"/>
      <c r="J172" s="486"/>
    </row>
    <row r="173" customHeight="1" spans="1:10">
      <c r="A173" s="457"/>
      <c r="B173" s="26" t="s">
        <v>566</v>
      </c>
      <c r="C173" s="27"/>
      <c r="D173" s="282">
        <v>10.8</v>
      </c>
      <c r="E173" s="29">
        <v>3.7294</v>
      </c>
      <c r="F173" s="43">
        <v>8.6</v>
      </c>
      <c r="G173" s="43">
        <f t="shared" si="128"/>
        <v>2.94953611841047</v>
      </c>
      <c r="H173" s="44">
        <f>(G173+G174)/2</f>
        <v>2.98166209943931</v>
      </c>
      <c r="I173" s="32">
        <f>ROUND((G173-G174)/H173*100,1)</f>
        <v>-2.2</v>
      </c>
      <c r="J173" s="485">
        <f>G173-G174</f>
        <v>-0.064251962057674</v>
      </c>
    </row>
    <row r="174" customHeight="1" spans="1:10">
      <c r="A174" s="458"/>
      <c r="B174" s="33"/>
      <c r="C174" s="34"/>
      <c r="D174" s="282">
        <v>10.8</v>
      </c>
      <c r="E174" s="29">
        <v>3.9817</v>
      </c>
      <c r="F174" s="43">
        <v>8.4</v>
      </c>
      <c r="G174" s="43">
        <f t="shared" si="128"/>
        <v>3.01378808046814</v>
      </c>
      <c r="H174" s="45"/>
      <c r="I174" s="36"/>
      <c r="J174" s="486"/>
    </row>
    <row r="175" spans="1:10">
      <c r="A175" s="457"/>
      <c r="B175" s="26" t="s">
        <v>567</v>
      </c>
      <c r="C175" s="27"/>
      <c r="D175" s="282">
        <v>10.8</v>
      </c>
      <c r="E175" s="29">
        <v>5.5263</v>
      </c>
      <c r="F175" s="43">
        <v>8.3</v>
      </c>
      <c r="G175" s="43">
        <f t="shared" ref="G175:G176" si="129">(D175-F175)*250*100*100/E175/10/1000/50</f>
        <v>2.26191122450826</v>
      </c>
      <c r="H175" s="44">
        <f>(G175+G176)/2</f>
        <v>2.22511883347065</v>
      </c>
      <c r="I175" s="32">
        <f>ROUND((G175-G176)/H175*100,1)</f>
        <v>3.3</v>
      </c>
      <c r="J175" s="485">
        <f>G175-G176</f>
        <v>0.0735847820752125</v>
      </c>
    </row>
    <row r="176" spans="1:10">
      <c r="A176" s="458"/>
      <c r="B176" s="33"/>
      <c r="C176" s="34"/>
      <c r="D176" s="282">
        <v>10.8</v>
      </c>
      <c r="E176" s="29">
        <v>5.3694</v>
      </c>
      <c r="F176" s="43">
        <v>8.45</v>
      </c>
      <c r="G176" s="43">
        <f t="shared" si="129"/>
        <v>2.18832644243305</v>
      </c>
      <c r="H176" s="45"/>
      <c r="I176" s="36"/>
      <c r="J176" s="486"/>
    </row>
    <row r="177" spans="1:10">
      <c r="A177" s="457"/>
      <c r="B177" s="26" t="s">
        <v>568</v>
      </c>
      <c r="C177" s="27"/>
      <c r="D177" s="282">
        <v>10.8</v>
      </c>
      <c r="E177" s="29">
        <v>5.5218</v>
      </c>
      <c r="F177" s="43">
        <v>9.5</v>
      </c>
      <c r="G177" s="43">
        <f t="shared" ref="G177:G180" si="130">(D177-F177)*250*100*100/E177/10/1000/50</f>
        <v>1.1771523778478</v>
      </c>
      <c r="H177" s="44">
        <f>(G177+G178)/2</f>
        <v>1.16229106759568</v>
      </c>
      <c r="I177" s="32">
        <f>ROUND((G177-G178)/H177*100,1)</f>
        <v>2.6</v>
      </c>
      <c r="J177" s="485">
        <f>G177-G178</f>
        <v>0.0297226205042531</v>
      </c>
    </row>
    <row r="178" spans="1:10">
      <c r="A178" s="458"/>
      <c r="B178" s="33"/>
      <c r="C178" s="34"/>
      <c r="D178" s="282">
        <v>10.8</v>
      </c>
      <c r="E178" s="29">
        <v>5.0112</v>
      </c>
      <c r="F178" s="43">
        <v>9.65</v>
      </c>
      <c r="G178" s="43">
        <f t="shared" si="130"/>
        <v>1.14742975734355</v>
      </c>
      <c r="H178" s="45"/>
      <c r="I178" s="36"/>
      <c r="J178" s="486"/>
    </row>
    <row r="179" ht="42.75" customHeight="1" spans="1:10">
      <c r="A179" s="457"/>
      <c r="B179" s="26" t="s">
        <v>569</v>
      </c>
      <c r="C179" s="27"/>
      <c r="D179" s="282">
        <v>10.8</v>
      </c>
      <c r="E179" s="29">
        <v>4.9005</v>
      </c>
      <c r="F179" s="43">
        <v>9</v>
      </c>
      <c r="G179" s="43">
        <f t="shared" si="130"/>
        <v>1.83654729109275</v>
      </c>
      <c r="H179" s="44">
        <f>(G179+G180)/2</f>
        <v>1.83225760005028</v>
      </c>
      <c r="I179" s="32">
        <f>ROUND((G179-G180)/H179*100,1)</f>
        <v>0.5</v>
      </c>
      <c r="J179" s="485">
        <f>G179-G180</f>
        <v>0.00857938208492581</v>
      </c>
    </row>
    <row r="180" spans="1:10">
      <c r="A180" s="458"/>
      <c r="B180" s="33"/>
      <c r="C180" s="34"/>
      <c r="D180" s="282">
        <v>10.8</v>
      </c>
      <c r="E180" s="29">
        <v>4.9235</v>
      </c>
      <c r="F180" s="43">
        <v>9</v>
      </c>
      <c r="G180" s="43">
        <f t="shared" si="130"/>
        <v>1.82796790900782</v>
      </c>
      <c r="H180" s="45"/>
      <c r="I180" s="36"/>
      <c r="J180" s="486"/>
    </row>
    <row r="181" spans="1:10">
      <c r="A181" s="457"/>
      <c r="B181" s="26" t="s">
        <v>570</v>
      </c>
      <c r="C181" s="27"/>
      <c r="D181" s="282">
        <v>10.8</v>
      </c>
      <c r="E181" s="29">
        <v>5.7031</v>
      </c>
      <c r="F181" s="43">
        <v>9.1</v>
      </c>
      <c r="G181" s="43">
        <f t="shared" ref="G181:G186" si="131">(D181-F181)*250*100*100/E181/10/1000/50</f>
        <v>1.49041749224106</v>
      </c>
      <c r="H181" s="44">
        <f>(G181+G182)/2</f>
        <v>1.49176580064555</v>
      </c>
      <c r="I181" s="32">
        <f>ROUND((G181-G182)/H181*100,1)</f>
        <v>-0.2</v>
      </c>
      <c r="J181" s="485">
        <f>G181-G182</f>
        <v>-0.00269661680896616</v>
      </c>
    </row>
    <row r="182" spans="1:10">
      <c r="A182" s="458"/>
      <c r="B182" s="33"/>
      <c r="C182" s="34"/>
      <c r="D182" s="282">
        <v>10.8</v>
      </c>
      <c r="E182" s="29">
        <v>5.6928</v>
      </c>
      <c r="F182" s="43">
        <v>9.1</v>
      </c>
      <c r="G182" s="43">
        <f t="shared" si="131"/>
        <v>1.49311410905003</v>
      </c>
      <c r="H182" s="45"/>
      <c r="I182" s="36"/>
      <c r="J182" s="486"/>
    </row>
    <row r="183" spans="1:10">
      <c r="A183" s="457"/>
      <c r="B183" s="26" t="s">
        <v>571</v>
      </c>
      <c r="C183" s="27"/>
      <c r="D183" s="282">
        <v>10.8</v>
      </c>
      <c r="E183" s="29">
        <v>7.1381</v>
      </c>
      <c r="F183" s="43">
        <v>8.4</v>
      </c>
      <c r="G183" s="43">
        <f t="shared" si="131"/>
        <v>1.6811196256707</v>
      </c>
      <c r="H183" s="44">
        <f>(G183+G184)/2</f>
        <v>1.67347668773123</v>
      </c>
      <c r="I183" s="32">
        <f>ROUND((G183-G184)/H183*100,1)</f>
        <v>0.9</v>
      </c>
      <c r="J183" s="485">
        <f>G183-G184</f>
        <v>0.015285875878926</v>
      </c>
    </row>
    <row r="184" spans="1:10">
      <c r="A184" s="458"/>
      <c r="B184" s="33"/>
      <c r="C184" s="34"/>
      <c r="D184" s="282">
        <v>10.8</v>
      </c>
      <c r="E184" s="29">
        <v>7.2036</v>
      </c>
      <c r="F184" s="43">
        <v>8.4</v>
      </c>
      <c r="G184" s="43">
        <f t="shared" si="131"/>
        <v>1.66583374979177</v>
      </c>
      <c r="H184" s="45"/>
      <c r="I184" s="36"/>
      <c r="J184" s="486"/>
    </row>
    <row r="185" customHeight="1" spans="1:10">
      <c r="A185" s="457"/>
      <c r="B185" s="26" t="s">
        <v>572</v>
      </c>
      <c r="C185" s="27"/>
      <c r="D185" s="282">
        <v>10.8</v>
      </c>
      <c r="E185" s="29">
        <v>5.7675</v>
      </c>
      <c r="F185" s="43">
        <v>7.6</v>
      </c>
      <c r="G185" s="43">
        <f t="shared" si="131"/>
        <v>2.77416558300824</v>
      </c>
      <c r="H185" s="44">
        <f>(G185+G186)/2</f>
        <v>2.74996801953185</v>
      </c>
      <c r="I185" s="32">
        <f>ROUND((G185-G186)/H185*100,1)</f>
        <v>1.8</v>
      </c>
      <c r="J185" s="485">
        <f>G185-G186</f>
        <v>0.0483951269527667</v>
      </c>
    </row>
    <row r="186" customHeight="1" spans="1:10">
      <c r="A186" s="458"/>
      <c r="B186" s="33"/>
      <c r="C186" s="34"/>
      <c r="D186" s="282">
        <v>10.8</v>
      </c>
      <c r="E186" s="29">
        <v>5.8699</v>
      </c>
      <c r="F186" s="43">
        <v>7.6</v>
      </c>
      <c r="G186" s="43">
        <f t="shared" si="131"/>
        <v>2.72577045605547</v>
      </c>
      <c r="H186" s="45"/>
      <c r="I186" s="36"/>
      <c r="J186" s="486"/>
    </row>
    <row r="187" customHeight="1" spans="1:10">
      <c r="A187" s="457"/>
      <c r="B187" s="26" t="s">
        <v>573</v>
      </c>
      <c r="C187" s="27"/>
      <c r="D187" s="282">
        <v>10.8</v>
      </c>
      <c r="E187" s="29">
        <v>5.3092</v>
      </c>
      <c r="F187" s="43">
        <v>8.8</v>
      </c>
      <c r="G187" s="43">
        <f t="shared" ref="G187:G188" si="132">(D187-F187)*250*100*100/E187/10/1000/50</f>
        <v>1.88352294130943</v>
      </c>
      <c r="H187" s="44">
        <f>(G187+G188)/2</f>
        <v>1.90350337759657</v>
      </c>
      <c r="I187" s="32">
        <f>ROUND((G187-G188)/H187*100,1)</f>
        <v>-2.1</v>
      </c>
      <c r="J187" s="485">
        <f>G187-G188</f>
        <v>-0.039960872574281</v>
      </c>
    </row>
    <row r="188" customHeight="1" spans="1:10">
      <c r="A188" s="458"/>
      <c r="B188" s="33"/>
      <c r="C188" s="34"/>
      <c r="D188" s="282">
        <v>10.8</v>
      </c>
      <c r="E188" s="29">
        <v>5.1989</v>
      </c>
      <c r="F188" s="43">
        <v>8.8</v>
      </c>
      <c r="G188" s="43">
        <f t="shared" si="132"/>
        <v>1.92348381388371</v>
      </c>
      <c r="H188" s="45"/>
      <c r="I188" s="36"/>
      <c r="J188" s="486"/>
    </row>
    <row r="189" spans="1:10">
      <c r="A189" s="457"/>
      <c r="B189" s="26" t="s">
        <v>574</v>
      </c>
      <c r="C189" s="27"/>
      <c r="D189" s="282">
        <v>11</v>
      </c>
      <c r="E189" s="29">
        <v>3.376</v>
      </c>
      <c r="F189" s="43">
        <v>9.3</v>
      </c>
      <c r="G189" s="43">
        <f t="shared" ref="G189:G190" si="133">(D189-F189)*250*100*100/E189/10/1000/50</f>
        <v>2.51777251184834</v>
      </c>
      <c r="H189" s="44">
        <f>(G189+G190)/2</f>
        <v>2.54978944556154</v>
      </c>
      <c r="I189" s="32">
        <f>ROUND((G189-G190)/H189*100,1)</f>
        <v>-2.5</v>
      </c>
      <c r="J189" s="485">
        <f>G189-G190</f>
        <v>-0.0640338674263932</v>
      </c>
    </row>
    <row r="190" spans="1:10">
      <c r="A190" s="458"/>
      <c r="B190" s="33"/>
      <c r="C190" s="34"/>
      <c r="D190" s="282">
        <v>11</v>
      </c>
      <c r="E190" s="29">
        <v>3.3891</v>
      </c>
      <c r="F190" s="43">
        <v>9.25</v>
      </c>
      <c r="G190" s="43">
        <f t="shared" si="133"/>
        <v>2.58180637927473</v>
      </c>
      <c r="H190" s="45"/>
      <c r="I190" s="36"/>
      <c r="J190" s="486"/>
    </row>
    <row r="191" spans="1:10">
      <c r="A191" s="457"/>
      <c r="B191" s="26" t="s">
        <v>575</v>
      </c>
      <c r="C191" s="27"/>
      <c r="D191" s="282">
        <v>11</v>
      </c>
      <c r="E191" s="29">
        <v>1.3029</v>
      </c>
      <c r="F191" s="43">
        <v>4.8</v>
      </c>
      <c r="G191" s="43">
        <f>(D191-F191)*200*100*100/E191/10/1000/50</f>
        <v>19.0344615856935</v>
      </c>
      <c r="H191" s="44">
        <f>(G191+G192)/2</f>
        <v>18.9335620176886</v>
      </c>
      <c r="I191" s="32">
        <f>ROUND((G191-G192)/H191*100,1)</f>
        <v>1.1</v>
      </c>
      <c r="J191" s="485">
        <f>G191-G192</f>
        <v>0.201799136009729</v>
      </c>
    </row>
    <row r="192" spans="1:10">
      <c r="A192" s="458"/>
      <c r="B192" s="33"/>
      <c r="C192" s="34"/>
      <c r="D192" s="282">
        <v>11</v>
      </c>
      <c r="E192" s="29">
        <v>1.3912</v>
      </c>
      <c r="F192" s="43">
        <v>4.45</v>
      </c>
      <c r="G192" s="43">
        <f>(D192-F192)*200*100*100/E192/10/1000/50</f>
        <v>18.8326624496837</v>
      </c>
      <c r="H192" s="45"/>
      <c r="I192" s="36"/>
      <c r="J192" s="486"/>
    </row>
    <row r="193" spans="1:10">
      <c r="A193" s="449">
        <v>11.14</v>
      </c>
      <c r="B193" s="26" t="s">
        <v>574</v>
      </c>
      <c r="C193" s="27"/>
      <c r="D193" s="282">
        <v>11</v>
      </c>
      <c r="E193" s="29">
        <v>3.376</v>
      </c>
      <c r="F193" s="43">
        <v>9.3</v>
      </c>
      <c r="G193" s="43">
        <f t="shared" ref="G193:G194" si="134">(D193-F193)*250*100*100/E193/10/1000/50</f>
        <v>2.51777251184834</v>
      </c>
      <c r="H193" s="44">
        <f>(G193+G194)/2</f>
        <v>2.54978944556154</v>
      </c>
      <c r="I193" s="32">
        <f>ROUND((G193-G194)/H193*100,1)</f>
        <v>-2.5</v>
      </c>
      <c r="J193" s="485">
        <f>G193-G194</f>
        <v>-0.0640338674263932</v>
      </c>
    </row>
    <row r="194" spans="2:10">
      <c r="B194" s="33"/>
      <c r="C194" s="34"/>
      <c r="D194" s="282">
        <v>11</v>
      </c>
      <c r="E194" s="29">
        <v>3.3891</v>
      </c>
      <c r="F194" s="43">
        <v>9.25</v>
      </c>
      <c r="G194" s="43">
        <f t="shared" si="134"/>
        <v>2.58180637927473</v>
      </c>
      <c r="H194" s="45"/>
      <c r="I194" s="36"/>
      <c r="J194" s="486"/>
    </row>
    <row r="195" spans="2:11">
      <c r="B195" s="26" t="s">
        <v>575</v>
      </c>
      <c r="C195" s="27"/>
      <c r="D195" s="282">
        <v>11</v>
      </c>
      <c r="E195" s="29">
        <v>1.3029</v>
      </c>
      <c r="F195" s="43">
        <v>4.8</v>
      </c>
      <c r="G195" s="43">
        <f t="shared" ref="G195:G200" si="135">(D195-F195)*200*100*100/E195/10/1000/50</f>
        <v>19.0344615856935</v>
      </c>
      <c r="H195" s="44">
        <f>(G195+G196)/2</f>
        <v>18.9335620176886</v>
      </c>
      <c r="I195" s="32">
        <f>ROUND((G195-G196)/H195*100,1)</f>
        <v>1.1</v>
      </c>
      <c r="J195" s="485">
        <f>G195-G196</f>
        <v>0.201799136009729</v>
      </c>
      <c r="K195" s="493" t="s">
        <v>576</v>
      </c>
    </row>
    <row r="196" spans="2:10">
      <c r="B196" s="33"/>
      <c r="C196" s="34"/>
      <c r="D196" s="282">
        <v>11</v>
      </c>
      <c r="E196" s="29">
        <v>1.3912</v>
      </c>
      <c r="F196" s="43">
        <v>4.45</v>
      </c>
      <c r="G196" s="43">
        <f t="shared" si="135"/>
        <v>18.8326624496837</v>
      </c>
      <c r="H196" s="45"/>
      <c r="I196" s="36"/>
      <c r="J196" s="486"/>
    </row>
    <row r="197" spans="2:11">
      <c r="B197" s="26" t="s">
        <v>577</v>
      </c>
      <c r="C197" s="27"/>
      <c r="D197" s="282">
        <v>11</v>
      </c>
      <c r="E197" s="29">
        <v>5.8252</v>
      </c>
      <c r="F197" s="43">
        <v>9.3</v>
      </c>
      <c r="G197" s="43">
        <f t="shared" si="135"/>
        <v>1.16734189384055</v>
      </c>
      <c r="H197" s="44">
        <f>(G197+G198)/2</f>
        <v>1.20995101259505</v>
      </c>
      <c r="I197" s="32">
        <f>ROUND((G197-G198)/H197*100,1)</f>
        <v>-7</v>
      </c>
      <c r="J197" s="485">
        <f>G197-G198</f>
        <v>-0.0852182375089943</v>
      </c>
      <c r="K197" s="493" t="s">
        <v>576</v>
      </c>
    </row>
    <row r="198" spans="2:10">
      <c r="B198" s="33"/>
      <c r="C198" s="34"/>
      <c r="D198" s="282">
        <v>11</v>
      </c>
      <c r="E198" s="29">
        <v>5.9079</v>
      </c>
      <c r="F198" s="43">
        <v>9.15</v>
      </c>
      <c r="G198" s="43">
        <f t="shared" si="135"/>
        <v>1.25256013134955</v>
      </c>
      <c r="H198" s="45"/>
      <c r="I198" s="36"/>
      <c r="J198" s="486"/>
    </row>
    <row r="199" spans="1:10">
      <c r="A199" s="449">
        <v>11.24</v>
      </c>
      <c r="B199" s="26" t="s">
        <v>578</v>
      </c>
      <c r="C199" s="27"/>
      <c r="D199" s="282">
        <v>11.1</v>
      </c>
      <c r="E199" s="29">
        <v>2.4442</v>
      </c>
      <c r="F199" s="43">
        <v>9.55</v>
      </c>
      <c r="G199" s="43">
        <f t="shared" si="135"/>
        <v>2.53661729809344</v>
      </c>
      <c r="H199" s="44">
        <f>(G199+G200)/2</f>
        <v>2.51397800168793</v>
      </c>
      <c r="I199" s="32">
        <f>ROUND((G199-G200)/H199*100,1)</f>
        <v>1.8</v>
      </c>
      <c r="J199" s="485">
        <f>G199-G200</f>
        <v>0.045278592811028</v>
      </c>
    </row>
    <row r="200" spans="2:10">
      <c r="B200" s="33"/>
      <c r="C200" s="34"/>
      <c r="D200" s="282">
        <v>11.1</v>
      </c>
      <c r="E200" s="29">
        <v>2.5689</v>
      </c>
      <c r="F200" s="43">
        <v>9.5</v>
      </c>
      <c r="G200" s="43">
        <f t="shared" si="135"/>
        <v>2.49133870528242</v>
      </c>
      <c r="H200" s="45"/>
      <c r="I200" s="36"/>
      <c r="J200" s="486"/>
    </row>
    <row r="201" spans="2:10">
      <c r="B201" s="26" t="s">
        <v>579</v>
      </c>
      <c r="C201" s="27"/>
      <c r="D201" s="282">
        <v>11.1</v>
      </c>
      <c r="E201" s="29">
        <v>5.3169</v>
      </c>
      <c r="F201" s="43">
        <v>5.25</v>
      </c>
      <c r="G201" s="43">
        <f t="shared" ref="G201:G211" si="136">(D201-F201)*250*100*100/E201/10/1000/50</f>
        <v>5.50132596061615</v>
      </c>
      <c r="H201" s="44">
        <f>(G201+G202)/2</f>
        <v>5.50132596061615</v>
      </c>
      <c r="I201" s="32">
        <f>ROUND((G201-G202)/H201*100,1)</f>
        <v>0</v>
      </c>
      <c r="J201" s="485">
        <f>G201-G202</f>
        <v>0</v>
      </c>
    </row>
    <row r="202" spans="2:10">
      <c r="B202" s="33"/>
      <c r="C202" s="34"/>
      <c r="D202" s="282">
        <v>11.1</v>
      </c>
      <c r="E202" s="29">
        <v>5.3169</v>
      </c>
      <c r="F202" s="43">
        <v>5.25</v>
      </c>
      <c r="G202" s="43">
        <f t="shared" si="136"/>
        <v>5.50132596061615</v>
      </c>
      <c r="H202" s="45"/>
      <c r="I202" s="36"/>
      <c r="J202" s="486"/>
    </row>
    <row r="203" spans="2:10">
      <c r="B203" s="26" t="s">
        <v>580</v>
      </c>
      <c r="C203" s="27"/>
      <c r="D203" s="282">
        <v>11</v>
      </c>
      <c r="E203" s="29">
        <v>8.0066</v>
      </c>
      <c r="F203" s="43">
        <v>8.5</v>
      </c>
      <c r="G203" s="43">
        <f t="shared" si="136"/>
        <v>1.56121200009992</v>
      </c>
      <c r="H203" s="44">
        <f>(G203+G204)/2</f>
        <v>1.52820537538915</v>
      </c>
      <c r="I203" s="32">
        <f>ROUND((G203-G204)/H203*100,1)</f>
        <v>4.3</v>
      </c>
      <c r="J203" s="485">
        <f>G203-G204</f>
        <v>0.0660132494215406</v>
      </c>
    </row>
    <row r="204" spans="2:10">
      <c r="B204" s="33"/>
      <c r="C204" s="34"/>
      <c r="D204" s="282">
        <v>11</v>
      </c>
      <c r="E204" s="29">
        <v>9.0289</v>
      </c>
      <c r="F204" s="43">
        <v>8.3</v>
      </c>
      <c r="G204" s="43">
        <f t="shared" si="136"/>
        <v>1.49519875067838</v>
      </c>
      <c r="H204" s="45"/>
      <c r="I204" s="36"/>
      <c r="J204" s="486"/>
    </row>
    <row r="205" spans="1:10">
      <c r="A205" s="449">
        <v>1.12</v>
      </c>
      <c r="B205" s="26" t="s">
        <v>581</v>
      </c>
      <c r="C205" s="27"/>
      <c r="D205" s="282">
        <v>11.1</v>
      </c>
      <c r="E205" s="29">
        <v>2.8572</v>
      </c>
      <c r="F205" s="43">
        <v>10.6</v>
      </c>
      <c r="G205" s="43">
        <f t="shared" si="136"/>
        <v>0.874982500349993</v>
      </c>
      <c r="H205" s="44">
        <f>(G205+G206)/2</f>
        <v>0.885972935813797</v>
      </c>
      <c r="I205" s="32">
        <f>ROUND((G205-G206)/H205*100,1)</f>
        <v>-2.5</v>
      </c>
      <c r="J205" s="485">
        <f>G205-G206</f>
        <v>-0.0219808709276073</v>
      </c>
    </row>
    <row r="206" spans="2:10">
      <c r="B206" s="33"/>
      <c r="C206" s="34"/>
      <c r="D206" s="282">
        <v>11.1</v>
      </c>
      <c r="E206" s="29">
        <v>3.0659</v>
      </c>
      <c r="F206" s="43">
        <v>10.55</v>
      </c>
      <c r="G206" s="43">
        <f t="shared" si="136"/>
        <v>0.8969633712776</v>
      </c>
      <c r="H206" s="45"/>
      <c r="I206" s="36"/>
      <c r="J206" s="486"/>
    </row>
    <row r="207" spans="2:10">
      <c r="B207" s="26" t="s">
        <v>582</v>
      </c>
      <c r="C207" s="27"/>
      <c r="D207" s="282">
        <v>11.1</v>
      </c>
      <c r="E207" s="29">
        <v>3.8069</v>
      </c>
      <c r="F207" s="43">
        <v>8.35</v>
      </c>
      <c r="G207" s="43">
        <f t="shared" si="136"/>
        <v>3.61186267041425</v>
      </c>
      <c r="H207" s="44">
        <f>(G207+G208)/2</f>
        <v>3.59866478894132</v>
      </c>
      <c r="I207" s="32">
        <f>ROUND((G207-G208)/H207*100,1)</f>
        <v>0.7</v>
      </c>
      <c r="J207" s="485">
        <f>G207-G208</f>
        <v>0.0263957629458549</v>
      </c>
    </row>
    <row r="208" spans="2:10">
      <c r="B208" s="33"/>
      <c r="C208" s="34"/>
      <c r="D208" s="282">
        <v>11.1</v>
      </c>
      <c r="E208" s="29">
        <v>3.7652</v>
      </c>
      <c r="F208" s="43">
        <v>8.4</v>
      </c>
      <c r="G208" s="43">
        <f t="shared" si="136"/>
        <v>3.58546690746839</v>
      </c>
      <c r="H208" s="45"/>
      <c r="I208" s="36"/>
      <c r="J208" s="486"/>
    </row>
    <row r="209" spans="2:10">
      <c r="B209" s="26" t="s">
        <v>583</v>
      </c>
      <c r="C209" s="27"/>
      <c r="D209" s="282">
        <v>11.1</v>
      </c>
      <c r="E209" s="29">
        <v>4.2581</v>
      </c>
      <c r="F209" s="43">
        <v>8.8</v>
      </c>
      <c r="G209" s="43">
        <f t="shared" si="136"/>
        <v>2.70073506963199</v>
      </c>
      <c r="H209" s="44">
        <f>(G209+G210)/2</f>
        <v>2.74431779070544</v>
      </c>
      <c r="I209" s="32">
        <f>ROUND((G209-G210)/H209*100,1)</f>
        <v>-3.2</v>
      </c>
      <c r="J209" s="485">
        <f>G209-G210</f>
        <v>-0.0871654421468837</v>
      </c>
    </row>
    <row r="210" spans="2:10">
      <c r="B210" s="33"/>
      <c r="C210" s="34"/>
      <c r="D210" s="282">
        <v>11.1</v>
      </c>
      <c r="E210" s="29">
        <v>5.0217</v>
      </c>
      <c r="F210" s="43">
        <v>8.3</v>
      </c>
      <c r="G210" s="43">
        <f t="shared" si="136"/>
        <v>2.78790051177888</v>
      </c>
      <c r="H210" s="45"/>
      <c r="I210" s="36"/>
      <c r="J210" s="486"/>
    </row>
    <row r="211" spans="1:10">
      <c r="A211" s="449">
        <v>1.15</v>
      </c>
      <c r="B211" s="26" t="s">
        <v>131</v>
      </c>
      <c r="C211" s="27"/>
      <c r="D211" s="282">
        <v>11.1</v>
      </c>
      <c r="E211" s="29">
        <v>1.9952</v>
      </c>
      <c r="F211" s="43">
        <v>8.2</v>
      </c>
      <c r="G211" s="43">
        <f t="shared" si="136"/>
        <v>7.26744186046512</v>
      </c>
      <c r="H211" s="44">
        <f>(G211+G212)/2</f>
        <v>7.31578681466478</v>
      </c>
      <c r="I211" s="32">
        <f>ROUND((G211-G212)/H211*100,1)</f>
        <v>-1.3</v>
      </c>
      <c r="J211" s="485">
        <f>G211-G212</f>
        <v>-0.0966899083993331</v>
      </c>
    </row>
    <row r="212" spans="2:10">
      <c r="B212" s="33"/>
      <c r="C212" s="34"/>
      <c r="D212" s="282">
        <v>11.1</v>
      </c>
      <c r="E212" s="29">
        <v>2.0369</v>
      </c>
      <c r="F212" s="43">
        <v>8.1</v>
      </c>
      <c r="G212" s="43">
        <f t="shared" ref="G212:G213" si="137">(D212-F212)*250*100*100/E212/10/1000/50</f>
        <v>7.36413176886445</v>
      </c>
      <c r="H212" s="45"/>
      <c r="I212" s="36"/>
      <c r="J212" s="486"/>
    </row>
    <row r="213" customHeight="1" spans="2:10">
      <c r="B213" s="26" t="s">
        <v>132</v>
      </c>
      <c r="C213" s="27"/>
      <c r="D213" s="282">
        <v>11.1</v>
      </c>
      <c r="E213" s="29">
        <v>1.8987</v>
      </c>
      <c r="F213" s="43">
        <v>5.5</v>
      </c>
      <c r="G213" s="43">
        <f t="shared" si="137"/>
        <v>14.7469321114447</v>
      </c>
      <c r="H213" s="44">
        <f t="shared" ref="H213" si="138">(G213+G214)/2</f>
        <v>14.6020111187799</v>
      </c>
      <c r="I213" s="32">
        <f t="shared" ref="I213" si="139">ROUND((G213-G214)/H213*100,1)</f>
        <v>2</v>
      </c>
      <c r="J213" s="485">
        <f t="shared" ref="J213" si="140">G213-G214</f>
        <v>0.289841985329636</v>
      </c>
    </row>
    <row r="214" customHeight="1" spans="2:10">
      <c r="B214" s="33"/>
      <c r="C214" s="34"/>
      <c r="D214" s="282">
        <v>11.1</v>
      </c>
      <c r="E214" s="29">
        <v>1.6255</v>
      </c>
      <c r="F214" s="43">
        <v>6.4</v>
      </c>
      <c r="G214" s="43">
        <f t="shared" ref="G214:G217" si="141">(D214-F214)*250*100*100/E214/10/1000/50</f>
        <v>14.457090126115</v>
      </c>
      <c r="H214" s="45"/>
      <c r="I214" s="36"/>
      <c r="J214" s="486"/>
    </row>
    <row r="215" customHeight="1" spans="2:10">
      <c r="B215" s="26" t="s">
        <v>133</v>
      </c>
      <c r="C215" s="27"/>
      <c r="D215" s="282">
        <v>11.1</v>
      </c>
      <c r="E215" s="29">
        <v>1.6474</v>
      </c>
      <c r="F215" s="43">
        <v>5.6</v>
      </c>
      <c r="G215" s="43">
        <f t="shared" si="141"/>
        <v>16.6929707417749</v>
      </c>
      <c r="H215" s="44">
        <f t="shared" ref="H215" si="142">(G215+G216)/2</f>
        <v>16.7194802589537</v>
      </c>
      <c r="I215" s="32">
        <f t="shared" ref="I215" si="143">ROUND((G215-G216)/H215*100,1)</f>
        <v>-0.3</v>
      </c>
      <c r="J215" s="485">
        <f t="shared" ref="J215" si="144">G215-G216</f>
        <v>-0.0530190343576322</v>
      </c>
    </row>
    <row r="216" customHeight="1" spans="2:10">
      <c r="B216" s="33"/>
      <c r="C216" s="34"/>
      <c r="D216" s="282">
        <v>11.1</v>
      </c>
      <c r="E216" s="29">
        <v>1.7019</v>
      </c>
      <c r="F216" s="43">
        <v>5.4</v>
      </c>
      <c r="G216" s="43">
        <f t="shared" si="141"/>
        <v>16.7459897761326</v>
      </c>
      <c r="H216" s="45"/>
      <c r="I216" s="36"/>
      <c r="J216" s="486"/>
    </row>
    <row r="217" customHeight="1" spans="2:10">
      <c r="B217" s="26" t="s">
        <v>584</v>
      </c>
      <c r="C217" s="27"/>
      <c r="D217" s="282">
        <v>11.1</v>
      </c>
      <c r="E217" s="29">
        <v>2.0533</v>
      </c>
      <c r="F217" s="43">
        <v>5.5</v>
      </c>
      <c r="G217" s="43">
        <f t="shared" si="141"/>
        <v>13.6365850094969</v>
      </c>
      <c r="H217" s="44">
        <f t="shared" ref="H217" si="145">(G217+G218)/2</f>
        <v>13.5972278551124</v>
      </c>
      <c r="I217" s="32">
        <f t="shared" ref="I217" si="146">ROUND((G217-G218)/H217*100,1)</f>
        <v>0.6</v>
      </c>
      <c r="J217" s="485">
        <f t="shared" ref="J217" si="147">G217-G218</f>
        <v>0.0787143087690669</v>
      </c>
    </row>
    <row r="218" customHeight="1" spans="2:10">
      <c r="B218" s="33"/>
      <c r="C218" s="34"/>
      <c r="D218" s="282">
        <v>11.1</v>
      </c>
      <c r="E218" s="29">
        <v>2.1021</v>
      </c>
      <c r="F218" s="43">
        <v>5.4</v>
      </c>
      <c r="G218" s="43">
        <f t="shared" ref="G218:G221" si="148">(D218-F218)*250*100*100/E218/10/1000/50</f>
        <v>13.5578707007278</v>
      </c>
      <c r="H218" s="45"/>
      <c r="I218" s="36"/>
      <c r="J218" s="486"/>
    </row>
    <row r="219" customHeight="1" spans="2:10">
      <c r="B219" s="26" t="s">
        <v>585</v>
      </c>
      <c r="C219" s="27"/>
      <c r="D219" s="282">
        <v>11.1</v>
      </c>
      <c r="E219" s="29">
        <v>1.8678</v>
      </c>
      <c r="F219" s="43">
        <v>5.3</v>
      </c>
      <c r="G219" s="43">
        <f t="shared" si="148"/>
        <v>15.5262876110933</v>
      </c>
      <c r="H219" s="44">
        <f t="shared" ref="H219" si="149">(G219+G220)/2</f>
        <v>15.5799672698521</v>
      </c>
      <c r="I219" s="32">
        <f t="shared" ref="I219" si="150">ROUND((G219-G220)/H219*100,1)</f>
        <v>-0.7</v>
      </c>
      <c r="J219" s="485">
        <f t="shared" ref="J219" si="151">G219-G220</f>
        <v>-0.107359317517691</v>
      </c>
    </row>
    <row r="220" customHeight="1" spans="2:10">
      <c r="B220" s="33"/>
      <c r="C220" s="34"/>
      <c r="D220" s="282">
        <v>11.1</v>
      </c>
      <c r="E220" s="29">
        <v>1.807</v>
      </c>
      <c r="F220" s="43">
        <v>5.45</v>
      </c>
      <c r="G220" s="43">
        <f t="shared" si="148"/>
        <v>15.633646928611</v>
      </c>
      <c r="H220" s="45"/>
      <c r="I220" s="36"/>
      <c r="J220" s="486"/>
    </row>
    <row r="221" spans="1:10">
      <c r="A221" s="449">
        <v>1.16</v>
      </c>
      <c r="B221" s="26" t="s">
        <v>586</v>
      </c>
      <c r="C221" s="27"/>
      <c r="D221" s="282">
        <v>10.7</v>
      </c>
      <c r="E221" s="29">
        <v>1.684</v>
      </c>
      <c r="F221" s="43">
        <v>7.1</v>
      </c>
      <c r="G221" s="43">
        <f t="shared" si="148"/>
        <v>10.6888361045131</v>
      </c>
      <c r="H221" s="44">
        <f t="shared" ref="H221" si="152">(G221+G222)/2</f>
        <v>10.7423205815594</v>
      </c>
      <c r="I221" s="32">
        <f t="shared" ref="I221" si="153">ROUND((G221-G222)/H221*100,1)</f>
        <v>-1</v>
      </c>
      <c r="J221" s="485">
        <f t="shared" ref="J221" si="154">G221-G222</f>
        <v>-0.106968954092734</v>
      </c>
    </row>
    <row r="222" spans="2:10">
      <c r="B222" s="33"/>
      <c r="C222" s="34"/>
      <c r="D222" s="282">
        <v>10.7</v>
      </c>
      <c r="E222" s="29">
        <v>1.621</v>
      </c>
      <c r="F222" s="43">
        <v>7.2</v>
      </c>
      <c r="G222" s="43">
        <f t="shared" ref="G222:G224" si="155">(D222-F222)*250*100*100/E222/10/1000/50</f>
        <v>10.7958050586058</v>
      </c>
      <c r="H222" s="45"/>
      <c r="I222" s="36"/>
      <c r="J222" s="486"/>
    </row>
    <row r="223" customHeight="1" spans="2:10">
      <c r="B223" s="26" t="s">
        <v>587</v>
      </c>
      <c r="C223" s="27"/>
      <c r="D223" s="282">
        <v>10.7</v>
      </c>
      <c r="E223" s="29">
        <v>1.5227</v>
      </c>
      <c r="F223" s="43">
        <v>7.65</v>
      </c>
      <c r="G223" s="43">
        <f t="shared" si="155"/>
        <v>10.0151047481447</v>
      </c>
      <c r="H223" s="44">
        <f t="shared" ref="H223" si="156">(G223+G224)/2</f>
        <v>10.0482081551261</v>
      </c>
      <c r="I223" s="32">
        <f t="shared" ref="I223" si="157">ROUND((G223-G224)/H223*100,1)</f>
        <v>-0.7</v>
      </c>
      <c r="J223" s="485">
        <f t="shared" ref="J223" si="158">G223-G224</f>
        <v>-0.0662068139627472</v>
      </c>
    </row>
    <row r="224" customHeight="1" spans="2:10">
      <c r="B224" s="33"/>
      <c r="C224" s="34"/>
      <c r="D224" s="282">
        <v>10.7</v>
      </c>
      <c r="E224" s="29">
        <v>1.5127</v>
      </c>
      <c r="F224" s="43">
        <v>7.65</v>
      </c>
      <c r="G224" s="43">
        <f t="shared" si="155"/>
        <v>10.0813115621075</v>
      </c>
      <c r="H224" s="45"/>
      <c r="I224" s="36"/>
      <c r="J224" s="486"/>
    </row>
    <row r="225" spans="1:10">
      <c r="A225" s="449">
        <v>1.23</v>
      </c>
      <c r="B225" s="26" t="s">
        <v>588</v>
      </c>
      <c r="C225" s="27"/>
      <c r="D225" s="282">
        <v>11</v>
      </c>
      <c r="E225" s="29">
        <v>2.5602</v>
      </c>
      <c r="F225" s="43">
        <v>9.6</v>
      </c>
      <c r="G225" s="43">
        <f t="shared" ref="G225:G226" si="159">(D225-F225)*250*100*100/E225/10/1000/50</f>
        <v>2.73416139364112</v>
      </c>
      <c r="H225" s="44">
        <f t="shared" ref="H225" si="160">(G225+G226)/2</f>
        <v>2.66610690828278</v>
      </c>
      <c r="I225" s="32">
        <f t="shared" ref="I225" si="161">ROUND((G225-G226)/H225*100,1)</f>
        <v>5.1</v>
      </c>
      <c r="J225" s="485">
        <f t="shared" ref="J225" si="162">G225-G226</f>
        <v>0.136108970716679</v>
      </c>
    </row>
    <row r="226" spans="2:10">
      <c r="B226" s="33"/>
      <c r="C226" s="34"/>
      <c r="D226" s="282">
        <v>11</v>
      </c>
      <c r="E226" s="29">
        <v>2.5981</v>
      </c>
      <c r="F226" s="43">
        <v>9.65</v>
      </c>
      <c r="G226" s="43">
        <f t="shared" si="159"/>
        <v>2.59805242292444</v>
      </c>
      <c r="H226" s="45"/>
      <c r="I226" s="36"/>
      <c r="J226" s="486"/>
    </row>
    <row r="227" spans="1:10">
      <c r="A227" s="449">
        <v>130</v>
      </c>
      <c r="B227" s="26" t="s">
        <v>589</v>
      </c>
      <c r="C227" s="27"/>
      <c r="D227" s="282">
        <v>11.1</v>
      </c>
      <c r="E227" s="29">
        <v>6.307</v>
      </c>
      <c r="F227" s="43">
        <v>10.2</v>
      </c>
      <c r="G227" s="43">
        <f t="shared" ref="G227:G230" si="163">(D227-F227)*250*100*100/E227/10/1000/50</f>
        <v>0.713492944347551</v>
      </c>
      <c r="H227" s="31">
        <f t="shared" ref="H227" si="164">(G227+G228)/2</f>
        <v>0.720100960812891</v>
      </c>
      <c r="I227" s="32">
        <f t="shared" ref="I227" si="165">ROUND((G227-G228)/H227*100,1)</f>
        <v>-1.8</v>
      </c>
      <c r="J227" s="485">
        <f t="shared" ref="J227" si="166">G227-G228</f>
        <v>-0.0132160329306815</v>
      </c>
    </row>
    <row r="228" spans="2:10">
      <c r="B228" s="33"/>
      <c r="C228" s="34"/>
      <c r="D228" s="282">
        <v>11.1</v>
      </c>
      <c r="E228" s="29">
        <v>8.2564</v>
      </c>
      <c r="F228" s="43">
        <v>9.9</v>
      </c>
      <c r="G228" s="43">
        <f t="shared" si="163"/>
        <v>0.726708977278232</v>
      </c>
      <c r="H228" s="35"/>
      <c r="I228" s="36"/>
      <c r="J228" s="486"/>
    </row>
    <row r="229" spans="1:10">
      <c r="A229" s="449">
        <v>210</v>
      </c>
      <c r="B229" s="26" t="s">
        <v>590</v>
      </c>
      <c r="C229" s="27"/>
      <c r="D229" s="282">
        <v>11</v>
      </c>
      <c r="E229" s="29">
        <v>3.1038</v>
      </c>
      <c r="F229" s="43">
        <v>9.8</v>
      </c>
      <c r="G229" s="43">
        <f t="shared" si="163"/>
        <v>1.933114247052</v>
      </c>
      <c r="H229" s="31">
        <f t="shared" ref="H229" si="167">(G229+G230)/2</f>
        <v>1.96229536385738</v>
      </c>
      <c r="I229" s="32">
        <f t="shared" ref="I229" si="168">ROUND((G229-G230)/H229*100,1)</f>
        <v>-3</v>
      </c>
      <c r="J229" s="485">
        <f t="shared" ref="J229" si="169">G229-G230</f>
        <v>-0.0583622336107639</v>
      </c>
    </row>
    <row r="230" spans="2:10">
      <c r="B230" s="33"/>
      <c r="C230" s="34"/>
      <c r="D230" s="282">
        <v>11</v>
      </c>
      <c r="E230" s="29">
        <v>5.0214</v>
      </c>
      <c r="F230" s="43">
        <v>9</v>
      </c>
      <c r="G230" s="43">
        <f t="shared" si="163"/>
        <v>1.99147648066276</v>
      </c>
      <c r="H230" s="35"/>
      <c r="I230" s="36"/>
      <c r="J230" s="486"/>
    </row>
    <row r="231" spans="1:10">
      <c r="A231" s="449">
        <v>2.12</v>
      </c>
      <c r="B231" s="26" t="s">
        <v>591</v>
      </c>
      <c r="C231" s="27"/>
      <c r="D231" s="282">
        <v>11</v>
      </c>
      <c r="E231" s="29">
        <v>6.939</v>
      </c>
      <c r="F231" s="43">
        <v>8.2</v>
      </c>
      <c r="G231" s="43">
        <f t="shared" ref="G231:G240" si="170">(D231-F231)*250*100*100/E231/10/1000/50</f>
        <v>2.01758178411875</v>
      </c>
      <c r="H231" s="31">
        <f>(G231+G232)/2</f>
        <v>2.02498220701094</v>
      </c>
      <c r="I231" s="32">
        <f>ROUND((G231-G232)/H231*100,1)</f>
        <v>-0.7</v>
      </c>
      <c r="J231" s="485">
        <f>G231-G232</f>
        <v>-0.0148008457843729</v>
      </c>
    </row>
    <row r="232" spans="2:10">
      <c r="B232" s="33"/>
      <c r="C232" s="34"/>
      <c r="D232" s="282">
        <v>11</v>
      </c>
      <c r="E232" s="29">
        <v>8.8566</v>
      </c>
      <c r="F232" s="43">
        <v>7.4</v>
      </c>
      <c r="G232" s="43">
        <f t="shared" si="170"/>
        <v>2.03238262990312</v>
      </c>
      <c r="H232" s="35"/>
      <c r="I232" s="36"/>
      <c r="J232" s="486"/>
    </row>
    <row r="233" spans="2:10">
      <c r="B233" s="26" t="s">
        <v>592</v>
      </c>
      <c r="C233" s="27"/>
      <c r="D233" s="282">
        <v>11</v>
      </c>
      <c r="E233" s="29">
        <v>10.7742</v>
      </c>
      <c r="F233" s="43">
        <v>6.6</v>
      </c>
      <c r="G233" s="43">
        <f t="shared" si="170"/>
        <v>2.04191494496111</v>
      </c>
      <c r="H233" s="31">
        <f>(G233+G234)/2</f>
        <v>2.0452408680588</v>
      </c>
      <c r="I233" s="32">
        <f>ROUND((G233-G234)/H233*100,1)</f>
        <v>-0.3</v>
      </c>
      <c r="J233" s="485">
        <f>G233-G234</f>
        <v>-0.00665184619538373</v>
      </c>
    </row>
    <row r="234" spans="2:10">
      <c r="B234" s="33"/>
      <c r="C234" s="34"/>
      <c r="D234" s="282">
        <v>11</v>
      </c>
      <c r="E234" s="29">
        <v>12.6918</v>
      </c>
      <c r="F234" s="43">
        <v>5.8</v>
      </c>
      <c r="G234" s="43">
        <f t="shared" si="170"/>
        <v>2.04856679115649</v>
      </c>
      <c r="H234" s="35"/>
      <c r="I234" s="36"/>
      <c r="J234" s="486"/>
    </row>
    <row r="235" spans="2:10">
      <c r="B235" s="26" t="s">
        <v>593</v>
      </c>
      <c r="C235" s="27"/>
      <c r="D235" s="282">
        <v>11</v>
      </c>
      <c r="E235" s="29">
        <v>14.6094</v>
      </c>
      <c r="F235" s="43">
        <v>5</v>
      </c>
      <c r="G235" s="43">
        <f t="shared" si="170"/>
        <v>2.05347242186537</v>
      </c>
      <c r="H235" s="31">
        <f t="shared" ref="H235:H239" si="171">(G235+G236)/2</f>
        <v>2.05535604514337</v>
      </c>
      <c r="I235" s="32">
        <f t="shared" ref="I235:I239" si="172">ROUND((G235-G236)/H235*100,1)</f>
        <v>-0.2</v>
      </c>
      <c r="J235" s="485">
        <f t="shared" ref="J235:J239" si="173">G235-G236</f>
        <v>-0.00376724655599725</v>
      </c>
    </row>
    <row r="236" spans="2:10">
      <c r="B236" s="33"/>
      <c r="C236" s="34"/>
      <c r="D236" s="282">
        <v>11</v>
      </c>
      <c r="E236" s="29">
        <v>16.527</v>
      </c>
      <c r="F236" s="43">
        <v>4.2</v>
      </c>
      <c r="G236" s="43">
        <f t="shared" si="170"/>
        <v>2.05723966842137</v>
      </c>
      <c r="H236" s="35"/>
      <c r="I236" s="36"/>
      <c r="J236" s="486"/>
    </row>
    <row r="237" spans="2:10">
      <c r="B237" s="26" t="s">
        <v>594</v>
      </c>
      <c r="C237" s="27"/>
      <c r="D237" s="282">
        <v>11</v>
      </c>
      <c r="E237" s="29">
        <v>18.4446</v>
      </c>
      <c r="F237" s="43">
        <v>3.39999999999999</v>
      </c>
      <c r="G237" s="43">
        <f t="shared" si="170"/>
        <v>2.06022358847576</v>
      </c>
      <c r="H237" s="31">
        <f t="shared" si="171"/>
        <v>2.06143453932437</v>
      </c>
      <c r="I237" s="32">
        <f t="shared" si="172"/>
        <v>-0.1</v>
      </c>
      <c r="J237" s="485">
        <f t="shared" si="173"/>
        <v>-0.00242190169720713</v>
      </c>
    </row>
    <row r="238" spans="2:10">
      <c r="B238" s="33"/>
      <c r="C238" s="34"/>
      <c r="D238" s="282">
        <v>11</v>
      </c>
      <c r="E238" s="29">
        <v>20.3622</v>
      </c>
      <c r="F238" s="43">
        <v>2.59999999999999</v>
      </c>
      <c r="G238" s="43">
        <f t="shared" si="170"/>
        <v>2.06264549017297</v>
      </c>
      <c r="H238" s="35"/>
      <c r="I238" s="36"/>
      <c r="J238" s="486"/>
    </row>
    <row r="239" spans="2:10">
      <c r="B239" s="26" t="s">
        <v>595</v>
      </c>
      <c r="C239" s="27"/>
      <c r="D239" s="282">
        <v>11</v>
      </c>
      <c r="E239" s="29">
        <v>7.0015</v>
      </c>
      <c r="F239" s="43">
        <v>9.5</v>
      </c>
      <c r="G239" s="43">
        <f t="shared" si="170"/>
        <v>1.07119902877955</v>
      </c>
      <c r="H239" s="31">
        <f t="shared" si="171"/>
        <v>1.104605745008</v>
      </c>
      <c r="I239" s="32">
        <f t="shared" si="172"/>
        <v>-6</v>
      </c>
      <c r="J239" s="485">
        <f t="shared" si="173"/>
        <v>-0.066813432456903</v>
      </c>
    </row>
    <row r="240" ht="19.5" customHeight="1" spans="2:10">
      <c r="B240" s="33"/>
      <c r="C240" s="34"/>
      <c r="D240" s="282">
        <v>11</v>
      </c>
      <c r="E240" s="29">
        <v>7.0298</v>
      </c>
      <c r="F240" s="43">
        <v>9.4</v>
      </c>
      <c r="G240" s="43">
        <f t="shared" si="170"/>
        <v>1.13801246123645</v>
      </c>
      <c r="H240" s="35"/>
      <c r="I240" s="36"/>
      <c r="J240" s="486"/>
    </row>
    <row r="241" spans="1:10">
      <c r="A241" s="449">
        <v>2.24</v>
      </c>
      <c r="B241" s="26" t="s">
        <v>596</v>
      </c>
      <c r="C241" s="27"/>
      <c r="D241" s="282">
        <v>11</v>
      </c>
      <c r="E241" s="29">
        <v>6.79</v>
      </c>
      <c r="F241" s="43">
        <v>9.1</v>
      </c>
      <c r="G241" s="43">
        <f t="shared" ref="G241:G244" si="174">(D241-F241)*250*100*100/E241/10/1000/50</f>
        <v>1.39911634756996</v>
      </c>
      <c r="H241" s="31">
        <f t="shared" ref="H241:H243" si="175">(G241+G242)/2</f>
        <v>1.40170356771119</v>
      </c>
      <c r="I241" s="32">
        <f t="shared" ref="I241:I243" si="176">ROUND((G241-G242)/H241*100,1)</f>
        <v>-0.4</v>
      </c>
      <c r="J241" s="485">
        <f t="shared" ref="J241:J243" si="177">G241-G242</f>
        <v>-0.00517444028247582</v>
      </c>
    </row>
    <row r="242" spans="2:10">
      <c r="B242" s="33"/>
      <c r="C242" s="34"/>
      <c r="D242" s="282">
        <v>11</v>
      </c>
      <c r="E242" s="29">
        <v>5.5188</v>
      </c>
      <c r="F242" s="43">
        <v>9.45</v>
      </c>
      <c r="G242" s="43">
        <f t="shared" si="174"/>
        <v>1.40429078785243</v>
      </c>
      <c r="H242" s="35"/>
      <c r="I242" s="36"/>
      <c r="J242" s="486"/>
    </row>
    <row r="243" spans="4:10">
      <c r="D243" s="450">
        <v>11.3</v>
      </c>
      <c r="E243" s="450">
        <v>4.1589</v>
      </c>
      <c r="F243" s="451">
        <v>8.9</v>
      </c>
      <c r="G243" s="452">
        <f t="shared" si="174"/>
        <v>2.88537834523552</v>
      </c>
      <c r="H243" s="31">
        <f t="shared" si="175"/>
        <v>3.00938568112268</v>
      </c>
      <c r="I243" s="32">
        <f t="shared" si="176"/>
        <v>-8.2</v>
      </c>
      <c r="J243" s="485">
        <f t="shared" si="177"/>
        <v>-0.24801467177433</v>
      </c>
    </row>
    <row r="244" spans="4:10">
      <c r="D244" s="450">
        <v>11.3</v>
      </c>
      <c r="E244" s="450">
        <v>4.468</v>
      </c>
      <c r="F244" s="451">
        <v>8.5</v>
      </c>
      <c r="G244" s="452">
        <f t="shared" si="174"/>
        <v>3.13339301700985</v>
      </c>
      <c r="H244" s="35"/>
      <c r="I244" s="36"/>
      <c r="J244" s="486"/>
    </row>
    <row r="245" spans="1:10">
      <c r="A245" s="449">
        <v>3.2</v>
      </c>
      <c r="B245" s="26" t="s">
        <v>597</v>
      </c>
      <c r="C245" s="27"/>
      <c r="D245" s="282">
        <v>11</v>
      </c>
      <c r="E245" s="29">
        <v>6.307</v>
      </c>
      <c r="F245" s="43">
        <v>7.3</v>
      </c>
      <c r="G245" s="43">
        <f t="shared" ref="G245:G246" si="178">(D245-F245)*250*100*100/E245/10/1000/50</f>
        <v>2.9332487712066</v>
      </c>
      <c r="H245" s="31">
        <f t="shared" ref="H245" si="179">(G245+G246)/2</f>
        <v>2.9135744346897</v>
      </c>
      <c r="I245" s="32">
        <f t="shared" ref="I245" si="180">ROUND((G245-G246)/H245*100,1)</f>
        <v>1.4</v>
      </c>
      <c r="J245" s="485">
        <f t="shared" ref="J245" si="181">G245-G246</f>
        <v>0.0393486730337815</v>
      </c>
    </row>
    <row r="246" spans="2:10">
      <c r="B246" s="33"/>
      <c r="C246" s="34"/>
      <c r="D246" s="282">
        <v>11</v>
      </c>
      <c r="E246" s="29">
        <v>6.8247</v>
      </c>
      <c r="F246" s="43">
        <v>7.05</v>
      </c>
      <c r="G246" s="43">
        <f t="shared" si="178"/>
        <v>2.89390009817281</v>
      </c>
      <c r="H246" s="35"/>
      <c r="I246" s="36"/>
      <c r="J246" s="486"/>
    </row>
    <row r="247" spans="1:10">
      <c r="A247" s="449">
        <v>3.23</v>
      </c>
      <c r="B247" s="26" t="s">
        <v>598</v>
      </c>
      <c r="C247" s="27"/>
      <c r="D247" s="282">
        <v>11</v>
      </c>
      <c r="E247" s="29">
        <v>5.0562</v>
      </c>
      <c r="F247" s="43">
        <v>10.1</v>
      </c>
      <c r="G247" s="43">
        <f t="shared" ref="G247:G248" si="182">(D247-F247)*250*100*100/E247/10/1000/50</f>
        <v>0.88999644001424</v>
      </c>
      <c r="H247" s="31">
        <f t="shared" ref="H247" si="183">(G247+G248)/2</f>
        <v>0.853519984004097</v>
      </c>
      <c r="I247" s="32">
        <f t="shared" ref="I247" si="184">ROUND((G247-G248)/H247*100,1)</f>
        <v>8.5</v>
      </c>
      <c r="J247" s="485">
        <f t="shared" ref="J247" si="185">G247-G248</f>
        <v>0.0729529120202855</v>
      </c>
    </row>
    <row r="248" spans="2:10">
      <c r="B248" s="33"/>
      <c r="C248" s="34"/>
      <c r="D248" s="282">
        <v>11</v>
      </c>
      <c r="E248" s="29">
        <v>4.8957</v>
      </c>
      <c r="F248" s="43">
        <v>10.2</v>
      </c>
      <c r="G248" s="43">
        <f t="shared" si="182"/>
        <v>0.817043527993955</v>
      </c>
      <c r="H248" s="35"/>
      <c r="I248" s="36"/>
      <c r="J248" s="486"/>
    </row>
    <row r="249" spans="1:10">
      <c r="A249" s="449">
        <v>4.02</v>
      </c>
      <c r="B249" s="26" t="s">
        <v>599</v>
      </c>
      <c r="C249" s="27"/>
      <c r="D249" s="282">
        <v>10.8</v>
      </c>
      <c r="E249" s="29">
        <v>4.8069</v>
      </c>
      <c r="F249" s="43">
        <v>9.3</v>
      </c>
      <c r="G249" s="43">
        <f t="shared" ref="G249:G250" si="186">(D249-F249)*250*100*100/E249/10/1000/50</f>
        <v>1.56025713037509</v>
      </c>
      <c r="H249" s="31">
        <f t="shared" ref="H249" si="187">(G249+G250)/2</f>
        <v>1.49927709333022</v>
      </c>
      <c r="I249" s="32">
        <f t="shared" ref="I249" si="188">ROUND((G249-G250)/H249*100,1)</f>
        <v>8.1</v>
      </c>
      <c r="J249" s="485">
        <f t="shared" ref="J249" si="189">G249-G250</f>
        <v>0.121960074089728</v>
      </c>
    </row>
    <row r="250" spans="2:10">
      <c r="B250" s="33"/>
      <c r="C250" s="34"/>
      <c r="D250" s="282">
        <v>10.8</v>
      </c>
      <c r="E250" s="29">
        <v>5.2145</v>
      </c>
      <c r="F250" s="43">
        <v>9.3</v>
      </c>
      <c r="G250" s="43">
        <f t="shared" si="186"/>
        <v>1.43829705628536</v>
      </c>
      <c r="H250" s="35"/>
      <c r="I250" s="36"/>
      <c r="J250" s="486"/>
    </row>
    <row r="251" spans="2:10">
      <c r="B251" s="26" t="s">
        <v>266</v>
      </c>
      <c r="C251" s="27"/>
      <c r="D251" s="282">
        <v>11</v>
      </c>
      <c r="E251" s="29">
        <v>2.44</v>
      </c>
      <c r="F251" s="43">
        <v>9.8</v>
      </c>
      <c r="G251" s="43">
        <f t="shared" ref="G251:G252" si="190">(D251-F251)*250*100*100/E251/10/1000/50</f>
        <v>2.45901639344262</v>
      </c>
      <c r="H251" s="31">
        <f t="shared" ref="H251" si="191">(G251+G252)/2</f>
        <v>2.04454319528301</v>
      </c>
      <c r="I251" s="32">
        <f t="shared" ref="I251" si="192">ROUND((G251-G252)/H251*100,1)</f>
        <v>40.5</v>
      </c>
      <c r="J251" s="485">
        <f t="shared" ref="J251" si="193">G251-G252</f>
        <v>0.828946396319216</v>
      </c>
    </row>
    <row r="252" spans="2:10">
      <c r="B252" s="33"/>
      <c r="C252" s="34"/>
      <c r="D252" s="282">
        <v>11</v>
      </c>
      <c r="E252" s="29">
        <v>5.2145</v>
      </c>
      <c r="F252" s="43">
        <v>9.3</v>
      </c>
      <c r="G252" s="43">
        <f t="shared" si="190"/>
        <v>1.6300699971234</v>
      </c>
      <c r="H252" s="35"/>
      <c r="I252" s="36"/>
      <c r="J252" s="486"/>
    </row>
    <row r="253" spans="2:10">
      <c r="B253" s="419" t="s">
        <v>600</v>
      </c>
      <c r="D253" s="311">
        <v>11</v>
      </c>
      <c r="E253" s="312">
        <v>5.4365</v>
      </c>
      <c r="F253" s="313">
        <v>6.75</v>
      </c>
      <c r="G253" s="43">
        <f t="shared" ref="G253:G263" si="194">(D253-F253)*250*100*100/E253/10/1000/50</f>
        <v>3.90876483031362</v>
      </c>
      <c r="H253" s="31">
        <f>(G253+G254)/2</f>
        <v>3.93068495754509</v>
      </c>
      <c r="I253" s="467">
        <f>ROUND((G253-G254)/H253*100,1)</f>
        <v>-1.1</v>
      </c>
      <c r="J253" s="485">
        <f>G253-G254</f>
        <v>-0.0438402544629435</v>
      </c>
    </row>
    <row r="254" spans="2:10">
      <c r="B254" s="227"/>
      <c r="D254" s="311">
        <v>11</v>
      </c>
      <c r="E254" s="312">
        <v>5.5027</v>
      </c>
      <c r="F254" s="313">
        <v>6.65</v>
      </c>
      <c r="G254" s="43">
        <f t="shared" si="194"/>
        <v>3.95260508477656</v>
      </c>
      <c r="H254" s="35"/>
      <c r="I254" s="468"/>
      <c r="J254" s="486"/>
    </row>
    <row r="255" spans="2:10">
      <c r="B255" s="419" t="s">
        <v>601</v>
      </c>
      <c r="D255" s="311">
        <v>11</v>
      </c>
      <c r="E255" s="312">
        <v>5.2588</v>
      </c>
      <c r="F255" s="313">
        <v>7.4</v>
      </c>
      <c r="G255" s="43">
        <f t="shared" si="194"/>
        <v>3.4228341066403</v>
      </c>
      <c r="H255" s="31">
        <f>(G255+G256)/2</f>
        <v>3.28635405584005</v>
      </c>
      <c r="I255" s="467">
        <f>ROUND((G255-G256)/H255*100,1)</f>
        <v>8.3</v>
      </c>
      <c r="J255" s="485">
        <f>G255-G256</f>
        <v>0.272960101600499</v>
      </c>
    </row>
    <row r="256" spans="2:10">
      <c r="B256" s="227"/>
      <c r="D256" s="311">
        <v>11</v>
      </c>
      <c r="E256" s="312">
        <v>5.0002</v>
      </c>
      <c r="F256" s="313">
        <v>7.85</v>
      </c>
      <c r="G256" s="43">
        <f t="shared" si="194"/>
        <v>3.1498740050398</v>
      </c>
      <c r="H256" s="35"/>
      <c r="I256" s="468"/>
      <c r="J256" s="486"/>
    </row>
    <row r="257" spans="2:10">
      <c r="B257" s="419" t="s">
        <v>602</v>
      </c>
      <c r="D257" s="311">
        <v>11</v>
      </c>
      <c r="E257" s="312">
        <v>5.3656</v>
      </c>
      <c r="F257" s="313">
        <v>5.5</v>
      </c>
      <c r="G257" s="43">
        <f t="shared" si="194"/>
        <v>5.12524228418071</v>
      </c>
      <c r="H257" s="31">
        <f>(G257+G258)/2</f>
        <v>5.05225886615775</v>
      </c>
      <c r="I257" s="467">
        <f>ROUND((G257-G258)/H257*100,1)</f>
        <v>2.9</v>
      </c>
      <c r="J257" s="485">
        <f>G257-G258</f>
        <v>0.145966836045917</v>
      </c>
    </row>
    <row r="258" spans="2:10">
      <c r="B258" s="227"/>
      <c r="D258" s="311">
        <v>11</v>
      </c>
      <c r="E258" s="312">
        <v>5.5731</v>
      </c>
      <c r="F258" s="313">
        <v>5.45</v>
      </c>
      <c r="G258" s="43">
        <f t="shared" si="194"/>
        <v>4.97927544813479</v>
      </c>
      <c r="H258" s="35"/>
      <c r="I258" s="468"/>
      <c r="J258" s="486"/>
    </row>
    <row r="259" spans="2:10">
      <c r="B259" s="419" t="s">
        <v>603</v>
      </c>
      <c r="D259" s="311">
        <v>11</v>
      </c>
      <c r="E259" s="312">
        <v>4.961</v>
      </c>
      <c r="F259" s="313">
        <v>5.3</v>
      </c>
      <c r="G259" s="43">
        <f t="shared" si="194"/>
        <v>5.74480951421084</v>
      </c>
      <c r="H259" s="31">
        <f>(G259+G260)/2</f>
        <v>5.70546306840386</v>
      </c>
      <c r="I259" s="467">
        <f>ROUND((G259-G260)/H259*100,1)</f>
        <v>1.4</v>
      </c>
      <c r="J259" s="485">
        <f>G259-G260</f>
        <v>0.0786928916139731</v>
      </c>
    </row>
    <row r="260" spans="2:10">
      <c r="B260" s="227"/>
      <c r="D260" s="311">
        <v>11</v>
      </c>
      <c r="E260" s="312">
        <v>5.0299</v>
      </c>
      <c r="F260" s="313">
        <v>5.3</v>
      </c>
      <c r="G260" s="43">
        <f t="shared" si="194"/>
        <v>5.66611662259687</v>
      </c>
      <c r="H260" s="35"/>
      <c r="I260" s="468"/>
      <c r="J260" s="486"/>
    </row>
    <row r="261" spans="2:10">
      <c r="B261" s="419" t="s">
        <v>604</v>
      </c>
      <c r="D261" s="311">
        <v>11</v>
      </c>
      <c r="E261" s="312">
        <v>5.398</v>
      </c>
      <c r="F261" s="313">
        <v>7</v>
      </c>
      <c r="G261" s="43">
        <f t="shared" si="194"/>
        <v>3.70507595405706</v>
      </c>
      <c r="H261" s="31">
        <f>(G261+G262)/2</f>
        <v>3.74153051434196</v>
      </c>
      <c r="I261" s="467">
        <f>ROUND((G261-G262)/H261*100,1)</f>
        <v>-1.9</v>
      </c>
      <c r="J261" s="485">
        <f>G261-G262</f>
        <v>-0.0729091205698067</v>
      </c>
    </row>
    <row r="262" spans="2:10">
      <c r="B262" s="227"/>
      <c r="D262" s="311">
        <v>11</v>
      </c>
      <c r="E262" s="312">
        <v>5.36</v>
      </c>
      <c r="F262" s="313">
        <v>6.95</v>
      </c>
      <c r="G262" s="43">
        <f t="shared" si="194"/>
        <v>3.77798507462687</v>
      </c>
      <c r="H262" s="35"/>
      <c r="I262" s="468"/>
      <c r="J262" s="486"/>
    </row>
    <row r="263" spans="1:10">
      <c r="A263" s="449">
        <v>5.18</v>
      </c>
      <c r="B263" s="419" t="s">
        <v>605</v>
      </c>
      <c r="D263" s="311">
        <v>11</v>
      </c>
      <c r="E263" s="312">
        <v>2.4823</v>
      </c>
      <c r="F263" s="313">
        <v>8.95</v>
      </c>
      <c r="G263" s="43">
        <f t="shared" si="194"/>
        <v>4.12923498368449</v>
      </c>
      <c r="H263" s="31">
        <f t="shared" ref="H263:H267" si="195">(G263+G264)/2</f>
        <v>4.14283774360378</v>
      </c>
      <c r="I263" s="467">
        <f t="shared" ref="I263:I267" si="196">ROUND((G263-G264)/H263*100,1)</f>
        <v>-0.7</v>
      </c>
      <c r="J263" s="485">
        <f t="shared" ref="J263:J267" si="197">G263-G264</f>
        <v>-0.0272055198385894</v>
      </c>
    </row>
    <row r="264" spans="2:10">
      <c r="B264" s="227"/>
      <c r="D264" s="311">
        <v>11</v>
      </c>
      <c r="E264" s="312">
        <v>2.5262</v>
      </c>
      <c r="F264" s="313">
        <v>8.9</v>
      </c>
      <c r="G264" s="43">
        <f t="shared" ref="G264:G288" si="198">(D264-F264)*250*100*100/E264/10/1000/50</f>
        <v>4.15644050352308</v>
      </c>
      <c r="H264" s="35"/>
      <c r="I264" s="468"/>
      <c r="J264" s="486"/>
    </row>
    <row r="265" spans="2:10">
      <c r="B265" s="419" t="s">
        <v>444</v>
      </c>
      <c r="D265" s="311">
        <v>11</v>
      </c>
      <c r="E265" s="312">
        <v>2.8249</v>
      </c>
      <c r="F265" s="313">
        <v>5.7</v>
      </c>
      <c r="G265" s="43">
        <f t="shared" si="198"/>
        <v>9.38086303939962</v>
      </c>
      <c r="H265" s="31">
        <f t="shared" si="195"/>
        <v>9.35598953891637</v>
      </c>
      <c r="I265" s="467">
        <f t="shared" si="196"/>
        <v>0.5</v>
      </c>
      <c r="J265" s="485">
        <f t="shared" si="197"/>
        <v>0.0497470009665122</v>
      </c>
    </row>
    <row r="266" spans="2:10">
      <c r="B266" s="227"/>
      <c r="D266" s="311">
        <v>11</v>
      </c>
      <c r="E266" s="312">
        <v>2.706</v>
      </c>
      <c r="F266" s="313">
        <v>5.95</v>
      </c>
      <c r="G266" s="43">
        <f t="shared" si="198"/>
        <v>9.33111603843311</v>
      </c>
      <c r="H266" s="35"/>
      <c r="I266" s="468"/>
      <c r="J266" s="486"/>
    </row>
    <row r="267" spans="1:10">
      <c r="A267" s="449">
        <v>6.2</v>
      </c>
      <c r="B267" s="419" t="s">
        <v>606</v>
      </c>
      <c r="D267" s="311">
        <v>11.1</v>
      </c>
      <c r="E267" s="312">
        <v>7.2665</v>
      </c>
      <c r="F267" s="313">
        <v>10.15</v>
      </c>
      <c r="G267" s="43">
        <f t="shared" si="198"/>
        <v>0.653684717539393</v>
      </c>
      <c r="H267" s="31">
        <f t="shared" si="195"/>
        <v>0.669465983603057</v>
      </c>
      <c r="I267" s="467">
        <f t="shared" si="196"/>
        <v>-4.7</v>
      </c>
      <c r="J267" s="485">
        <f t="shared" si="197"/>
        <v>-0.0315625321273277</v>
      </c>
    </row>
    <row r="268" spans="2:10">
      <c r="B268" s="227"/>
      <c r="D268" s="311">
        <v>11.1</v>
      </c>
      <c r="E268" s="312">
        <v>8.0263</v>
      </c>
      <c r="F268" s="313">
        <v>10</v>
      </c>
      <c r="G268" s="43">
        <f t="shared" si="198"/>
        <v>0.68524724966672</v>
      </c>
      <c r="H268" s="35"/>
      <c r="I268" s="468"/>
      <c r="J268" s="486"/>
    </row>
    <row r="269" spans="2:10">
      <c r="B269" s="419" t="s">
        <v>607</v>
      </c>
      <c r="D269" s="311">
        <v>11.1</v>
      </c>
      <c r="E269" s="312">
        <v>8.068</v>
      </c>
      <c r="F269" s="313">
        <v>10.1</v>
      </c>
      <c r="G269" s="43">
        <f t="shared" si="198"/>
        <v>0.619732275656916</v>
      </c>
      <c r="H269" s="31">
        <f t="shared" ref="H269:H273" si="199">(G269+G270)/2</f>
        <v>0.610270682615438</v>
      </c>
      <c r="I269" s="467">
        <f t="shared" ref="I269:I273" si="200">ROUND((G269-G270)/H269*100,1)</f>
        <v>3.1</v>
      </c>
      <c r="J269" s="485">
        <f t="shared" ref="J269:J273" si="201">G269-G270</f>
        <v>0.0189231860829562</v>
      </c>
    </row>
    <row r="270" spans="2:10">
      <c r="B270" s="227"/>
      <c r="D270" s="311">
        <v>11.1</v>
      </c>
      <c r="E270" s="312">
        <v>7.4899</v>
      </c>
      <c r="F270" s="313">
        <v>10.2</v>
      </c>
      <c r="G270" s="43">
        <f t="shared" si="198"/>
        <v>0.60080908957396</v>
      </c>
      <c r="H270" s="35"/>
      <c r="I270" s="468"/>
      <c r="J270" s="486"/>
    </row>
    <row r="271" spans="2:10">
      <c r="B271" s="419" t="s">
        <v>608</v>
      </c>
      <c r="D271" s="311">
        <v>11.1</v>
      </c>
      <c r="E271" s="312">
        <v>6.9532</v>
      </c>
      <c r="F271" s="313">
        <v>10.3</v>
      </c>
      <c r="G271" s="43">
        <f t="shared" si="198"/>
        <v>0.575274693666225</v>
      </c>
      <c r="H271" s="31">
        <f t="shared" si="199"/>
        <v>0.572948121594521</v>
      </c>
      <c r="I271" s="467">
        <f t="shared" si="200"/>
        <v>0.8</v>
      </c>
      <c r="J271" s="485">
        <f t="shared" si="201"/>
        <v>0.00465314414340778</v>
      </c>
    </row>
    <row r="272" spans="2:10">
      <c r="B272" s="227"/>
      <c r="D272" s="311">
        <v>11.1</v>
      </c>
      <c r="E272" s="312">
        <v>7.0099</v>
      </c>
      <c r="F272" s="313">
        <v>10.3</v>
      </c>
      <c r="G272" s="43">
        <f t="shared" si="198"/>
        <v>0.570621549522817</v>
      </c>
      <c r="H272" s="35"/>
      <c r="I272" s="468"/>
      <c r="J272" s="486"/>
    </row>
    <row r="273" spans="1:10">
      <c r="A273" s="449">
        <v>6.11</v>
      </c>
      <c r="B273" s="419" t="s">
        <v>609</v>
      </c>
      <c r="D273" s="311">
        <v>11</v>
      </c>
      <c r="E273" s="312">
        <v>1.9611</v>
      </c>
      <c r="F273" s="313">
        <v>9.7</v>
      </c>
      <c r="G273" s="43">
        <f t="shared" si="198"/>
        <v>3.31446637091428</v>
      </c>
      <c r="H273" s="31">
        <f t="shared" si="199"/>
        <v>3.31774979062319</v>
      </c>
      <c r="I273" s="467">
        <f t="shared" si="200"/>
        <v>-0.2</v>
      </c>
      <c r="J273" s="485">
        <f t="shared" si="201"/>
        <v>-0.00656683941781688</v>
      </c>
    </row>
    <row r="274" spans="2:10">
      <c r="B274" s="227"/>
      <c r="D274" s="311">
        <v>11</v>
      </c>
      <c r="E274" s="312">
        <v>2.0325</v>
      </c>
      <c r="F274" s="313">
        <v>9.65</v>
      </c>
      <c r="G274" s="43">
        <f t="shared" si="198"/>
        <v>3.3210332103321</v>
      </c>
      <c r="H274" s="35"/>
      <c r="I274" s="468"/>
      <c r="J274" s="486"/>
    </row>
    <row r="275" spans="1:10">
      <c r="A275" s="449">
        <v>6.22</v>
      </c>
      <c r="B275" s="419" t="s">
        <v>610</v>
      </c>
      <c r="D275" s="311">
        <v>11</v>
      </c>
      <c r="E275" s="312">
        <v>5.7468</v>
      </c>
      <c r="F275" s="313">
        <v>9.6</v>
      </c>
      <c r="G275" s="43">
        <f t="shared" si="198"/>
        <v>1.21806918632978</v>
      </c>
      <c r="H275" s="31">
        <f>(G275+G276)/2</f>
        <v>1.23033166263087</v>
      </c>
      <c r="I275" s="467">
        <f>ROUND((G275-G276)/H275*100,1)</f>
        <v>-2</v>
      </c>
      <c r="J275" s="485">
        <f>G275-G276</f>
        <v>-0.0245249526021816</v>
      </c>
    </row>
    <row r="276" spans="2:10">
      <c r="B276" s="227"/>
      <c r="D276" s="311">
        <v>11</v>
      </c>
      <c r="E276" s="312">
        <v>5.0298</v>
      </c>
      <c r="F276" s="313">
        <v>9.75</v>
      </c>
      <c r="G276" s="43">
        <f t="shared" si="198"/>
        <v>1.24259413893197</v>
      </c>
      <c r="H276" s="35"/>
      <c r="I276" s="468"/>
      <c r="J276" s="486"/>
    </row>
    <row r="277" spans="2:10">
      <c r="B277" s="419" t="s">
        <v>611</v>
      </c>
      <c r="D277" s="311">
        <v>11.1</v>
      </c>
      <c r="E277" s="312">
        <v>1.626</v>
      </c>
      <c r="F277" s="313">
        <v>6.9</v>
      </c>
      <c r="G277" s="43">
        <f t="shared" si="198"/>
        <v>12.9151291512915</v>
      </c>
      <c r="H277" s="31">
        <f t="shared" ref="H277:H281" si="202">(G277+G278)/2</f>
        <v>11.7868312685488</v>
      </c>
      <c r="I277" s="467">
        <f t="shared" ref="I277:I281" si="203">ROUND((G277-G278)/H277*100,1)</f>
        <v>19.1</v>
      </c>
      <c r="J277" s="485">
        <f t="shared" ref="J277:J281" si="204">G277-G278</f>
        <v>2.2565957654854</v>
      </c>
    </row>
    <row r="278" spans="2:10">
      <c r="B278" s="227"/>
      <c r="D278" s="311">
        <v>11.1</v>
      </c>
      <c r="E278" s="312">
        <v>1.5246</v>
      </c>
      <c r="F278" s="313">
        <v>7.85</v>
      </c>
      <c r="G278" s="43">
        <f t="shared" si="198"/>
        <v>10.6585333858061</v>
      </c>
      <c r="H278" s="35"/>
      <c r="I278" s="468"/>
      <c r="J278" s="486"/>
    </row>
    <row r="279" spans="2:10">
      <c r="B279" s="419" t="s">
        <v>612</v>
      </c>
      <c r="D279" s="311">
        <v>11.1</v>
      </c>
      <c r="E279" s="312">
        <v>1.546</v>
      </c>
      <c r="F279" s="313">
        <v>5.3</v>
      </c>
      <c r="G279" s="43">
        <f t="shared" si="198"/>
        <v>18.75808538163</v>
      </c>
      <c r="H279" s="31">
        <f t="shared" si="202"/>
        <v>18.3764310595009</v>
      </c>
      <c r="I279" s="467">
        <f t="shared" si="203"/>
        <v>4.2</v>
      </c>
      <c r="J279" s="485">
        <f t="shared" si="204"/>
        <v>0.76330864425821</v>
      </c>
    </row>
    <row r="280" spans="2:10">
      <c r="B280" s="227"/>
      <c r="D280" s="311">
        <v>11.1</v>
      </c>
      <c r="E280" s="312">
        <v>1.5699</v>
      </c>
      <c r="F280" s="313">
        <v>5.45</v>
      </c>
      <c r="G280" s="43">
        <f t="shared" si="198"/>
        <v>17.9947767373718</v>
      </c>
      <c r="H280" s="35"/>
      <c r="I280" s="468"/>
      <c r="J280" s="486"/>
    </row>
    <row r="281" spans="1:10">
      <c r="A281" s="449">
        <v>6.23</v>
      </c>
      <c r="B281" s="419" t="s">
        <v>613</v>
      </c>
      <c r="D281" s="311">
        <v>11.1</v>
      </c>
      <c r="E281" s="312">
        <v>3.1438</v>
      </c>
      <c r="F281" s="313">
        <v>7.55</v>
      </c>
      <c r="G281" s="43">
        <f t="shared" si="198"/>
        <v>5.64603346268847</v>
      </c>
      <c r="H281" s="31">
        <f t="shared" si="202"/>
        <v>5.63314674217847</v>
      </c>
      <c r="I281" s="467">
        <f t="shared" si="203"/>
        <v>0.5</v>
      </c>
      <c r="J281" s="485">
        <f t="shared" si="204"/>
        <v>0.0257734410199957</v>
      </c>
    </row>
    <row r="282" spans="2:10">
      <c r="B282" s="227"/>
      <c r="D282" s="311">
        <v>11.1</v>
      </c>
      <c r="E282" s="312">
        <v>3.692</v>
      </c>
      <c r="F282" s="313">
        <v>6.95</v>
      </c>
      <c r="G282" s="43">
        <f t="shared" si="198"/>
        <v>5.62026002166847</v>
      </c>
      <c r="H282" s="35"/>
      <c r="I282" s="468"/>
      <c r="J282" s="486"/>
    </row>
    <row r="283" spans="2:10">
      <c r="B283" s="419" t="s">
        <v>611</v>
      </c>
      <c r="D283" s="311">
        <v>11</v>
      </c>
      <c r="E283" s="312">
        <v>1.626</v>
      </c>
      <c r="F283" s="313">
        <v>7.15</v>
      </c>
      <c r="G283" s="43">
        <f t="shared" si="198"/>
        <v>11.8388683886839</v>
      </c>
      <c r="H283" s="31">
        <f t="shared" ref="H283:H287" si="205">(G283+G284)/2</f>
        <v>11.9157441574416</v>
      </c>
      <c r="I283" s="467">
        <f t="shared" ref="I283:I287" si="206">ROUND((G283-G284)/H283*100,1)</f>
        <v>-1.3</v>
      </c>
      <c r="J283" s="485">
        <f t="shared" ref="J283:J287" si="207">G283-G284</f>
        <v>-0.153751537515381</v>
      </c>
    </row>
    <row r="284" spans="2:10">
      <c r="B284" s="227"/>
      <c r="D284" s="311">
        <v>11</v>
      </c>
      <c r="E284" s="312">
        <v>1.626</v>
      </c>
      <c r="F284" s="313">
        <v>7.1</v>
      </c>
      <c r="G284" s="43">
        <f t="shared" si="198"/>
        <v>11.9926199261993</v>
      </c>
      <c r="H284" s="35"/>
      <c r="I284" s="468"/>
      <c r="J284" s="486"/>
    </row>
    <row r="285" spans="2:10">
      <c r="B285" s="419" t="s">
        <v>612</v>
      </c>
      <c r="D285" s="311">
        <v>11.1</v>
      </c>
      <c r="E285" s="312">
        <v>1.546</v>
      </c>
      <c r="F285" s="313">
        <v>5.15</v>
      </c>
      <c r="G285" s="43">
        <f t="shared" si="198"/>
        <v>19.2432082794308</v>
      </c>
      <c r="H285" s="31">
        <f t="shared" si="205"/>
        <v>19.1623544631307</v>
      </c>
      <c r="I285" s="467">
        <f t="shared" si="206"/>
        <v>0.8</v>
      </c>
      <c r="J285" s="485">
        <f t="shared" si="207"/>
        <v>0.161707632600262</v>
      </c>
    </row>
    <row r="286" spans="2:10">
      <c r="B286" s="227"/>
      <c r="D286" s="311">
        <v>11.1</v>
      </c>
      <c r="E286" s="312">
        <v>1.546</v>
      </c>
      <c r="F286" s="313">
        <v>5.2</v>
      </c>
      <c r="G286" s="43">
        <f t="shared" si="198"/>
        <v>19.0815006468305</v>
      </c>
      <c r="H286" s="35"/>
      <c r="I286" s="468"/>
      <c r="J286" s="486"/>
    </row>
    <row r="287" spans="1:10">
      <c r="A287" s="449">
        <v>6.26</v>
      </c>
      <c r="B287" s="419" t="s">
        <v>614</v>
      </c>
      <c r="D287" s="311">
        <v>11</v>
      </c>
      <c r="E287" s="312">
        <v>10.009</v>
      </c>
      <c r="F287" s="313">
        <v>9.3</v>
      </c>
      <c r="G287" s="43">
        <f t="shared" si="198"/>
        <v>0.849235687880907</v>
      </c>
      <c r="H287" s="31">
        <f t="shared" si="205"/>
        <v>0.841076281388396</v>
      </c>
      <c r="I287" s="467">
        <f t="shared" si="206"/>
        <v>1.9</v>
      </c>
      <c r="J287" s="485">
        <f t="shared" si="207"/>
        <v>0.0163188129850218</v>
      </c>
    </row>
    <row r="288" spans="2:10">
      <c r="B288" s="227"/>
      <c r="D288" s="311">
        <v>11</v>
      </c>
      <c r="E288" s="312">
        <v>10.2051</v>
      </c>
      <c r="F288" s="313">
        <v>9.3</v>
      </c>
      <c r="G288" s="43">
        <f t="shared" si="198"/>
        <v>0.832916874895885</v>
      </c>
      <c r="H288" s="35"/>
      <c r="I288" s="468"/>
      <c r="J288" s="486"/>
    </row>
    <row r="289" spans="1:10">
      <c r="A289" s="449">
        <v>6.3</v>
      </c>
      <c r="B289" s="419" t="s">
        <v>614</v>
      </c>
      <c r="D289" s="311">
        <v>11</v>
      </c>
      <c r="E289" s="312">
        <v>2.6869</v>
      </c>
      <c r="F289" s="313">
        <v>10.3</v>
      </c>
      <c r="G289" s="43">
        <f t="shared" ref="G289:G308" si="208">(D289-F289)*250*100*100/E289/10/1000/50</f>
        <v>1.30261639807957</v>
      </c>
      <c r="H289" s="31">
        <f t="shared" ref="H289" si="209">(G289+G290)/2</f>
        <v>1.30261639807957</v>
      </c>
      <c r="I289" s="467">
        <f t="shared" ref="I289" si="210">ROUND((G289-G290)/H289*100,1)</f>
        <v>0</v>
      </c>
      <c r="J289" s="485">
        <f t="shared" ref="J289" si="211">G289-G290</f>
        <v>0</v>
      </c>
    </row>
    <row r="290" spans="2:10">
      <c r="B290" s="227"/>
      <c r="D290" s="311">
        <v>11</v>
      </c>
      <c r="E290" s="312">
        <v>2.6869</v>
      </c>
      <c r="F290" s="313">
        <v>10.3</v>
      </c>
      <c r="G290" s="43">
        <f t="shared" si="208"/>
        <v>1.30261639807957</v>
      </c>
      <c r="H290" s="35"/>
      <c r="I290" s="468"/>
      <c r="J290" s="486"/>
    </row>
    <row r="291" spans="1:10">
      <c r="A291" s="449">
        <v>7.15</v>
      </c>
      <c r="B291" s="419" t="s">
        <v>615</v>
      </c>
      <c r="D291" s="311">
        <v>11</v>
      </c>
      <c r="E291" s="312">
        <v>2.5115</v>
      </c>
      <c r="F291" s="313">
        <v>8.75</v>
      </c>
      <c r="G291" s="43">
        <f t="shared" si="208"/>
        <v>4.47939478399363</v>
      </c>
      <c r="H291" s="31">
        <f t="shared" ref="H291:H295" si="212">(G291+G292)/2</f>
        <v>4.49321851875738</v>
      </c>
      <c r="I291" s="467">
        <f t="shared" ref="I291:I295" si="213">ROUND((G291-G292)/H291*100,1)</f>
        <v>-0.6</v>
      </c>
      <c r="J291" s="485">
        <f t="shared" ref="J291:J295" si="214">G291-G292</f>
        <v>-0.0276474695274977</v>
      </c>
    </row>
    <row r="292" spans="2:10">
      <c r="B292" s="227"/>
      <c r="D292" s="311">
        <v>11</v>
      </c>
      <c r="E292" s="312">
        <v>2.6625</v>
      </c>
      <c r="F292" s="313">
        <v>8.6</v>
      </c>
      <c r="G292" s="43">
        <f t="shared" si="208"/>
        <v>4.50704225352113</v>
      </c>
      <c r="H292" s="35"/>
      <c r="I292" s="468"/>
      <c r="J292" s="486"/>
    </row>
    <row r="293" spans="2:10">
      <c r="B293" s="419" t="s">
        <v>616</v>
      </c>
      <c r="D293" s="311">
        <v>11</v>
      </c>
      <c r="E293" s="312">
        <v>4.5567</v>
      </c>
      <c r="F293" s="313">
        <v>7.25</v>
      </c>
      <c r="G293" s="43">
        <f t="shared" si="208"/>
        <v>4.11481993547962</v>
      </c>
      <c r="H293" s="31">
        <f t="shared" si="212"/>
        <v>4.07377990441086</v>
      </c>
      <c r="I293" s="467">
        <f t="shared" si="213"/>
        <v>2</v>
      </c>
      <c r="J293" s="485">
        <f t="shared" si="214"/>
        <v>0.0820800621375275</v>
      </c>
    </row>
    <row r="294" spans="2:10">
      <c r="B294" s="227"/>
      <c r="D294" s="311">
        <v>11</v>
      </c>
      <c r="E294" s="312">
        <v>5.0214</v>
      </c>
      <c r="F294" s="313">
        <v>6.95</v>
      </c>
      <c r="G294" s="43">
        <f t="shared" si="208"/>
        <v>4.0327398733421</v>
      </c>
      <c r="H294" s="35"/>
      <c r="I294" s="468"/>
      <c r="J294" s="486"/>
    </row>
    <row r="295" spans="1:10">
      <c r="A295" s="449">
        <v>8.6</v>
      </c>
      <c r="B295" s="419" t="s">
        <v>617</v>
      </c>
      <c r="D295" s="311">
        <v>10.8</v>
      </c>
      <c r="E295" s="312">
        <v>3.0056</v>
      </c>
      <c r="F295" s="313">
        <v>10.7</v>
      </c>
      <c r="G295" s="43">
        <f t="shared" si="208"/>
        <v>0.166356135214269</v>
      </c>
      <c r="H295" s="31">
        <f t="shared" si="212"/>
        <v>0.166168374339309</v>
      </c>
      <c r="I295" s="467">
        <f t="shared" si="213"/>
        <v>0.2</v>
      </c>
      <c r="J295" s="485">
        <f t="shared" si="214"/>
        <v>0.000375521749919339</v>
      </c>
    </row>
    <row r="296" spans="2:10">
      <c r="B296" s="227"/>
      <c r="D296" s="311">
        <v>10.8</v>
      </c>
      <c r="E296" s="312">
        <v>3.0124</v>
      </c>
      <c r="F296" s="313">
        <v>10.7</v>
      </c>
      <c r="G296" s="43">
        <f t="shared" si="208"/>
        <v>0.16598061346435</v>
      </c>
      <c r="H296" s="35"/>
      <c r="I296" s="468"/>
      <c r="J296" s="486"/>
    </row>
    <row r="297" spans="2:10">
      <c r="B297" s="419" t="s">
        <v>618</v>
      </c>
      <c r="D297" s="311">
        <v>10.8</v>
      </c>
      <c r="E297" s="312">
        <v>3.5991</v>
      </c>
      <c r="F297" s="313">
        <v>10.6</v>
      </c>
      <c r="G297" s="30">
        <f t="shared" si="208"/>
        <v>0.277847239587676</v>
      </c>
      <c r="H297" s="31">
        <f t="shared" ref="H297:H301" si="215">(G297+G298)/2</f>
        <v>0.269628905515593</v>
      </c>
      <c r="I297" s="467">
        <f t="shared" ref="I297:I301" si="216">ROUND((G297-G298)/H297*100,1)</f>
        <v>6.1</v>
      </c>
      <c r="J297" s="485">
        <f t="shared" ref="J297:J301" si="217">G297-G298</f>
        <v>0.0164366681441656</v>
      </c>
    </row>
    <row r="298" spans="2:10">
      <c r="B298" s="227"/>
      <c r="D298" s="311">
        <v>10.8</v>
      </c>
      <c r="E298" s="312">
        <v>3.8254</v>
      </c>
      <c r="F298" s="313">
        <v>10.6</v>
      </c>
      <c r="G298" s="30">
        <f t="shared" si="208"/>
        <v>0.261410571443511</v>
      </c>
      <c r="H298" s="35"/>
      <c r="I298" s="468"/>
      <c r="J298" s="486"/>
    </row>
    <row r="299" spans="1:10">
      <c r="A299" s="449">
        <v>8.7</v>
      </c>
      <c r="B299" s="419" t="s">
        <v>619</v>
      </c>
      <c r="D299" s="311">
        <v>11</v>
      </c>
      <c r="E299" s="312">
        <v>2.5511</v>
      </c>
      <c r="F299" s="313">
        <v>7.2</v>
      </c>
      <c r="G299" s="43">
        <f t="shared" si="208"/>
        <v>7.44776762964995</v>
      </c>
      <c r="H299" s="31">
        <f t="shared" si="215"/>
        <v>7.56545732333406</v>
      </c>
      <c r="I299" s="467">
        <f t="shared" si="216"/>
        <v>-3.1</v>
      </c>
      <c r="J299" s="485">
        <f t="shared" si="217"/>
        <v>-0.235379387368217</v>
      </c>
    </row>
    <row r="300" spans="2:10">
      <c r="B300" s="227"/>
      <c r="D300" s="311">
        <v>11</v>
      </c>
      <c r="E300" s="312">
        <v>2.6031</v>
      </c>
      <c r="F300" s="313">
        <v>7</v>
      </c>
      <c r="G300" s="43">
        <f t="shared" si="208"/>
        <v>7.68314701701817</v>
      </c>
      <c r="H300" s="35"/>
      <c r="I300" s="468"/>
      <c r="J300" s="486"/>
    </row>
    <row r="301" spans="2:10">
      <c r="B301" s="419" t="s">
        <v>620</v>
      </c>
      <c r="D301" s="311">
        <v>11</v>
      </c>
      <c r="E301" s="312">
        <v>2.8784</v>
      </c>
      <c r="F301" s="313">
        <v>7.4</v>
      </c>
      <c r="G301" s="43">
        <f t="shared" si="208"/>
        <v>6.25347415230684</v>
      </c>
      <c r="H301" s="31">
        <f t="shared" si="215"/>
        <v>6.16627606552752</v>
      </c>
      <c r="I301" s="467">
        <f t="shared" si="216"/>
        <v>2.8</v>
      </c>
      <c r="J301" s="485">
        <f t="shared" si="217"/>
        <v>0.174396173558625</v>
      </c>
    </row>
    <row r="302" spans="2:10">
      <c r="B302" s="227"/>
      <c r="D302" s="311">
        <v>11</v>
      </c>
      <c r="E302" s="312">
        <v>3.0021</v>
      </c>
      <c r="F302" s="313">
        <v>7.35</v>
      </c>
      <c r="G302" s="43">
        <f t="shared" si="208"/>
        <v>6.07907797874821</v>
      </c>
      <c r="H302" s="35"/>
      <c r="I302" s="468"/>
      <c r="J302" s="486"/>
    </row>
    <row r="303" spans="2:10">
      <c r="B303" s="419" t="s">
        <v>621</v>
      </c>
      <c r="D303" s="311">
        <v>11</v>
      </c>
      <c r="E303" s="312">
        <v>2.931</v>
      </c>
      <c r="F303" s="313">
        <v>7.15</v>
      </c>
      <c r="G303" s="30">
        <f t="shared" si="208"/>
        <v>6.56772432616854</v>
      </c>
      <c r="H303" s="31">
        <f t="shared" ref="H303:H307" si="218">(G303+G304)/2</f>
        <v>6.61664003343921</v>
      </c>
      <c r="I303" s="467">
        <f t="shared" ref="I303:I307" si="219">ROUND((G303-G304)/H303*100,1)</f>
        <v>-1.5</v>
      </c>
      <c r="J303" s="485">
        <f t="shared" ref="J303:J307" si="220">G303-G304</f>
        <v>-0.0978314145413384</v>
      </c>
    </row>
    <row r="304" spans="2:10">
      <c r="B304" s="227"/>
      <c r="D304" s="311">
        <v>11</v>
      </c>
      <c r="E304" s="312">
        <v>3.0005</v>
      </c>
      <c r="F304" s="313">
        <v>7</v>
      </c>
      <c r="G304" s="30">
        <f t="shared" si="208"/>
        <v>6.66555574070988</v>
      </c>
      <c r="H304" s="35"/>
      <c r="I304" s="468"/>
      <c r="J304" s="486"/>
    </row>
    <row r="305" spans="1:10">
      <c r="A305" s="449">
        <v>8.1</v>
      </c>
      <c r="B305" s="419" t="s">
        <v>618</v>
      </c>
      <c r="D305" s="311">
        <v>11</v>
      </c>
      <c r="E305" s="312">
        <v>5.0021</v>
      </c>
      <c r="F305" s="313">
        <v>10.85</v>
      </c>
      <c r="G305" s="30">
        <f t="shared" si="208"/>
        <v>0.149937026448892</v>
      </c>
      <c r="H305" s="31">
        <f t="shared" si="218"/>
        <v>0.14630875863489</v>
      </c>
      <c r="I305" s="467">
        <f t="shared" si="219"/>
        <v>5</v>
      </c>
      <c r="J305" s="485">
        <f t="shared" si="220"/>
        <v>0.00725653562800302</v>
      </c>
    </row>
    <row r="306" spans="2:10">
      <c r="B306" s="227"/>
      <c r="D306" s="311">
        <v>11</v>
      </c>
      <c r="E306" s="312">
        <v>5.2565</v>
      </c>
      <c r="F306" s="313">
        <v>10.85</v>
      </c>
      <c r="G306" s="30">
        <f t="shared" si="208"/>
        <v>0.142680490820889</v>
      </c>
      <c r="H306" s="35"/>
      <c r="I306" s="468"/>
      <c r="J306" s="486"/>
    </row>
    <row r="307" spans="2:10">
      <c r="B307" s="419" t="s">
        <v>622</v>
      </c>
      <c r="D307" s="311">
        <v>11</v>
      </c>
      <c r="E307" s="312">
        <v>2.5741</v>
      </c>
      <c r="F307" s="313">
        <v>5.03</v>
      </c>
      <c r="G307" s="30">
        <f t="shared" si="208"/>
        <v>11.5962860805719</v>
      </c>
      <c r="H307" s="31">
        <f t="shared" si="218"/>
        <v>11.6021151031834</v>
      </c>
      <c r="I307" s="467">
        <f t="shared" si="219"/>
        <v>-0.1</v>
      </c>
      <c r="J307" s="485">
        <f t="shared" si="220"/>
        <v>-0.0116580452231467</v>
      </c>
    </row>
    <row r="308" spans="2:10">
      <c r="B308" s="227"/>
      <c r="D308" s="311">
        <v>11</v>
      </c>
      <c r="E308" s="312">
        <v>2.5629</v>
      </c>
      <c r="F308" s="313">
        <v>5.05</v>
      </c>
      <c r="G308" s="30">
        <f t="shared" si="208"/>
        <v>11.607944125795</v>
      </c>
      <c r="H308" s="35"/>
      <c r="I308" s="468"/>
      <c r="J308" s="486"/>
    </row>
  </sheetData>
  <mergeCells count="701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80:B81"/>
    <mergeCell ref="B82:B83"/>
    <mergeCell ref="B84:B85"/>
    <mergeCell ref="B86:B87"/>
    <mergeCell ref="B88:B89"/>
    <mergeCell ref="B90:B91"/>
    <mergeCell ref="B92:B93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80:C81"/>
    <mergeCell ref="C82:C83"/>
    <mergeCell ref="C84:C85"/>
    <mergeCell ref="C86:C87"/>
    <mergeCell ref="C88:C89"/>
    <mergeCell ref="C90:C91"/>
    <mergeCell ref="C92:C93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5:C246"/>
    <mergeCell ref="C247:C248"/>
    <mergeCell ref="C249:C250"/>
    <mergeCell ref="C251:C252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80:H81"/>
    <mergeCell ref="H82:H83"/>
    <mergeCell ref="H84:H85"/>
    <mergeCell ref="H86:H87"/>
    <mergeCell ref="H88:H89"/>
    <mergeCell ref="H90:H91"/>
    <mergeCell ref="H92:H93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80:I81"/>
    <mergeCell ref="I82:I83"/>
    <mergeCell ref="I84:I85"/>
    <mergeCell ref="I86:I87"/>
    <mergeCell ref="I88:I89"/>
    <mergeCell ref="I90:I91"/>
    <mergeCell ref="I92:I93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J2:J3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80:J81"/>
    <mergeCell ref="J82:J83"/>
    <mergeCell ref="J84:J85"/>
    <mergeCell ref="J86:J87"/>
    <mergeCell ref="J88:J89"/>
    <mergeCell ref="J90:J91"/>
    <mergeCell ref="J92:J93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5:J286"/>
    <mergeCell ref="J287:J288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1236"/>
  <sheetViews>
    <sheetView workbookViewId="0">
      <pane ySplit="1" topLeftCell="A1210" activePane="bottomLeft" state="frozen"/>
      <selection/>
      <selection pane="bottomLeft" activeCell="G1233" sqref="G1233"/>
    </sheetView>
  </sheetViews>
  <sheetFormatPr defaultColWidth="11.625" defaultRowHeight="18"/>
  <cols>
    <col min="1" max="1" width="11.625" style="314"/>
    <col min="2" max="2" width="14.75" style="295" customWidth="1"/>
    <col min="3" max="3" width="16" style="302" customWidth="1"/>
    <col min="4" max="4" width="11.625" style="323" customWidth="1"/>
    <col min="5" max="5" width="15.875" style="40" customWidth="1"/>
    <col min="6" max="6" width="11.625" style="323" customWidth="1"/>
    <col min="7" max="7" width="11.625" style="324" customWidth="1"/>
    <col min="8" max="8" width="31.5" style="324" customWidth="1"/>
    <col min="9" max="9" width="11.625" style="325" customWidth="1"/>
    <col min="10" max="10" width="11.625" style="326" customWidth="1"/>
    <col min="11" max="11" width="18.25" style="323" customWidth="1"/>
    <col min="12" max="12" width="11.625" style="327" customWidth="1"/>
    <col min="13" max="13" width="11.625" style="328" customWidth="1"/>
    <col min="14" max="14" width="11.625" style="329" customWidth="1"/>
    <col min="15" max="16384" width="11.625" style="314"/>
  </cols>
  <sheetData>
    <row r="1" s="318" customFormat="1" spans="2:14">
      <c r="B1" s="330" t="s">
        <v>368</v>
      </c>
      <c r="C1" s="302" t="s">
        <v>2</v>
      </c>
      <c r="D1" s="331" t="s">
        <v>140</v>
      </c>
      <c r="E1" s="332" t="s">
        <v>141</v>
      </c>
      <c r="F1" s="331" t="s">
        <v>142</v>
      </c>
      <c r="G1" s="333" t="s">
        <v>143</v>
      </c>
      <c r="H1" s="333" t="s">
        <v>144</v>
      </c>
      <c r="I1" s="345" t="s">
        <v>145</v>
      </c>
      <c r="J1" s="346" t="s">
        <v>146</v>
      </c>
      <c r="K1" s="331"/>
      <c r="L1" s="347"/>
      <c r="M1" s="348"/>
      <c r="N1" s="349"/>
    </row>
    <row r="2" spans="1:11">
      <c r="A2" s="334"/>
      <c r="B2" s="37" t="s">
        <v>623</v>
      </c>
      <c r="C2" s="335" t="s">
        <v>624</v>
      </c>
      <c r="D2" s="39">
        <v>11.45</v>
      </c>
      <c r="E2" s="40">
        <v>1.5806</v>
      </c>
      <c r="F2" s="39">
        <v>2</v>
      </c>
      <c r="G2" s="106">
        <v>10.35</v>
      </c>
      <c r="H2" s="106">
        <f>ROUND(D2*100*F2*250*100/50/E2/G2/1000,2)</f>
        <v>69.99</v>
      </c>
      <c r="I2" s="107">
        <f t="shared" ref="I2" si="0">ROUND((H2+H3)/2,1)</f>
        <v>69.8</v>
      </c>
      <c r="J2" s="110">
        <f t="shared" ref="J2" si="1">(H2-H3)*100/I2</f>
        <v>0.601719197707739</v>
      </c>
      <c r="K2" s="111" t="s">
        <v>150</v>
      </c>
    </row>
    <row r="3" spans="1:11">
      <c r="A3" s="336"/>
      <c r="B3" s="41"/>
      <c r="C3" s="337"/>
      <c r="D3" s="39">
        <v>11.45</v>
      </c>
      <c r="E3" s="40">
        <v>1.5901</v>
      </c>
      <c r="F3" s="39">
        <v>2</v>
      </c>
      <c r="G3" s="106">
        <v>10.35</v>
      </c>
      <c r="H3" s="106">
        <f t="shared" ref="H3:H4" si="2">ROUND(D3*100*F3*250*100/50/E3/G3/1000,2)</f>
        <v>69.57</v>
      </c>
      <c r="I3" s="108"/>
      <c r="J3" s="112"/>
      <c r="K3" s="113"/>
    </row>
    <row r="4" spans="1:11">
      <c r="A4" s="334"/>
      <c r="B4" s="37" t="s">
        <v>625</v>
      </c>
      <c r="C4" s="335" t="s">
        <v>626</v>
      </c>
      <c r="D4" s="39">
        <v>11.45</v>
      </c>
      <c r="E4" s="40">
        <v>1.7624</v>
      </c>
      <c r="F4" s="39">
        <v>2</v>
      </c>
      <c r="G4" s="106">
        <v>8.35</v>
      </c>
      <c r="H4" s="106">
        <f t="shared" si="2"/>
        <v>77.81</v>
      </c>
      <c r="I4" s="107">
        <f t="shared" ref="I4" si="3">ROUND((H4+H5)/2,1)</f>
        <v>77.7</v>
      </c>
      <c r="J4" s="110">
        <f t="shared" ref="J4" si="4">(H4-H5)*100/I4</f>
        <v>0.398970398970402</v>
      </c>
      <c r="K4" s="111" t="s">
        <v>150</v>
      </c>
    </row>
    <row r="5" spans="1:11">
      <c r="A5" s="336"/>
      <c r="B5" s="41"/>
      <c r="C5" s="337"/>
      <c r="D5" s="39">
        <v>11.45</v>
      </c>
      <c r="E5" s="40">
        <v>1.7694</v>
      </c>
      <c r="F5" s="39">
        <v>2</v>
      </c>
      <c r="G5" s="106">
        <v>8.35</v>
      </c>
      <c r="H5" s="106">
        <f t="shared" ref="H5:H6" si="5">ROUND(D5*100*F5*250*100/50/E5/G5/1000,2)</f>
        <v>77.5</v>
      </c>
      <c r="I5" s="108"/>
      <c r="J5" s="112"/>
      <c r="K5" s="113"/>
    </row>
    <row r="6" spans="1:11">
      <c r="A6" s="334"/>
      <c r="B6" s="37" t="s">
        <v>627</v>
      </c>
      <c r="C6" s="335" t="s">
        <v>628</v>
      </c>
      <c r="D6" s="39">
        <v>11.45</v>
      </c>
      <c r="E6" s="40">
        <v>1.5759</v>
      </c>
      <c r="F6" s="39">
        <v>2</v>
      </c>
      <c r="G6" s="106">
        <v>9.6</v>
      </c>
      <c r="H6" s="106">
        <f t="shared" si="5"/>
        <v>75.68</v>
      </c>
      <c r="I6" s="107">
        <f t="shared" ref="I6" si="6">ROUND((H6+H7)/2,1)</f>
        <v>75.5</v>
      </c>
      <c r="J6" s="110">
        <f t="shared" ref="J6" si="7">(H6-H7)*100/I6</f>
        <v>0.556291390728479</v>
      </c>
      <c r="K6" s="111" t="s">
        <v>150</v>
      </c>
    </row>
    <row r="7" spans="1:11">
      <c r="A7" s="336"/>
      <c r="B7" s="41"/>
      <c r="C7" s="337"/>
      <c r="D7" s="39">
        <v>11.45</v>
      </c>
      <c r="E7" s="40">
        <v>1.5848</v>
      </c>
      <c r="F7" s="39">
        <v>2</v>
      </c>
      <c r="G7" s="106">
        <v>9.6</v>
      </c>
      <c r="H7" s="106">
        <f t="shared" ref="H7:H8" si="8">ROUND(D7*100*F7*250*100/50/E7/G7/1000,2)</f>
        <v>75.26</v>
      </c>
      <c r="I7" s="108"/>
      <c r="J7" s="112"/>
      <c r="K7" s="113"/>
    </row>
    <row r="8" spans="1:11">
      <c r="A8" s="334"/>
      <c r="B8" s="37" t="s">
        <v>629</v>
      </c>
      <c r="C8" s="335" t="s">
        <v>630</v>
      </c>
      <c r="D8" s="39">
        <v>11.45</v>
      </c>
      <c r="E8" s="40">
        <v>1.5513</v>
      </c>
      <c r="F8" s="39">
        <v>2</v>
      </c>
      <c r="G8" s="106">
        <v>9.5</v>
      </c>
      <c r="H8" s="106">
        <f t="shared" si="8"/>
        <v>77.69</v>
      </c>
      <c r="I8" s="107">
        <f t="shared" ref="I8" si="9">ROUND((H8+H9)/2,1)</f>
        <v>77.4</v>
      </c>
      <c r="J8" s="110">
        <f t="shared" ref="J8" si="10">(H8-H9)*100/I8</f>
        <v>0.76227390180879</v>
      </c>
      <c r="K8" s="111" t="s">
        <v>150</v>
      </c>
    </row>
    <row r="9" spans="1:11">
      <c r="A9" s="336"/>
      <c r="B9" s="41"/>
      <c r="C9" s="337"/>
      <c r="D9" s="39">
        <v>11.45</v>
      </c>
      <c r="E9" s="40">
        <v>1.5632</v>
      </c>
      <c r="F9" s="39">
        <v>2</v>
      </c>
      <c r="G9" s="106">
        <v>9.5</v>
      </c>
      <c r="H9" s="106">
        <f t="shared" ref="H9:H10" si="11">ROUND(D9*100*F9*250*100/50/E9/G9/1000,2)</f>
        <v>77.1</v>
      </c>
      <c r="I9" s="108"/>
      <c r="J9" s="112"/>
      <c r="K9" s="113"/>
    </row>
    <row r="10" spans="1:11">
      <c r="A10" s="334"/>
      <c r="B10" s="37" t="s">
        <v>631</v>
      </c>
      <c r="C10" s="335" t="s">
        <v>632</v>
      </c>
      <c r="D10" s="39">
        <v>11.45</v>
      </c>
      <c r="E10" s="40">
        <v>2.728</v>
      </c>
      <c r="F10" s="39">
        <v>2</v>
      </c>
      <c r="G10" s="106">
        <v>7</v>
      </c>
      <c r="H10" s="106">
        <f t="shared" si="11"/>
        <v>59.96</v>
      </c>
      <c r="I10" s="107">
        <f t="shared" ref="I10" si="12">ROUND((H10+H11)/2,1)</f>
        <v>60</v>
      </c>
      <c r="J10" s="110">
        <f t="shared" ref="J10" si="13">(H10-H11)*100/I10</f>
        <v>-0.149999999999994</v>
      </c>
      <c r="K10" s="111" t="s">
        <v>150</v>
      </c>
    </row>
    <row r="11" spans="1:11">
      <c r="A11" s="336"/>
      <c r="B11" s="41"/>
      <c r="C11" s="337"/>
      <c r="D11" s="39">
        <v>11.45</v>
      </c>
      <c r="E11" s="40">
        <v>2.7238</v>
      </c>
      <c r="F11" s="39">
        <v>2</v>
      </c>
      <c r="G11" s="106">
        <v>7</v>
      </c>
      <c r="H11" s="106">
        <f t="shared" ref="H11:H12" si="14">ROUND(D11*100*F11*250*100/50/E11/G11/1000,2)</f>
        <v>60.05</v>
      </c>
      <c r="I11" s="108"/>
      <c r="J11" s="112"/>
      <c r="K11" s="113"/>
    </row>
    <row r="12" spans="1:11">
      <c r="A12" s="334"/>
      <c r="B12" s="37" t="s">
        <v>633</v>
      </c>
      <c r="C12" s="335" t="s">
        <v>634</v>
      </c>
      <c r="D12" s="39">
        <v>11.45</v>
      </c>
      <c r="E12" s="40">
        <v>1.6148</v>
      </c>
      <c r="F12" s="39">
        <v>2</v>
      </c>
      <c r="G12" s="106">
        <v>8.7</v>
      </c>
      <c r="H12" s="106">
        <f t="shared" si="14"/>
        <v>81.5</v>
      </c>
      <c r="I12" s="107">
        <f t="shared" ref="I12" si="15">ROUND((H12+H13)/2,1)</f>
        <v>81.8</v>
      </c>
      <c r="J12" s="110">
        <f t="shared" ref="J12" si="16">(H12-H13)*100/I12</f>
        <v>-0.745721271393642</v>
      </c>
      <c r="K12" s="111" t="s">
        <v>150</v>
      </c>
    </row>
    <row r="13" spans="1:11">
      <c r="A13" s="336"/>
      <c r="B13" s="41"/>
      <c r="C13" s="337"/>
      <c r="D13" s="39">
        <v>11.45</v>
      </c>
      <c r="E13" s="40">
        <v>1.6029</v>
      </c>
      <c r="F13" s="39">
        <v>2</v>
      </c>
      <c r="G13" s="106">
        <v>8.7</v>
      </c>
      <c r="H13" s="106">
        <f t="shared" ref="H13:H14" si="17">ROUND(D13*100*F13*250*100/50/E13/G13/1000,2)</f>
        <v>82.11</v>
      </c>
      <c r="I13" s="108"/>
      <c r="J13" s="112"/>
      <c r="K13" s="113"/>
    </row>
    <row r="14" spans="1:11">
      <c r="A14" s="334"/>
      <c r="B14" s="37" t="s">
        <v>635</v>
      </c>
      <c r="C14" s="335" t="s">
        <v>636</v>
      </c>
      <c r="D14" s="39">
        <v>11.45</v>
      </c>
      <c r="E14" s="40">
        <v>1.5147</v>
      </c>
      <c r="F14" s="39">
        <v>1</v>
      </c>
      <c r="G14" s="106">
        <v>6.35</v>
      </c>
      <c r="H14" s="106">
        <f t="shared" si="17"/>
        <v>59.52</v>
      </c>
      <c r="I14" s="107">
        <f t="shared" ref="I14:I16" si="18">ROUND((H14+H15)/2,1)</f>
        <v>59.7</v>
      </c>
      <c r="J14" s="110">
        <f t="shared" ref="J14:J16" si="19">(H14-H15)*100/I14</f>
        <v>-0.737018425460633</v>
      </c>
      <c r="K14" s="111" t="s">
        <v>150</v>
      </c>
    </row>
    <row r="15" spans="1:11">
      <c r="A15" s="336"/>
      <c r="B15" s="41"/>
      <c r="C15" s="337"/>
      <c r="D15" s="39">
        <v>11.45</v>
      </c>
      <c r="E15" s="40">
        <v>1.5036</v>
      </c>
      <c r="F15" s="39">
        <v>1</v>
      </c>
      <c r="G15" s="106">
        <v>6.35</v>
      </c>
      <c r="H15" s="106">
        <f t="shared" ref="H15:H16" si="20">ROUND(D15*100*F15*250*100/50/E15/G15/1000,2)</f>
        <v>59.96</v>
      </c>
      <c r="I15" s="108"/>
      <c r="J15" s="112"/>
      <c r="K15" s="113"/>
    </row>
    <row r="16" spans="1:11">
      <c r="A16" s="334"/>
      <c r="B16" s="37" t="s">
        <v>637</v>
      </c>
      <c r="C16" s="335" t="s">
        <v>179</v>
      </c>
      <c r="D16" s="39">
        <v>11.45</v>
      </c>
      <c r="E16" s="40">
        <v>1.7514</v>
      </c>
      <c r="F16" s="39">
        <v>2</v>
      </c>
      <c r="G16" s="106">
        <v>8.8</v>
      </c>
      <c r="H16" s="106">
        <f t="shared" si="20"/>
        <v>74.29</v>
      </c>
      <c r="I16" s="107">
        <f t="shared" si="18"/>
        <v>74.1</v>
      </c>
      <c r="J16" s="110">
        <f t="shared" si="19"/>
        <v>0.485829959514169</v>
      </c>
      <c r="K16" s="111" t="s">
        <v>150</v>
      </c>
    </row>
    <row r="17" spans="1:11">
      <c r="A17" s="336"/>
      <c r="B17" s="41"/>
      <c r="C17" s="337"/>
      <c r="D17" s="39">
        <v>11.45</v>
      </c>
      <c r="E17" s="40">
        <v>1.7599</v>
      </c>
      <c r="F17" s="39">
        <v>2</v>
      </c>
      <c r="G17" s="106">
        <v>8.8</v>
      </c>
      <c r="H17" s="106">
        <f t="shared" ref="H17:H18" si="21">ROUND(D17*100*F17*250*100/50/E17/G17/1000,2)</f>
        <v>73.93</v>
      </c>
      <c r="I17" s="108"/>
      <c r="J17" s="112"/>
      <c r="K17" s="113"/>
    </row>
    <row r="18" spans="1:11">
      <c r="A18" s="334"/>
      <c r="B18" s="37" t="s">
        <v>638</v>
      </c>
      <c r="C18" s="335" t="s">
        <v>639</v>
      </c>
      <c r="D18" s="39">
        <v>11.3</v>
      </c>
      <c r="E18" s="40">
        <v>2.9704</v>
      </c>
      <c r="F18" s="39">
        <v>1</v>
      </c>
      <c r="G18" s="106">
        <v>13.4</v>
      </c>
      <c r="H18" s="106">
        <f t="shared" si="21"/>
        <v>14.19</v>
      </c>
      <c r="I18" s="107">
        <f t="shared" ref="I18" si="22">ROUND((H18+H19)/2,1)</f>
        <v>14.2</v>
      </c>
      <c r="J18" s="110">
        <f t="shared" ref="J18" si="23">(H18-H19)*100/I18</f>
        <v>0</v>
      </c>
      <c r="K18" s="111" t="s">
        <v>150</v>
      </c>
    </row>
    <row r="19" spans="1:11">
      <c r="A19" s="336"/>
      <c r="B19" s="41"/>
      <c r="C19" s="337"/>
      <c r="D19" s="39">
        <v>11.3</v>
      </c>
      <c r="E19" s="40">
        <v>3.0502</v>
      </c>
      <c r="F19" s="39">
        <v>1</v>
      </c>
      <c r="G19" s="106">
        <v>13.05</v>
      </c>
      <c r="H19" s="106">
        <f t="shared" ref="H19:H20" si="24">ROUND(D19*100*F19*250*100/50/E19/G19/1000,2)</f>
        <v>14.19</v>
      </c>
      <c r="I19" s="108"/>
      <c r="J19" s="112"/>
      <c r="K19" s="113"/>
    </row>
    <row r="20" spans="1:11">
      <c r="A20" s="334"/>
      <c r="B20" s="37" t="s">
        <v>640</v>
      </c>
      <c r="C20" s="335" t="s">
        <v>641</v>
      </c>
      <c r="D20" s="39">
        <v>11.45</v>
      </c>
      <c r="E20" s="40">
        <v>3.3701</v>
      </c>
      <c r="F20" s="39">
        <v>4</v>
      </c>
      <c r="G20" s="106">
        <v>10.8</v>
      </c>
      <c r="H20" s="106">
        <f t="shared" si="24"/>
        <v>62.92</v>
      </c>
      <c r="I20" s="107">
        <f t="shared" ref="I20" si="25">ROUND((H20+H21)/2,1)</f>
        <v>63.2</v>
      </c>
      <c r="J20" s="110">
        <f t="shared" ref="J20" si="26">(H20-H21)*100/I20</f>
        <v>-0.854430379746834</v>
      </c>
      <c r="K20" s="111" t="s">
        <v>150</v>
      </c>
    </row>
    <row r="21" spans="1:11">
      <c r="A21" s="336"/>
      <c r="B21" s="41"/>
      <c r="C21" s="337"/>
      <c r="D21" s="39">
        <v>11.45</v>
      </c>
      <c r="E21" s="40">
        <v>2.7133</v>
      </c>
      <c r="F21" s="39">
        <v>4</v>
      </c>
      <c r="G21" s="106">
        <v>13.3</v>
      </c>
      <c r="H21" s="106">
        <f t="shared" ref="H21:H22" si="27">ROUND(D21*100*F21*250*100/50/E21/G21/1000,2)</f>
        <v>63.46</v>
      </c>
      <c r="I21" s="108"/>
      <c r="J21" s="112"/>
      <c r="K21" s="113"/>
    </row>
    <row r="22" spans="1:11">
      <c r="A22" s="334"/>
      <c r="B22" s="37" t="s">
        <v>642</v>
      </c>
      <c r="C22" s="335" t="s">
        <v>643</v>
      </c>
      <c r="D22" s="39">
        <v>11.45</v>
      </c>
      <c r="E22" s="40">
        <v>2.7007</v>
      </c>
      <c r="F22" s="39">
        <v>1</v>
      </c>
      <c r="G22" s="106">
        <v>12.2</v>
      </c>
      <c r="H22" s="106">
        <f t="shared" si="27"/>
        <v>17.38</v>
      </c>
      <c r="I22" s="107">
        <f t="shared" ref="I22" si="28">ROUND((H22+H23)/2,1)</f>
        <v>17.4</v>
      </c>
      <c r="J22" s="110">
        <f t="shared" ref="J22" si="29">(H22-H23)*100/I22</f>
        <v>0.11494252873563</v>
      </c>
      <c r="K22" s="111" t="s">
        <v>150</v>
      </c>
    </row>
    <row r="23" spans="1:11">
      <c r="A23" s="336"/>
      <c r="B23" s="41"/>
      <c r="C23" s="337"/>
      <c r="D23" s="39">
        <v>11.45</v>
      </c>
      <c r="E23" s="40">
        <v>2.7487</v>
      </c>
      <c r="F23" s="39">
        <v>1</v>
      </c>
      <c r="G23" s="106">
        <v>12</v>
      </c>
      <c r="H23" s="106">
        <f t="shared" ref="H23" si="30">ROUND(D23*100*F23*250*100/50/E23/G23/1000,2)</f>
        <v>17.36</v>
      </c>
      <c r="I23" s="108"/>
      <c r="J23" s="112"/>
      <c r="K23" s="113"/>
    </row>
    <row r="25" spans="1:11">
      <c r="A25" s="334"/>
      <c r="B25" s="37" t="s">
        <v>644</v>
      </c>
      <c r="C25" s="335" t="s">
        <v>645</v>
      </c>
      <c r="D25" s="39">
        <v>11.45</v>
      </c>
      <c r="E25" s="40">
        <v>2.7426</v>
      </c>
      <c r="F25" s="39">
        <v>2</v>
      </c>
      <c r="G25" s="106">
        <v>7</v>
      </c>
      <c r="H25" s="106">
        <f>ROUND(D25*100*F25*250*100/50/E25/G25/1000,2)</f>
        <v>59.64</v>
      </c>
      <c r="I25" s="107">
        <f t="shared" ref="I25" si="31">ROUND((H25+H26)/2,1)</f>
        <v>59.7</v>
      </c>
      <c r="J25" s="110">
        <f t="shared" ref="J25" si="32">(H25-H26)*100/I25</f>
        <v>-0.0335008375209314</v>
      </c>
      <c r="K25" s="111" t="s">
        <v>150</v>
      </c>
    </row>
    <row r="26" spans="1:11">
      <c r="A26" s="336"/>
      <c r="B26" s="41"/>
      <c r="C26" s="337"/>
      <c r="D26" s="39">
        <v>11.45</v>
      </c>
      <c r="E26" s="40">
        <v>2.7419</v>
      </c>
      <c r="F26" s="39">
        <v>2</v>
      </c>
      <c r="G26" s="106">
        <v>7</v>
      </c>
      <c r="H26" s="106">
        <f t="shared" ref="H26:H27" si="33">ROUND(D26*100*F26*250*100/50/E26/G26/1000,2)</f>
        <v>59.66</v>
      </c>
      <c r="I26" s="108"/>
      <c r="J26" s="112"/>
      <c r="K26" s="113"/>
    </row>
    <row r="27" spans="1:11">
      <c r="A27" s="334"/>
      <c r="B27" s="37" t="s">
        <v>646</v>
      </c>
      <c r="C27" s="335" t="s">
        <v>647</v>
      </c>
      <c r="D27" s="39">
        <v>11.45</v>
      </c>
      <c r="E27" s="40">
        <v>3.4248</v>
      </c>
      <c r="F27" s="39">
        <v>1</v>
      </c>
      <c r="G27" s="106">
        <v>5.6</v>
      </c>
      <c r="H27" s="106">
        <f t="shared" si="33"/>
        <v>29.85</v>
      </c>
      <c r="I27" s="107">
        <f t="shared" ref="I27" si="34">ROUND((H27+H28)/2,1)</f>
        <v>30.4</v>
      </c>
      <c r="J27" s="110">
        <f t="shared" ref="J27" si="35">(H27-H28)*100/I27</f>
        <v>-3.35526315789474</v>
      </c>
      <c r="K27" s="111" t="s">
        <v>150</v>
      </c>
    </row>
    <row r="28" spans="1:11">
      <c r="A28" s="336"/>
      <c r="B28" s="41"/>
      <c r="C28" s="337"/>
      <c r="D28" s="39">
        <v>11.45</v>
      </c>
      <c r="E28" s="40">
        <v>2.7676</v>
      </c>
      <c r="F28" s="39">
        <v>1</v>
      </c>
      <c r="G28" s="106">
        <v>6.7</v>
      </c>
      <c r="H28" s="106">
        <f t="shared" ref="H28:H29" si="36">ROUND(D28*100*F28*250*100/50/E28/G28/1000,2)</f>
        <v>30.87</v>
      </c>
      <c r="I28" s="108"/>
      <c r="J28" s="112"/>
      <c r="K28" s="113"/>
    </row>
    <row r="29" s="319" customFormat="1" spans="1:14">
      <c r="A29" s="338"/>
      <c r="B29" s="125" t="s">
        <v>648</v>
      </c>
      <c r="C29" s="335" t="s">
        <v>649</v>
      </c>
      <c r="D29" s="127">
        <v>11.4</v>
      </c>
      <c r="E29" s="128">
        <v>2.6912</v>
      </c>
      <c r="F29" s="127">
        <v>1</v>
      </c>
      <c r="G29" s="115">
        <v>11.8</v>
      </c>
      <c r="H29" s="115">
        <f t="shared" si="36"/>
        <v>17.95</v>
      </c>
      <c r="I29" s="129">
        <f t="shared" ref="I29" si="37">ROUND((H29+H30)/2,1)</f>
        <v>18</v>
      </c>
      <c r="J29" s="139">
        <f t="shared" ref="J29" si="38">(H29-H30)*100/I29</f>
        <v>-0.166666666666673</v>
      </c>
      <c r="K29" s="133" t="s">
        <v>150</v>
      </c>
      <c r="L29" s="350">
        <v>0.03</v>
      </c>
      <c r="M29" s="351"/>
      <c r="N29" s="352"/>
    </row>
    <row r="30" s="319" customFormat="1" spans="1:14">
      <c r="A30" s="339"/>
      <c r="B30" s="130"/>
      <c r="C30" s="337"/>
      <c r="D30" s="127">
        <v>11.4</v>
      </c>
      <c r="E30" s="128">
        <v>2.6872</v>
      </c>
      <c r="F30" s="127">
        <v>1</v>
      </c>
      <c r="G30" s="115">
        <v>11.8</v>
      </c>
      <c r="H30" s="115">
        <f t="shared" ref="H30:H33" si="39">ROUND(D30*100*F30*250*100/50/E30/G30/1000,2)</f>
        <v>17.98</v>
      </c>
      <c r="I30" s="132"/>
      <c r="J30" s="140"/>
      <c r="K30" s="134"/>
      <c r="L30" s="350"/>
      <c r="M30" s="351"/>
      <c r="N30" s="352"/>
    </row>
    <row r="31" s="319" customFormat="1" spans="1:14">
      <c r="A31" s="338"/>
      <c r="B31" s="125" t="s">
        <v>650</v>
      </c>
      <c r="C31" s="335" t="s">
        <v>649</v>
      </c>
      <c r="D31" s="127">
        <v>11.4</v>
      </c>
      <c r="E31" s="128">
        <v>2.89</v>
      </c>
      <c r="F31" s="127">
        <v>1</v>
      </c>
      <c r="G31" s="115">
        <v>12.1</v>
      </c>
      <c r="H31" s="115">
        <f t="shared" si="39"/>
        <v>16.3</v>
      </c>
      <c r="I31" s="129">
        <f t="shared" ref="I31" si="40">ROUND((H31+H32)/2,1)</f>
        <v>16.2</v>
      </c>
      <c r="J31" s="139">
        <f t="shared" ref="J31" si="41">(H31-H32)*100/I31</f>
        <v>1.35802469135804</v>
      </c>
      <c r="K31" s="133" t="s">
        <v>150</v>
      </c>
      <c r="L31" s="350"/>
      <c r="M31" s="351"/>
      <c r="N31" s="352"/>
    </row>
    <row r="32" s="319" customFormat="1" spans="1:14">
      <c r="A32" s="339"/>
      <c r="B32" s="130"/>
      <c r="C32" s="337"/>
      <c r="D32" s="127">
        <v>11.4</v>
      </c>
      <c r="E32" s="128">
        <v>2.882</v>
      </c>
      <c r="F32" s="127">
        <v>1</v>
      </c>
      <c r="G32" s="115">
        <v>12.3</v>
      </c>
      <c r="H32" s="115">
        <f t="shared" si="39"/>
        <v>16.08</v>
      </c>
      <c r="I32" s="132"/>
      <c r="J32" s="140"/>
      <c r="K32" s="134"/>
      <c r="L32" s="350"/>
      <c r="M32" s="351"/>
      <c r="N32" s="352"/>
    </row>
    <row r="33" s="320" customFormat="1" spans="1:14">
      <c r="A33" s="340"/>
      <c r="B33" s="341" t="s">
        <v>651</v>
      </c>
      <c r="C33" s="335" t="s">
        <v>652</v>
      </c>
      <c r="D33" s="305">
        <v>11.45</v>
      </c>
      <c r="E33" s="303">
        <v>3.4248</v>
      </c>
      <c r="F33" s="305">
        <v>1</v>
      </c>
      <c r="G33" s="306">
        <v>5.35</v>
      </c>
      <c r="H33" s="306">
        <f t="shared" si="39"/>
        <v>31.25</v>
      </c>
      <c r="I33" s="353">
        <f t="shared" ref="I33" si="42">ROUND((H33+H34)/2,1)</f>
        <v>31.1</v>
      </c>
      <c r="J33" s="354">
        <f t="shared" ref="J33" si="43">(H33-H34)*100/I33</f>
        <v>1.22186495176849</v>
      </c>
      <c r="K33" s="111" t="s">
        <v>150</v>
      </c>
      <c r="L33" s="355">
        <v>0.38</v>
      </c>
      <c r="M33" s="356"/>
      <c r="N33" s="357"/>
    </row>
    <row r="34" s="320" customFormat="1" spans="1:14">
      <c r="A34" s="342"/>
      <c r="B34" s="343"/>
      <c r="C34" s="337"/>
      <c r="D34" s="305">
        <v>11.45</v>
      </c>
      <c r="E34" s="303">
        <v>2.7676</v>
      </c>
      <c r="F34" s="305">
        <v>1</v>
      </c>
      <c r="G34" s="306">
        <v>6.7</v>
      </c>
      <c r="H34" s="306">
        <f t="shared" ref="H34:H35" si="44">ROUND(D34*100*F34*250*100/50/E34/G34/1000,2)</f>
        <v>30.87</v>
      </c>
      <c r="I34" s="358"/>
      <c r="J34" s="359"/>
      <c r="K34" s="360"/>
      <c r="L34" s="355"/>
      <c r="M34" s="356"/>
      <c r="N34" s="357"/>
    </row>
    <row r="35" spans="1:11">
      <c r="A35" s="334"/>
      <c r="B35" s="37" t="s">
        <v>479</v>
      </c>
      <c r="C35" s="335" t="s">
        <v>653</v>
      </c>
      <c r="D35" s="39">
        <v>11.4</v>
      </c>
      <c r="E35" s="40">
        <v>5.3538</v>
      </c>
      <c r="F35" s="39">
        <v>1</v>
      </c>
      <c r="G35" s="106">
        <v>11.9</v>
      </c>
      <c r="H35" s="106">
        <f t="shared" si="44"/>
        <v>8.95</v>
      </c>
      <c r="I35" s="107">
        <f t="shared" ref="I35" si="45">ROUND((H35+H36)/2,1)</f>
        <v>9</v>
      </c>
      <c r="J35" s="110">
        <f t="shared" ref="J35" si="46">(H35-H36)*100/I35</f>
        <v>0</v>
      </c>
      <c r="K35" s="111" t="s">
        <v>150</v>
      </c>
    </row>
    <row r="36" spans="1:11">
      <c r="A36" s="336"/>
      <c r="B36" s="41"/>
      <c r="C36" s="337"/>
      <c r="D36" s="39">
        <v>11.4</v>
      </c>
      <c r="E36" s="40">
        <v>5.3538</v>
      </c>
      <c r="F36" s="39">
        <v>1</v>
      </c>
      <c r="G36" s="106">
        <v>11.9</v>
      </c>
      <c r="H36" s="106">
        <f t="shared" ref="H36" si="47">ROUND(D36*100*F36*250*100/50/E36/G36/1000,2)</f>
        <v>8.95</v>
      </c>
      <c r="I36" s="108"/>
      <c r="J36" s="112"/>
      <c r="K36" s="113"/>
    </row>
    <row r="37" spans="1:11">
      <c r="A37" s="334"/>
      <c r="B37" s="37" t="s">
        <v>482</v>
      </c>
      <c r="C37" s="335" t="s">
        <v>653</v>
      </c>
      <c r="D37" s="39">
        <v>11.4</v>
      </c>
      <c r="E37" s="40">
        <v>5.3869</v>
      </c>
      <c r="F37" s="39">
        <v>1</v>
      </c>
      <c r="G37" s="106">
        <v>13.9</v>
      </c>
      <c r="H37" s="106">
        <f t="shared" ref="H37:H46" si="48">ROUND(D37*100*F37*250*100/50/E37/G37/1000,2)</f>
        <v>7.61</v>
      </c>
      <c r="I37" s="107">
        <f t="shared" ref="I37" si="49">ROUND((H37+H38)/2,1)</f>
        <v>7.6</v>
      </c>
      <c r="J37" s="110">
        <f t="shared" ref="J37" si="50">(H37-H38)*100/I37</f>
        <v>0</v>
      </c>
      <c r="K37" s="111" t="s">
        <v>150</v>
      </c>
    </row>
    <row r="38" spans="1:11">
      <c r="A38" s="336"/>
      <c r="B38" s="41"/>
      <c r="C38" s="337"/>
      <c r="D38" s="39">
        <v>11.4</v>
      </c>
      <c r="E38" s="40">
        <v>5.3869</v>
      </c>
      <c r="F38" s="39">
        <v>1</v>
      </c>
      <c r="G38" s="106">
        <v>13.9</v>
      </c>
      <c r="H38" s="106">
        <f t="shared" si="48"/>
        <v>7.61</v>
      </c>
      <c r="I38" s="108"/>
      <c r="J38" s="112"/>
      <c r="K38" s="113"/>
    </row>
    <row r="39" spans="1:11">
      <c r="A39" s="334"/>
      <c r="B39" s="37" t="s">
        <v>483</v>
      </c>
      <c r="C39" s="335" t="s">
        <v>653</v>
      </c>
      <c r="D39" s="39">
        <v>11.4</v>
      </c>
      <c r="E39" s="40">
        <v>5.1542</v>
      </c>
      <c r="F39" s="39">
        <v>1</v>
      </c>
      <c r="G39" s="106">
        <v>14.35</v>
      </c>
      <c r="H39" s="106">
        <f t="shared" si="48"/>
        <v>7.71</v>
      </c>
      <c r="I39" s="107">
        <f t="shared" ref="I39" si="51">ROUND((H39+H40)/2,1)</f>
        <v>7.7</v>
      </c>
      <c r="J39" s="110">
        <f t="shared" ref="J39" si="52">(H39-H40)*100/I39</f>
        <v>0.389610389610393</v>
      </c>
      <c r="K39" s="111" t="s">
        <v>150</v>
      </c>
    </row>
    <row r="40" spans="1:11">
      <c r="A40" s="336"/>
      <c r="B40" s="41"/>
      <c r="C40" s="337"/>
      <c r="D40" s="39">
        <v>11.4</v>
      </c>
      <c r="E40" s="40">
        <v>5.1542</v>
      </c>
      <c r="F40" s="39">
        <v>1</v>
      </c>
      <c r="G40" s="106">
        <v>14.4</v>
      </c>
      <c r="H40" s="106">
        <f t="shared" si="48"/>
        <v>7.68</v>
      </c>
      <c r="I40" s="108"/>
      <c r="J40" s="112"/>
      <c r="K40" s="113"/>
    </row>
    <row r="41" spans="1:11">
      <c r="A41" s="334"/>
      <c r="B41" s="37" t="s">
        <v>484</v>
      </c>
      <c r="C41" s="335" t="s">
        <v>653</v>
      </c>
      <c r="D41" s="39">
        <v>11.4</v>
      </c>
      <c r="E41" s="40">
        <v>5.2212</v>
      </c>
      <c r="F41" s="39">
        <v>1</v>
      </c>
      <c r="G41" s="106">
        <v>10.8</v>
      </c>
      <c r="H41" s="106">
        <f t="shared" si="48"/>
        <v>10.11</v>
      </c>
      <c r="I41" s="107">
        <f t="shared" ref="I41" si="53">ROUND((H41+H42)/2,1)</f>
        <v>10.1</v>
      </c>
      <c r="J41" s="110">
        <f t="shared" ref="J41" si="54">(H41-H42)*100/I41</f>
        <v>0</v>
      </c>
      <c r="K41" s="111" t="s">
        <v>150</v>
      </c>
    </row>
    <row r="42" spans="1:11">
      <c r="A42" s="336"/>
      <c r="B42" s="41"/>
      <c r="C42" s="337"/>
      <c r="D42" s="39">
        <v>11.4</v>
      </c>
      <c r="E42" s="40">
        <v>5.2212</v>
      </c>
      <c r="F42" s="39">
        <v>1</v>
      </c>
      <c r="G42" s="106">
        <v>10.8</v>
      </c>
      <c r="H42" s="106">
        <f t="shared" si="48"/>
        <v>10.11</v>
      </c>
      <c r="I42" s="108"/>
      <c r="J42" s="112"/>
      <c r="K42" s="113"/>
    </row>
    <row r="43" spans="1:11">
      <c r="A43" s="334"/>
      <c r="B43" s="37" t="s">
        <v>486</v>
      </c>
      <c r="C43" s="335" t="s">
        <v>653</v>
      </c>
      <c r="D43" s="39">
        <v>11.4</v>
      </c>
      <c r="E43" s="40">
        <v>4.8009</v>
      </c>
      <c r="F43" s="39">
        <v>1</v>
      </c>
      <c r="G43" s="106">
        <v>11.2</v>
      </c>
      <c r="H43" s="106">
        <f t="shared" si="48"/>
        <v>10.6</v>
      </c>
      <c r="I43" s="107">
        <f t="shared" ref="I43" si="55">ROUND((H43+H44)/2,1)</f>
        <v>10.8</v>
      </c>
      <c r="J43" s="110">
        <f t="shared" ref="J43" si="56">(H43-H44)*100/I43</f>
        <v>-4.35185185185186</v>
      </c>
      <c r="K43" s="111" t="s">
        <v>150</v>
      </c>
    </row>
    <row r="44" spans="1:11">
      <c r="A44" s="336"/>
      <c r="B44" s="41"/>
      <c r="C44" s="337"/>
      <c r="D44" s="39">
        <v>11.4</v>
      </c>
      <c r="E44" s="40">
        <v>4.9057</v>
      </c>
      <c r="F44" s="39">
        <v>1</v>
      </c>
      <c r="G44" s="106">
        <v>10.5</v>
      </c>
      <c r="H44" s="106">
        <f t="shared" si="48"/>
        <v>11.07</v>
      </c>
      <c r="I44" s="108"/>
      <c r="J44" s="112"/>
      <c r="K44" s="113"/>
    </row>
    <row r="45" spans="1:11">
      <c r="A45" s="334"/>
      <c r="B45" s="37" t="s">
        <v>487</v>
      </c>
      <c r="C45" s="335" t="s">
        <v>653</v>
      </c>
      <c r="D45" s="39">
        <v>11.4</v>
      </c>
      <c r="E45" s="40">
        <v>4.9306</v>
      </c>
      <c r="F45" s="39">
        <v>1</v>
      </c>
      <c r="G45" s="106">
        <v>13.8</v>
      </c>
      <c r="H45" s="106">
        <f t="shared" si="48"/>
        <v>8.38</v>
      </c>
      <c r="I45" s="107">
        <f t="shared" ref="I45" si="57">ROUND((H45+H46)/2,1)</f>
        <v>8.4</v>
      </c>
      <c r="J45" s="110">
        <f t="shared" ref="J45" si="58">(H45-H46)*100/I45</f>
        <v>0</v>
      </c>
      <c r="K45" s="111" t="s">
        <v>150</v>
      </c>
    </row>
    <row r="46" spans="1:11">
      <c r="A46" s="336"/>
      <c r="B46" s="41"/>
      <c r="C46" s="337"/>
      <c r="D46" s="39">
        <v>11.4</v>
      </c>
      <c r="E46" s="40">
        <v>4.9306</v>
      </c>
      <c r="F46" s="39">
        <v>1</v>
      </c>
      <c r="G46" s="106">
        <v>13.8</v>
      </c>
      <c r="H46" s="106">
        <f t="shared" si="48"/>
        <v>8.38</v>
      </c>
      <c r="I46" s="108"/>
      <c r="J46" s="112"/>
      <c r="K46" s="113"/>
    </row>
    <row r="47" ht="21" customHeight="1" spans="1:11">
      <c r="A47" s="334"/>
      <c r="B47" s="37" t="s">
        <v>654</v>
      </c>
      <c r="C47" s="335" t="s">
        <v>655</v>
      </c>
      <c r="D47" s="39">
        <v>11.4</v>
      </c>
      <c r="E47" s="40">
        <v>2.9403</v>
      </c>
      <c r="F47" s="39">
        <v>2</v>
      </c>
      <c r="G47" s="106">
        <v>9.7</v>
      </c>
      <c r="H47" s="106">
        <f t="shared" ref="H47:H48" si="59">ROUND(D47*100*F47*250*100/50/E47/G47/1000,2)</f>
        <v>39.97</v>
      </c>
      <c r="I47" s="107">
        <f t="shared" ref="I47" si="60">ROUND((H47+H48)/2,1)</f>
        <v>39.9</v>
      </c>
      <c r="J47" s="110">
        <f t="shared" ref="J47" si="61">(H47-H48)*100/I47</f>
        <v>0.325814536340841</v>
      </c>
      <c r="K47" s="111" t="s">
        <v>150</v>
      </c>
    </row>
    <row r="48" spans="1:11">
      <c r="A48" s="336"/>
      <c r="B48" s="41"/>
      <c r="C48" s="337"/>
      <c r="D48" s="39">
        <v>11.4</v>
      </c>
      <c r="E48" s="40">
        <v>3.0122</v>
      </c>
      <c r="F48" s="39">
        <v>2</v>
      </c>
      <c r="G48" s="106">
        <v>9.5</v>
      </c>
      <c r="H48" s="106">
        <f t="shared" si="59"/>
        <v>39.84</v>
      </c>
      <c r="I48" s="108"/>
      <c r="J48" s="112"/>
      <c r="K48" s="113" t="s">
        <v>656</v>
      </c>
    </row>
    <row r="49" spans="1:11">
      <c r="A49" s="334"/>
      <c r="B49" s="341" t="s">
        <v>657</v>
      </c>
      <c r="C49" s="344" t="s">
        <v>658</v>
      </c>
      <c r="D49" s="305">
        <v>11.4</v>
      </c>
      <c r="E49" s="303">
        <v>2.9122</v>
      </c>
      <c r="F49" s="305">
        <v>4</v>
      </c>
      <c r="G49" s="306">
        <v>12.3</v>
      </c>
      <c r="H49" s="306">
        <f t="shared" ref="H49:H50" si="62">ROUND(D49*100*F49*250*100/50/E49/G49/1000,2)</f>
        <v>63.65</v>
      </c>
      <c r="I49" s="353">
        <f t="shared" ref="I49" si="63">ROUND((H49+H50)/2,1)</f>
        <v>63.5</v>
      </c>
      <c r="J49" s="354">
        <f t="shared" ref="J49" si="64">(H49-H50)*100/I49</f>
        <v>0.346456692913384</v>
      </c>
      <c r="K49" s="361" t="s">
        <v>150</v>
      </c>
    </row>
    <row r="50" spans="1:11">
      <c r="A50" s="336"/>
      <c r="B50" s="343"/>
      <c r="C50" s="337"/>
      <c r="D50" s="305">
        <v>11.4</v>
      </c>
      <c r="E50" s="303">
        <v>2.8873</v>
      </c>
      <c r="F50" s="305">
        <v>4</v>
      </c>
      <c r="G50" s="306">
        <v>12.45</v>
      </c>
      <c r="H50" s="306">
        <f t="shared" si="62"/>
        <v>63.43</v>
      </c>
      <c r="I50" s="358"/>
      <c r="J50" s="359"/>
      <c r="K50" s="360" t="s">
        <v>656</v>
      </c>
    </row>
    <row r="51" spans="1:11">
      <c r="A51" s="334"/>
      <c r="B51" s="341" t="s">
        <v>657</v>
      </c>
      <c r="C51" s="344" t="s">
        <v>658</v>
      </c>
      <c r="D51" s="305">
        <v>11.4</v>
      </c>
      <c r="E51" s="303">
        <v>2.6092</v>
      </c>
      <c r="F51" s="305">
        <v>2</v>
      </c>
      <c r="G51" s="306">
        <v>6.8</v>
      </c>
      <c r="H51" s="306">
        <f t="shared" ref="H51:H52" si="65">ROUND(D51*100*F51*250*100/50/E51/G51/1000,2)</f>
        <v>64.25</v>
      </c>
      <c r="I51" s="353">
        <f t="shared" ref="I51" si="66">ROUND((H51+H52)/2,1)</f>
        <v>64.3</v>
      </c>
      <c r="J51" s="354">
        <f t="shared" ref="J51" si="67">(H51-H52)*100/I51</f>
        <v>0</v>
      </c>
      <c r="K51" s="361" t="s">
        <v>150</v>
      </c>
    </row>
    <row r="52" spans="1:11">
      <c r="A52" s="336"/>
      <c r="B52" s="343"/>
      <c r="C52" s="337"/>
      <c r="D52" s="305">
        <v>11.4</v>
      </c>
      <c r="E52" s="303">
        <v>2.6092</v>
      </c>
      <c r="F52" s="305">
        <v>2</v>
      </c>
      <c r="G52" s="306">
        <v>6.8</v>
      </c>
      <c r="H52" s="306">
        <f t="shared" si="65"/>
        <v>64.25</v>
      </c>
      <c r="I52" s="358"/>
      <c r="J52" s="359"/>
      <c r="K52" s="360" t="s">
        <v>656</v>
      </c>
    </row>
    <row r="53" spans="1:11">
      <c r="A53" s="334"/>
      <c r="B53" s="341" t="s">
        <v>659</v>
      </c>
      <c r="C53" s="344" t="s">
        <v>660</v>
      </c>
      <c r="D53" s="305">
        <v>11.55</v>
      </c>
      <c r="E53" s="303">
        <v>3.0843</v>
      </c>
      <c r="F53" s="305">
        <v>1</v>
      </c>
      <c r="G53" s="306">
        <v>8.2</v>
      </c>
      <c r="H53" s="306">
        <f t="shared" ref="H53:H56" si="68">ROUND(D53*100*F53*250*100/50/E53/G53/1000,2)</f>
        <v>22.83</v>
      </c>
      <c r="I53" s="353">
        <f t="shared" ref="I53" si="69">ROUND((H53+H54)/2,1)</f>
        <v>22.7</v>
      </c>
      <c r="J53" s="354">
        <f t="shared" ref="J53" si="70">(H53-H54)*100/I53</f>
        <v>1.40969162995593</v>
      </c>
      <c r="K53" s="361" t="s">
        <v>150</v>
      </c>
    </row>
    <row r="54" spans="1:11">
      <c r="A54" s="336"/>
      <c r="B54" s="343"/>
      <c r="C54" s="337"/>
      <c r="D54" s="305">
        <v>11.55</v>
      </c>
      <c r="E54" s="303">
        <v>2.8827</v>
      </c>
      <c r="F54" s="305">
        <v>1</v>
      </c>
      <c r="G54" s="306">
        <v>8.9</v>
      </c>
      <c r="H54" s="306">
        <f t="shared" si="68"/>
        <v>22.51</v>
      </c>
      <c r="I54" s="358"/>
      <c r="J54" s="359"/>
      <c r="K54" s="360" t="s">
        <v>656</v>
      </c>
    </row>
    <row r="55" spans="1:11">
      <c r="A55" s="334"/>
      <c r="B55" s="341" t="s">
        <v>151</v>
      </c>
      <c r="C55" s="344" t="s">
        <v>152</v>
      </c>
      <c r="D55" s="305">
        <v>11.5</v>
      </c>
      <c r="E55" s="303">
        <v>4.0708</v>
      </c>
      <c r="F55" s="305">
        <v>2</v>
      </c>
      <c r="G55" s="306">
        <v>9.1</v>
      </c>
      <c r="H55" s="306">
        <f t="shared" si="68"/>
        <v>31.04</v>
      </c>
      <c r="I55" s="353">
        <f t="shared" ref="I55:I59" si="71">ROUND((H55+H56)/2,1)</f>
        <v>30.6</v>
      </c>
      <c r="J55" s="354">
        <f t="shared" ref="J55:J59" si="72">(H55-H56)*100/I55</f>
        <v>2.94117647058823</v>
      </c>
      <c r="K55" s="361" t="s">
        <v>150</v>
      </c>
    </row>
    <row r="56" spans="1:11">
      <c r="A56" s="336"/>
      <c r="B56" s="343"/>
      <c r="C56" s="337"/>
      <c r="D56" s="305">
        <v>11.5</v>
      </c>
      <c r="E56" s="303">
        <v>3.2897</v>
      </c>
      <c r="F56" s="305">
        <v>1</v>
      </c>
      <c r="G56" s="306">
        <v>5.8</v>
      </c>
      <c r="H56" s="306">
        <f t="shared" si="68"/>
        <v>30.14</v>
      </c>
      <c r="I56" s="358"/>
      <c r="J56" s="359"/>
      <c r="K56" s="360" t="s">
        <v>656</v>
      </c>
    </row>
    <row r="57" spans="1:11">
      <c r="A57" s="334"/>
      <c r="B57" s="125" t="s">
        <v>661</v>
      </c>
      <c r="C57" s="344" t="s">
        <v>662</v>
      </c>
      <c r="D57" s="127">
        <v>11.5</v>
      </c>
      <c r="E57" s="128">
        <v>2.9134</v>
      </c>
      <c r="F57" s="127">
        <v>1</v>
      </c>
      <c r="G57" s="115">
        <v>9.4</v>
      </c>
      <c r="H57" s="115">
        <f t="shared" ref="H57:H64" si="73">ROUND(D57*100*F57*250*100/50/E57/G57/1000,2)</f>
        <v>21</v>
      </c>
      <c r="I57" s="129">
        <f t="shared" si="71"/>
        <v>21</v>
      </c>
      <c r="J57" s="139">
        <f t="shared" si="72"/>
        <v>0.142857142857148</v>
      </c>
      <c r="K57" s="133" t="s">
        <v>150</v>
      </c>
    </row>
    <row r="58" spans="1:11">
      <c r="A58" s="336"/>
      <c r="B58" s="130"/>
      <c r="C58" s="337"/>
      <c r="D58" s="127">
        <v>11.5</v>
      </c>
      <c r="E58" s="128">
        <v>2.981</v>
      </c>
      <c r="F58" s="127">
        <v>1</v>
      </c>
      <c r="G58" s="115">
        <v>9.2</v>
      </c>
      <c r="H58" s="115">
        <f t="shared" si="73"/>
        <v>20.97</v>
      </c>
      <c r="I58" s="132"/>
      <c r="J58" s="140"/>
      <c r="K58" s="134" t="s">
        <v>656</v>
      </c>
    </row>
    <row r="59" spans="1:11">
      <c r="A59" s="334"/>
      <c r="B59" s="125" t="s">
        <v>663</v>
      </c>
      <c r="C59" s="344" t="s">
        <v>664</v>
      </c>
      <c r="D59" s="127">
        <v>11.5</v>
      </c>
      <c r="E59" s="128">
        <v>3.0675</v>
      </c>
      <c r="F59" s="127">
        <v>1</v>
      </c>
      <c r="G59" s="115">
        <v>6.7</v>
      </c>
      <c r="H59" s="115">
        <f t="shared" si="73"/>
        <v>27.98</v>
      </c>
      <c r="I59" s="129">
        <f t="shared" si="71"/>
        <v>27.9</v>
      </c>
      <c r="J59" s="139">
        <f t="shared" si="72"/>
        <v>0.394265232974908</v>
      </c>
      <c r="K59" s="133" t="s">
        <v>150</v>
      </c>
    </row>
    <row r="60" spans="1:11">
      <c r="A60" s="336"/>
      <c r="B60" s="130"/>
      <c r="C60" s="337"/>
      <c r="D60" s="127">
        <v>11.5</v>
      </c>
      <c r="E60" s="128">
        <v>3.0792</v>
      </c>
      <c r="F60" s="127">
        <v>1</v>
      </c>
      <c r="G60" s="115">
        <v>6.7</v>
      </c>
      <c r="H60" s="115">
        <f t="shared" si="73"/>
        <v>27.87</v>
      </c>
      <c r="I60" s="132"/>
      <c r="J60" s="140"/>
      <c r="K60" s="134" t="s">
        <v>656</v>
      </c>
    </row>
    <row r="61" spans="1:11">
      <c r="A61" s="334"/>
      <c r="B61" s="125" t="s">
        <v>665</v>
      </c>
      <c r="C61" s="344" t="s">
        <v>666</v>
      </c>
      <c r="D61" s="127">
        <v>11.5</v>
      </c>
      <c r="E61" s="128">
        <v>2.742</v>
      </c>
      <c r="F61" s="127">
        <v>1</v>
      </c>
      <c r="G61" s="115">
        <v>10.4</v>
      </c>
      <c r="H61" s="115">
        <f t="shared" si="73"/>
        <v>20.16</v>
      </c>
      <c r="I61" s="129">
        <f>ROUND((H61+H62)/2,1)</f>
        <v>20.3</v>
      </c>
      <c r="J61" s="139">
        <f>(H61-H62)*100/I61</f>
        <v>-1.08374384236453</v>
      </c>
      <c r="K61" s="133" t="s">
        <v>150</v>
      </c>
    </row>
    <row r="62" spans="1:11">
      <c r="A62" s="336"/>
      <c r="B62" s="130"/>
      <c r="C62" s="337"/>
      <c r="D62" s="127">
        <v>11.5</v>
      </c>
      <c r="E62" s="128">
        <v>2.9085</v>
      </c>
      <c r="F62" s="127">
        <v>1</v>
      </c>
      <c r="G62" s="115">
        <v>9.7</v>
      </c>
      <c r="H62" s="115">
        <f t="shared" si="73"/>
        <v>20.38</v>
      </c>
      <c r="I62" s="132"/>
      <c r="J62" s="140"/>
      <c r="K62" s="134" t="s">
        <v>656</v>
      </c>
    </row>
    <row r="63" spans="1:11">
      <c r="A63" s="334"/>
      <c r="B63" s="125" t="s">
        <v>667</v>
      </c>
      <c r="C63" s="344" t="s">
        <v>668</v>
      </c>
      <c r="D63" s="127">
        <v>11.5</v>
      </c>
      <c r="E63" s="128">
        <v>2.9243</v>
      </c>
      <c r="F63" s="127">
        <v>4</v>
      </c>
      <c r="G63" s="115">
        <v>10.45</v>
      </c>
      <c r="H63" s="115">
        <f t="shared" si="73"/>
        <v>75.26</v>
      </c>
      <c r="I63" s="129">
        <f>ROUND((H63+H64)/2,1)</f>
        <v>75.6</v>
      </c>
      <c r="J63" s="139">
        <f>(H63-H64)*100/I63</f>
        <v>-1.01851851851851</v>
      </c>
      <c r="K63" s="133" t="s">
        <v>150</v>
      </c>
    </row>
    <row r="64" spans="1:11">
      <c r="A64" s="336"/>
      <c r="B64" s="130"/>
      <c r="C64" s="337"/>
      <c r="D64" s="127">
        <v>11.5</v>
      </c>
      <c r="E64" s="128">
        <v>2.8274</v>
      </c>
      <c r="F64" s="127">
        <v>4</v>
      </c>
      <c r="G64" s="115">
        <v>10.7</v>
      </c>
      <c r="H64" s="115">
        <f t="shared" si="73"/>
        <v>76.03</v>
      </c>
      <c r="I64" s="132"/>
      <c r="J64" s="140"/>
      <c r="K64" s="134" t="s">
        <v>656</v>
      </c>
    </row>
    <row r="65" spans="1:11">
      <c r="A65" s="334"/>
      <c r="B65" s="125" t="s">
        <v>669</v>
      </c>
      <c r="C65" s="344" t="s">
        <v>670</v>
      </c>
      <c r="D65" s="127">
        <v>11.6</v>
      </c>
      <c r="E65" s="128">
        <v>3.0244</v>
      </c>
      <c r="F65" s="127">
        <v>1</v>
      </c>
      <c r="G65" s="115">
        <v>11.6</v>
      </c>
      <c r="H65" s="115">
        <f t="shared" ref="H65:H66" si="74">ROUND(D65*100*F65*250*100/50/E65/G65/1000,2)</f>
        <v>16.53</v>
      </c>
      <c r="I65" s="129">
        <f>ROUND((H65+H66)/2,1)</f>
        <v>16.5</v>
      </c>
      <c r="J65" s="139">
        <f>(H65-H66)*100/I65</f>
        <v>-0.0606060606060485</v>
      </c>
      <c r="K65" s="133" t="s">
        <v>150</v>
      </c>
    </row>
    <row r="66" spans="1:11">
      <c r="A66" s="336"/>
      <c r="B66" s="130"/>
      <c r="C66" s="337"/>
      <c r="D66" s="127">
        <v>11.6</v>
      </c>
      <c r="E66" s="128">
        <v>3.0228</v>
      </c>
      <c r="F66" s="127">
        <v>1</v>
      </c>
      <c r="G66" s="115">
        <v>11.6</v>
      </c>
      <c r="H66" s="115">
        <f t="shared" si="74"/>
        <v>16.54</v>
      </c>
      <c r="I66" s="132"/>
      <c r="J66" s="140"/>
      <c r="K66" s="134" t="s">
        <v>656</v>
      </c>
    </row>
    <row r="68" spans="1:11">
      <c r="A68" s="334"/>
      <c r="B68" s="125" t="s">
        <v>671</v>
      </c>
      <c r="C68" s="344" t="s">
        <v>672</v>
      </c>
      <c r="D68" s="127">
        <v>11.6</v>
      </c>
      <c r="E68" s="128">
        <v>3.0579</v>
      </c>
      <c r="F68" s="127">
        <v>4</v>
      </c>
      <c r="G68" s="115">
        <v>10.4</v>
      </c>
      <c r="H68" s="115">
        <f t="shared" ref="H68:H71" si="75">ROUND(D68*100*F68*250*100/50/E68/G68/1000,2)</f>
        <v>72.95</v>
      </c>
      <c r="I68" s="129">
        <f>ROUND((H68+H69)/2,1)</f>
        <v>72.4</v>
      </c>
      <c r="J68" s="139">
        <f>(H68-H69)*100/I68</f>
        <v>1.65745856353592</v>
      </c>
      <c r="K68" s="133" t="s">
        <v>150</v>
      </c>
    </row>
    <row r="69" spans="1:11">
      <c r="A69" s="336"/>
      <c r="B69" s="130"/>
      <c r="C69" s="337"/>
      <c r="D69" s="127">
        <v>11.6</v>
      </c>
      <c r="E69" s="128">
        <v>3.0793</v>
      </c>
      <c r="F69" s="127">
        <v>4</v>
      </c>
      <c r="G69" s="115">
        <v>10.5</v>
      </c>
      <c r="H69" s="115">
        <f t="shared" si="75"/>
        <v>71.75</v>
      </c>
      <c r="I69" s="132"/>
      <c r="J69" s="140"/>
      <c r="K69" s="134" t="s">
        <v>656</v>
      </c>
    </row>
    <row r="70" spans="1:11">
      <c r="A70" s="334"/>
      <c r="B70" s="341" t="s">
        <v>673</v>
      </c>
      <c r="C70" s="344" t="s">
        <v>674</v>
      </c>
      <c r="D70" s="305">
        <v>11.6</v>
      </c>
      <c r="E70" s="303">
        <v>3.461</v>
      </c>
      <c r="F70" s="305">
        <v>4</v>
      </c>
      <c r="G70" s="306">
        <v>9.5</v>
      </c>
      <c r="H70" s="306">
        <f t="shared" si="75"/>
        <v>70.56</v>
      </c>
      <c r="I70" s="353">
        <f t="shared" ref="I70" si="76">ROUND((H70+H71)/2,1)</f>
        <v>71</v>
      </c>
      <c r="J70" s="354">
        <f t="shared" ref="J70" si="77">(H70-H71)*100/I70</f>
        <v>-1.25352112676056</v>
      </c>
      <c r="K70" s="361" t="s">
        <v>150</v>
      </c>
    </row>
    <row r="71" spans="1:11">
      <c r="A71" s="336"/>
      <c r="B71" s="343"/>
      <c r="C71" s="337"/>
      <c r="D71" s="305">
        <v>11.6</v>
      </c>
      <c r="E71" s="303">
        <v>3.3135</v>
      </c>
      <c r="F71" s="305">
        <v>4</v>
      </c>
      <c r="G71" s="306">
        <v>9.8</v>
      </c>
      <c r="H71" s="306">
        <f t="shared" si="75"/>
        <v>71.45</v>
      </c>
      <c r="I71" s="358"/>
      <c r="J71" s="359"/>
      <c r="K71" s="360" t="s">
        <v>656</v>
      </c>
    </row>
    <row r="72" spans="1:11">
      <c r="A72" s="334"/>
      <c r="B72" s="341" t="s">
        <v>153</v>
      </c>
      <c r="C72" s="344" t="s">
        <v>154</v>
      </c>
      <c r="D72" s="305">
        <v>11.6</v>
      </c>
      <c r="E72" s="303">
        <v>3.069</v>
      </c>
      <c r="F72" s="305">
        <v>1</v>
      </c>
      <c r="G72" s="306">
        <v>5.9</v>
      </c>
      <c r="H72" s="306">
        <f t="shared" ref="H72:H73" si="78">ROUND(D72*100*F72*250*100/50/E72/G72/1000,2)</f>
        <v>32.03</v>
      </c>
      <c r="I72" s="353">
        <f t="shared" ref="I72" si="79">ROUND((H72+H73)/2,1)</f>
        <v>31.8</v>
      </c>
      <c r="J72" s="354">
        <f t="shared" ref="J72" si="80">(H72-H73)*100/I72</f>
        <v>1.60377358490567</v>
      </c>
      <c r="K72" s="361" t="s">
        <v>150</v>
      </c>
    </row>
    <row r="73" spans="1:11">
      <c r="A73" s="336"/>
      <c r="B73" s="343"/>
      <c r="C73" s="337"/>
      <c r="D73" s="305">
        <v>11.6</v>
      </c>
      <c r="E73" s="303">
        <v>3.0664</v>
      </c>
      <c r="F73" s="305">
        <v>1</v>
      </c>
      <c r="G73" s="306">
        <v>6</v>
      </c>
      <c r="H73" s="306">
        <f t="shared" si="78"/>
        <v>31.52</v>
      </c>
      <c r="I73" s="358"/>
      <c r="J73" s="359"/>
      <c r="K73" s="360" t="s">
        <v>656</v>
      </c>
    </row>
    <row r="75" spans="1:11">
      <c r="A75" s="334"/>
      <c r="B75" s="341" t="s">
        <v>675</v>
      </c>
      <c r="C75" s="344" t="s">
        <v>676</v>
      </c>
      <c r="D75" s="305">
        <v>11.6</v>
      </c>
      <c r="E75" s="303">
        <v>3.0563</v>
      </c>
      <c r="F75" s="305">
        <v>1</v>
      </c>
      <c r="G75" s="306">
        <v>6.45</v>
      </c>
      <c r="H75" s="306">
        <f t="shared" ref="H75:H79" si="81">ROUND(D75*100*F75*250*100/50/E75/G75/1000,2)</f>
        <v>29.42</v>
      </c>
      <c r="I75" s="353">
        <f>ROUND((H75+H76)/2,1)</f>
        <v>29.6</v>
      </c>
      <c r="J75" s="354">
        <f>(H75-H76)*100/I75</f>
        <v>-0.945945945945938</v>
      </c>
      <c r="K75" s="361" t="s">
        <v>150</v>
      </c>
    </row>
    <row r="76" spans="1:11">
      <c r="A76" s="336"/>
      <c r="B76" s="343"/>
      <c r="C76" s="337"/>
      <c r="D76" s="305">
        <v>11.6</v>
      </c>
      <c r="E76" s="303">
        <v>3.0514</v>
      </c>
      <c r="F76" s="305">
        <v>1</v>
      </c>
      <c r="G76" s="306">
        <v>6.4</v>
      </c>
      <c r="H76" s="306">
        <f t="shared" si="81"/>
        <v>29.7</v>
      </c>
      <c r="I76" s="358"/>
      <c r="J76" s="359"/>
      <c r="K76" s="360" t="s">
        <v>656</v>
      </c>
    </row>
    <row r="78" spans="1:11">
      <c r="A78" s="334"/>
      <c r="B78" s="341" t="s">
        <v>677</v>
      </c>
      <c r="C78" s="344" t="s">
        <v>678</v>
      </c>
      <c r="D78" s="305">
        <v>11.6</v>
      </c>
      <c r="E78" s="303">
        <v>3.0276</v>
      </c>
      <c r="F78" s="305">
        <v>1</v>
      </c>
      <c r="G78" s="306">
        <v>6.6</v>
      </c>
      <c r="H78" s="306">
        <f t="shared" si="81"/>
        <v>29.03</v>
      </c>
      <c r="I78" s="353">
        <f>ROUND((H78+H79)/2,1)</f>
        <v>29</v>
      </c>
      <c r="J78" s="354">
        <f>(H78-H79)*100/I78</f>
        <v>0.103448275862073</v>
      </c>
      <c r="K78" s="361" t="s">
        <v>150</v>
      </c>
    </row>
    <row r="79" spans="1:11">
      <c r="A79" s="336"/>
      <c r="B79" s="343"/>
      <c r="C79" s="337"/>
      <c r="D79" s="305">
        <v>11.6</v>
      </c>
      <c r="E79" s="303">
        <v>3.0077</v>
      </c>
      <c r="F79" s="305">
        <v>1</v>
      </c>
      <c r="G79" s="306">
        <v>6.65</v>
      </c>
      <c r="H79" s="306">
        <f t="shared" si="81"/>
        <v>29</v>
      </c>
      <c r="I79" s="358"/>
      <c r="J79" s="359"/>
      <c r="K79" s="360" t="s">
        <v>656</v>
      </c>
    </row>
    <row r="81" spans="1:11">
      <c r="A81" s="334"/>
      <c r="B81" s="341" t="s">
        <v>679</v>
      </c>
      <c r="C81" s="344" t="s">
        <v>680</v>
      </c>
      <c r="D81" s="305">
        <v>11.6</v>
      </c>
      <c r="E81" s="303">
        <v>3.5258</v>
      </c>
      <c r="F81" s="305">
        <v>1</v>
      </c>
      <c r="G81" s="306">
        <v>6.3</v>
      </c>
      <c r="H81" s="306">
        <f t="shared" ref="H81:H86" si="82">ROUND(D81*100*F81*250*100/50/E81/G81/1000,2)</f>
        <v>26.11</v>
      </c>
      <c r="I81" s="353">
        <f>ROUND((H81+H82)/2,1)</f>
        <v>25.4</v>
      </c>
      <c r="J81" s="354">
        <f>(H81-H82)*100/I81</f>
        <v>5.59055118110236</v>
      </c>
      <c r="K81" s="361" t="s">
        <v>150</v>
      </c>
    </row>
    <row r="82" spans="1:11">
      <c r="A82" s="336"/>
      <c r="B82" s="343"/>
      <c r="C82" s="337"/>
      <c r="D82" s="305">
        <v>11.6</v>
      </c>
      <c r="E82" s="303">
        <v>4.0504</v>
      </c>
      <c r="F82" s="305">
        <v>1</v>
      </c>
      <c r="G82" s="306">
        <v>5.8</v>
      </c>
      <c r="H82" s="306">
        <f t="shared" si="82"/>
        <v>24.69</v>
      </c>
      <c r="I82" s="358"/>
      <c r="J82" s="359"/>
      <c r="K82" s="360" t="s">
        <v>656</v>
      </c>
    </row>
    <row r="83" spans="1:11">
      <c r="A83" s="334"/>
      <c r="B83" s="341" t="s">
        <v>681</v>
      </c>
      <c r="C83" s="344" t="s">
        <v>680</v>
      </c>
      <c r="D83" s="305">
        <v>11.6</v>
      </c>
      <c r="E83" s="303">
        <v>4.0622</v>
      </c>
      <c r="F83" s="305">
        <v>1</v>
      </c>
      <c r="G83" s="306">
        <v>5.6</v>
      </c>
      <c r="H83" s="306">
        <f t="shared" si="82"/>
        <v>25.5</v>
      </c>
      <c r="I83" s="353">
        <f>ROUND((H83+H84)/2,1)</f>
        <v>26.1</v>
      </c>
      <c r="J83" s="354">
        <f>(H83-H84)*100/I83</f>
        <v>-4.36781609195403</v>
      </c>
      <c r="K83" s="361" t="s">
        <v>150</v>
      </c>
    </row>
    <row r="84" spans="1:11">
      <c r="A84" s="336"/>
      <c r="B84" s="343"/>
      <c r="C84" s="337"/>
      <c r="D84" s="305">
        <v>11.6</v>
      </c>
      <c r="E84" s="303">
        <v>3.2499</v>
      </c>
      <c r="F84" s="305">
        <v>1</v>
      </c>
      <c r="G84" s="306">
        <v>6.7</v>
      </c>
      <c r="H84" s="306">
        <f t="shared" si="82"/>
        <v>26.64</v>
      </c>
      <c r="I84" s="358"/>
      <c r="J84" s="359"/>
      <c r="K84" s="360" t="s">
        <v>656</v>
      </c>
    </row>
    <row r="85" spans="1:11">
      <c r="A85" s="334"/>
      <c r="B85" s="341" t="s">
        <v>682</v>
      </c>
      <c r="C85" s="344" t="s">
        <v>680</v>
      </c>
      <c r="D85" s="305">
        <v>11.6</v>
      </c>
      <c r="E85" s="303">
        <v>3.2451</v>
      </c>
      <c r="F85" s="305">
        <v>1</v>
      </c>
      <c r="G85" s="306">
        <v>6.3</v>
      </c>
      <c r="H85" s="306">
        <f t="shared" si="82"/>
        <v>28.37</v>
      </c>
      <c r="I85" s="353">
        <f>ROUND((H85+H86)/2,1)</f>
        <v>28.5</v>
      </c>
      <c r="J85" s="354">
        <f>(H85-H86)*100/I85</f>
        <v>-1.08771929824561</v>
      </c>
      <c r="K85" s="361" t="s">
        <v>150</v>
      </c>
    </row>
    <row r="86" spans="1:11">
      <c r="A86" s="336"/>
      <c r="B86" s="343"/>
      <c r="C86" s="337"/>
      <c r="D86" s="305">
        <v>11.6</v>
      </c>
      <c r="E86" s="303">
        <v>3.3705</v>
      </c>
      <c r="F86" s="305">
        <v>1</v>
      </c>
      <c r="G86" s="306">
        <v>6</v>
      </c>
      <c r="H86" s="306">
        <f t="shared" si="82"/>
        <v>28.68</v>
      </c>
      <c r="I86" s="358"/>
      <c r="J86" s="359"/>
      <c r="K86" s="360" t="s">
        <v>656</v>
      </c>
    </row>
    <row r="87" spans="1:11">
      <c r="A87" s="334"/>
      <c r="B87" s="341" t="s">
        <v>683</v>
      </c>
      <c r="C87" s="344" t="s">
        <v>684</v>
      </c>
      <c r="D87" s="305">
        <v>11.6</v>
      </c>
      <c r="E87" s="303">
        <v>3.037</v>
      </c>
      <c r="F87" s="305">
        <v>1</v>
      </c>
      <c r="G87" s="306">
        <v>10.4</v>
      </c>
      <c r="H87" s="306">
        <f t="shared" ref="H87:H88" si="83">ROUND(D87*100*F87*250*100/50/E87/G87/1000,2)</f>
        <v>18.36</v>
      </c>
      <c r="I87" s="353">
        <f>ROUND((H87+H88)/2,1)</f>
        <v>18.2</v>
      </c>
      <c r="J87" s="354">
        <f>(H87-H88)*100/I87</f>
        <v>1.8131868131868</v>
      </c>
      <c r="K87" s="361" t="s">
        <v>150</v>
      </c>
    </row>
    <row r="88" spans="1:11">
      <c r="A88" s="336"/>
      <c r="B88" s="343"/>
      <c r="C88" s="337"/>
      <c r="D88" s="305">
        <v>11.6</v>
      </c>
      <c r="E88" s="303">
        <v>3.1852</v>
      </c>
      <c r="F88" s="305">
        <v>1</v>
      </c>
      <c r="G88" s="306">
        <v>10.1</v>
      </c>
      <c r="H88" s="306">
        <f t="shared" si="83"/>
        <v>18.03</v>
      </c>
      <c r="I88" s="358"/>
      <c r="J88" s="359"/>
      <c r="K88" s="360" t="s">
        <v>656</v>
      </c>
    </row>
    <row r="89" spans="1:11">
      <c r="A89" s="334"/>
      <c r="B89" s="341" t="s">
        <v>685</v>
      </c>
      <c r="C89" s="344" t="s">
        <v>686</v>
      </c>
      <c r="D89" s="305">
        <v>11.6</v>
      </c>
      <c r="E89" s="303">
        <v>3.2042</v>
      </c>
      <c r="F89" s="305">
        <v>1</v>
      </c>
      <c r="G89" s="306">
        <v>11.9</v>
      </c>
      <c r="H89" s="306">
        <f t="shared" ref="H89:H90" si="84">ROUND(D89*100*F89*250*100/50/E89/G89/1000,2)</f>
        <v>15.21</v>
      </c>
      <c r="I89" s="353">
        <f>ROUND((H89+H90)/2,1)</f>
        <v>15.3</v>
      </c>
      <c r="J89" s="354">
        <f>(H89-H90)*100/I89</f>
        <v>-1.63398692810458</v>
      </c>
      <c r="K89" s="361" t="s">
        <v>150</v>
      </c>
    </row>
    <row r="90" spans="1:11">
      <c r="A90" s="336"/>
      <c r="B90" s="343"/>
      <c r="C90" s="337"/>
      <c r="D90" s="305">
        <v>11.6</v>
      </c>
      <c r="E90" s="303">
        <v>3.1015</v>
      </c>
      <c r="F90" s="305">
        <v>1</v>
      </c>
      <c r="G90" s="306">
        <v>12.1</v>
      </c>
      <c r="H90" s="306">
        <f t="shared" si="84"/>
        <v>15.46</v>
      </c>
      <c r="I90" s="358"/>
      <c r="J90" s="359"/>
      <c r="K90" s="360" t="s">
        <v>656</v>
      </c>
    </row>
    <row r="91" ht="15.75" customHeight="1" spans="1:11">
      <c r="A91" s="334"/>
      <c r="B91" s="341" t="s">
        <v>687</v>
      </c>
      <c r="C91" s="344" t="s">
        <v>688</v>
      </c>
      <c r="D91" s="305">
        <v>11.4</v>
      </c>
      <c r="E91" s="303">
        <v>3.0768</v>
      </c>
      <c r="F91" s="305">
        <v>2</v>
      </c>
      <c r="G91" s="306">
        <v>5.85</v>
      </c>
      <c r="H91" s="306">
        <f t="shared" ref="H91:H92" si="85">ROUND(D91*100*F91*250*100/50/E91/G91/1000,2)</f>
        <v>63.34</v>
      </c>
      <c r="I91" s="353">
        <f>ROUND((H91+H92)/2,1)</f>
        <v>63.9</v>
      </c>
      <c r="J91" s="354">
        <f>(H91-H92)*100/I91</f>
        <v>-1.62754303599373</v>
      </c>
      <c r="K91" s="361" t="s">
        <v>150</v>
      </c>
    </row>
    <row r="92" spans="1:11">
      <c r="A92" s="336"/>
      <c r="B92" s="343"/>
      <c r="C92" s="337"/>
      <c r="D92" s="305">
        <v>11.4</v>
      </c>
      <c r="E92" s="303">
        <v>2.9513</v>
      </c>
      <c r="F92" s="305">
        <v>2</v>
      </c>
      <c r="G92" s="306">
        <v>6</v>
      </c>
      <c r="H92" s="306">
        <f t="shared" si="85"/>
        <v>64.38</v>
      </c>
      <c r="I92" s="358"/>
      <c r="J92" s="359"/>
      <c r="K92" s="360" t="s">
        <v>656</v>
      </c>
    </row>
    <row r="93" spans="1:11">
      <c r="A93" s="334"/>
      <c r="B93" s="341" t="s">
        <v>689</v>
      </c>
      <c r="C93" s="344" t="s">
        <v>690</v>
      </c>
      <c r="D93" s="305">
        <v>11.4</v>
      </c>
      <c r="E93" s="303">
        <v>2.9323</v>
      </c>
      <c r="F93" s="305">
        <v>2</v>
      </c>
      <c r="G93" s="306">
        <v>5.85</v>
      </c>
      <c r="H93" s="306">
        <f t="shared" ref="H93:H96" si="86">ROUND(D93*100*F93*250*100/50/E93/G93/1000,2)</f>
        <v>66.46</v>
      </c>
      <c r="I93" s="353">
        <f>ROUND((H93+H94)/2,1)</f>
        <v>66.5</v>
      </c>
      <c r="J93" s="354">
        <f>(H93-H94)*100/I93</f>
        <v>-0.135338345864667</v>
      </c>
      <c r="K93" s="361" t="s">
        <v>150</v>
      </c>
    </row>
    <row r="94" spans="1:11">
      <c r="A94" s="336"/>
      <c r="B94" s="343"/>
      <c r="C94" s="337"/>
      <c r="D94" s="305">
        <v>11.4</v>
      </c>
      <c r="E94" s="303">
        <v>2.8551</v>
      </c>
      <c r="F94" s="305">
        <v>2</v>
      </c>
      <c r="G94" s="306">
        <v>6</v>
      </c>
      <c r="H94" s="306">
        <f t="shared" si="86"/>
        <v>66.55</v>
      </c>
      <c r="I94" s="358"/>
      <c r="J94" s="359"/>
      <c r="K94" s="360" t="s">
        <v>656</v>
      </c>
    </row>
    <row r="95" spans="1:11">
      <c r="A95" s="334"/>
      <c r="B95" s="341" t="s">
        <v>691</v>
      </c>
      <c r="C95" s="344" t="s">
        <v>692</v>
      </c>
      <c r="D95" s="305">
        <v>11.4</v>
      </c>
      <c r="E95" s="303">
        <v>2.827</v>
      </c>
      <c r="F95" s="305">
        <v>2</v>
      </c>
      <c r="G95" s="306">
        <v>6.2</v>
      </c>
      <c r="H95" s="306">
        <f t="shared" si="86"/>
        <v>65.04</v>
      </c>
      <c r="I95" s="353">
        <f>ROUND((H95+H96)/2,1)</f>
        <v>64.8</v>
      </c>
      <c r="J95" s="354">
        <f>(H95-H96)*100/I95</f>
        <v>0.833333333333343</v>
      </c>
      <c r="K95" s="361" t="s">
        <v>150</v>
      </c>
    </row>
    <row r="96" spans="1:11">
      <c r="A96" s="336"/>
      <c r="B96" s="343"/>
      <c r="C96" s="337"/>
      <c r="D96" s="305">
        <v>11.4</v>
      </c>
      <c r="E96" s="303">
        <v>2.5251</v>
      </c>
      <c r="F96" s="305">
        <v>2</v>
      </c>
      <c r="G96" s="306">
        <v>7</v>
      </c>
      <c r="H96" s="306">
        <f t="shared" si="86"/>
        <v>64.5</v>
      </c>
      <c r="I96" s="358"/>
      <c r="J96" s="359"/>
      <c r="K96" s="360" t="s">
        <v>656</v>
      </c>
    </row>
    <row r="97" spans="1:11">
      <c r="A97" s="334"/>
      <c r="B97" s="341" t="s">
        <v>693</v>
      </c>
      <c r="C97" s="344" t="s">
        <v>624</v>
      </c>
      <c r="D97" s="305">
        <v>11.55</v>
      </c>
      <c r="E97" s="303">
        <v>3.1192</v>
      </c>
      <c r="F97" s="305">
        <v>4</v>
      </c>
      <c r="G97" s="306">
        <v>10.9</v>
      </c>
      <c r="H97" s="306">
        <f t="shared" ref="H97:H98" si="87">ROUND(D97*100*F97*250*100/50/E97/G97/1000,2)</f>
        <v>67.94</v>
      </c>
      <c r="I97" s="353">
        <f>ROUND((H97+H98)/2,1)</f>
        <v>67.9</v>
      </c>
      <c r="J97" s="354">
        <f>(H97-H98)*100/I97</f>
        <v>0.103092783505145</v>
      </c>
      <c r="K97" s="361" t="s">
        <v>150</v>
      </c>
    </row>
    <row r="98" spans="1:11">
      <c r="A98" s="336"/>
      <c r="B98" s="343"/>
      <c r="C98" s="337"/>
      <c r="D98" s="305">
        <v>11.55</v>
      </c>
      <c r="E98" s="303">
        <v>2.86</v>
      </c>
      <c r="F98" s="305">
        <v>4</v>
      </c>
      <c r="G98" s="306">
        <v>11.9</v>
      </c>
      <c r="H98" s="306">
        <f t="shared" si="87"/>
        <v>67.87</v>
      </c>
      <c r="I98" s="358"/>
      <c r="J98" s="359"/>
      <c r="K98" s="360" t="s">
        <v>656</v>
      </c>
    </row>
    <row r="100" spans="1:11">
      <c r="A100" s="334"/>
      <c r="B100" s="341" t="s">
        <v>694</v>
      </c>
      <c r="C100" s="344" t="s">
        <v>695</v>
      </c>
      <c r="D100" s="305">
        <v>11.4</v>
      </c>
      <c r="E100" s="303">
        <v>2.8629</v>
      </c>
      <c r="F100" s="305">
        <v>1</v>
      </c>
      <c r="G100" s="306">
        <v>6.2</v>
      </c>
      <c r="H100" s="306">
        <f t="shared" ref="H100:H103" si="88">ROUND(D100*100*F100*250*100/50/E100/G100/1000,2)</f>
        <v>32.11</v>
      </c>
      <c r="I100" s="353">
        <f>ROUND((H100+H101)/2,1)</f>
        <v>31.6</v>
      </c>
      <c r="J100" s="354">
        <f>(H100-H101)*100/I100</f>
        <v>3.10126582278481</v>
      </c>
      <c r="K100" s="361" t="s">
        <v>150</v>
      </c>
    </row>
    <row r="101" spans="1:11">
      <c r="A101" s="336"/>
      <c r="B101" s="343"/>
      <c r="C101" s="337"/>
      <c r="D101" s="305">
        <v>11.4</v>
      </c>
      <c r="E101" s="303">
        <v>3.0519</v>
      </c>
      <c r="F101" s="305">
        <v>1</v>
      </c>
      <c r="G101" s="306">
        <v>6</v>
      </c>
      <c r="H101" s="306">
        <f t="shared" si="88"/>
        <v>31.13</v>
      </c>
      <c r="I101" s="358"/>
      <c r="J101" s="359"/>
      <c r="K101" s="360" t="s">
        <v>656</v>
      </c>
    </row>
    <row r="102" spans="1:11">
      <c r="A102" s="334"/>
      <c r="B102" s="341" t="s">
        <v>696</v>
      </c>
      <c r="C102" s="344" t="s">
        <v>697</v>
      </c>
      <c r="D102" s="305">
        <v>11.4</v>
      </c>
      <c r="E102" s="303">
        <v>2.6601</v>
      </c>
      <c r="F102" s="305">
        <v>1</v>
      </c>
      <c r="G102" s="306">
        <v>5.2</v>
      </c>
      <c r="H102" s="306">
        <f t="shared" si="88"/>
        <v>41.21</v>
      </c>
      <c r="I102" s="353">
        <f>ROUND((H102+H103)/2,1)</f>
        <v>40.8</v>
      </c>
      <c r="J102" s="354">
        <f>(H102-H103)*100/I102</f>
        <v>2.13235294117646</v>
      </c>
      <c r="K102" s="361" t="s">
        <v>150</v>
      </c>
    </row>
    <row r="103" spans="1:11">
      <c r="A103" s="336"/>
      <c r="B103" s="343"/>
      <c r="C103" s="362"/>
      <c r="D103" s="305">
        <v>11.4</v>
      </c>
      <c r="E103" s="303">
        <v>2.7979</v>
      </c>
      <c r="F103" s="305">
        <v>1</v>
      </c>
      <c r="G103" s="306">
        <v>5.05</v>
      </c>
      <c r="H103" s="306">
        <f t="shared" si="88"/>
        <v>40.34</v>
      </c>
      <c r="I103" s="358"/>
      <c r="J103" s="359"/>
      <c r="K103" s="360" t="s">
        <v>656</v>
      </c>
    </row>
    <row r="104" spans="1:12">
      <c r="A104" s="334"/>
      <c r="B104" s="341" t="s">
        <v>698</v>
      </c>
      <c r="C104" s="344"/>
      <c r="D104" s="305">
        <v>11.4</v>
      </c>
      <c r="E104" s="303">
        <v>2.6778</v>
      </c>
      <c r="F104" s="305">
        <v>1</v>
      </c>
      <c r="G104" s="306">
        <v>8.7</v>
      </c>
      <c r="H104" s="306">
        <f t="shared" ref="H104:H113" si="89">ROUND(D104*100*F104*250*100/50/E104/G104/1000,2)</f>
        <v>24.47</v>
      </c>
      <c r="I104" s="353">
        <f>ROUND((H104+H105)/2,1)</f>
        <v>24.7</v>
      </c>
      <c r="J104" s="354">
        <f>(H104-H105)*100/I104</f>
        <v>-1.61943319838058</v>
      </c>
      <c r="K104" s="361" t="s">
        <v>150</v>
      </c>
      <c r="L104" s="363">
        <f>H105-H104</f>
        <v>0.400000000000002</v>
      </c>
    </row>
    <row r="105" spans="1:12">
      <c r="A105" s="336"/>
      <c r="B105" s="343"/>
      <c r="C105" s="362"/>
      <c r="D105" s="305">
        <v>11.4</v>
      </c>
      <c r="E105" s="303">
        <v>2.938</v>
      </c>
      <c r="F105" s="305">
        <v>1</v>
      </c>
      <c r="G105" s="306">
        <v>7.8</v>
      </c>
      <c r="H105" s="306">
        <f t="shared" si="89"/>
        <v>24.87</v>
      </c>
      <c r="I105" s="358"/>
      <c r="J105" s="359"/>
      <c r="K105" s="360" t="s">
        <v>656</v>
      </c>
      <c r="L105" s="364"/>
    </row>
    <row r="106" spans="1:12">
      <c r="A106" s="334"/>
      <c r="B106" s="341" t="s">
        <v>699</v>
      </c>
      <c r="C106" s="344"/>
      <c r="D106" s="305">
        <v>11.4</v>
      </c>
      <c r="E106" s="303">
        <v>2.6595</v>
      </c>
      <c r="F106" s="305">
        <v>1</v>
      </c>
      <c r="G106" s="306">
        <v>14.1</v>
      </c>
      <c r="H106" s="306">
        <f t="shared" si="89"/>
        <v>15.2</v>
      </c>
      <c r="I106" s="353">
        <f>ROUND((H106+H107)/2,1)</f>
        <v>15.3</v>
      </c>
      <c r="J106" s="354">
        <f>(H106-H107)*100/I106</f>
        <v>-1.37254901960785</v>
      </c>
      <c r="K106" s="361" t="s">
        <v>150</v>
      </c>
      <c r="L106" s="363">
        <f t="shared" ref="L106" si="90">H107-H106</f>
        <v>0.210000000000001</v>
      </c>
    </row>
    <row r="107" spans="1:12">
      <c r="A107" s="336"/>
      <c r="B107" s="343"/>
      <c r="C107" s="362"/>
      <c r="D107" s="305">
        <v>11.4</v>
      </c>
      <c r="E107" s="303">
        <v>2.642</v>
      </c>
      <c r="F107" s="305">
        <v>1</v>
      </c>
      <c r="G107" s="306">
        <v>14</v>
      </c>
      <c r="H107" s="306">
        <f t="shared" si="89"/>
        <v>15.41</v>
      </c>
      <c r="I107" s="358"/>
      <c r="J107" s="359"/>
      <c r="K107" s="360" t="s">
        <v>656</v>
      </c>
      <c r="L107" s="364"/>
    </row>
    <row r="108" spans="1:12">
      <c r="A108" s="334"/>
      <c r="B108" s="341" t="s">
        <v>700</v>
      </c>
      <c r="C108" s="344"/>
      <c r="D108" s="305">
        <v>11.4</v>
      </c>
      <c r="E108" s="303">
        <v>2.8363</v>
      </c>
      <c r="F108" s="305">
        <v>1</v>
      </c>
      <c r="G108" s="306">
        <v>11.4</v>
      </c>
      <c r="H108" s="306">
        <f t="shared" si="89"/>
        <v>17.63</v>
      </c>
      <c r="I108" s="353">
        <f>ROUND((H108+H109)/2,1)</f>
        <v>17.6</v>
      </c>
      <c r="J108" s="354">
        <f>(H108-H109)*100/I108</f>
        <v>0.738636363636358</v>
      </c>
      <c r="K108" s="361" t="s">
        <v>150</v>
      </c>
      <c r="L108" s="363">
        <f t="shared" ref="L108" si="91">H109-H108</f>
        <v>-0.129999999999999</v>
      </c>
    </row>
    <row r="109" spans="1:12">
      <c r="A109" s="336"/>
      <c r="B109" s="343"/>
      <c r="C109" s="362"/>
      <c r="D109" s="305">
        <v>11.4</v>
      </c>
      <c r="E109" s="303">
        <v>3.1169</v>
      </c>
      <c r="F109" s="305">
        <v>1</v>
      </c>
      <c r="G109" s="306">
        <v>10.45</v>
      </c>
      <c r="H109" s="306">
        <f t="shared" si="89"/>
        <v>17.5</v>
      </c>
      <c r="I109" s="358"/>
      <c r="J109" s="359"/>
      <c r="K109" s="360" t="s">
        <v>656</v>
      </c>
      <c r="L109" s="364"/>
    </row>
    <row r="110" spans="1:12">
      <c r="A110" s="334"/>
      <c r="B110" s="341" t="s">
        <v>701</v>
      </c>
      <c r="C110" s="344"/>
      <c r="D110" s="305">
        <v>11.4</v>
      </c>
      <c r="E110" s="303">
        <v>2.6495</v>
      </c>
      <c r="F110" s="305">
        <v>1</v>
      </c>
      <c r="G110" s="306">
        <v>11.05</v>
      </c>
      <c r="H110" s="306">
        <f t="shared" si="89"/>
        <v>19.47</v>
      </c>
      <c r="I110" s="353">
        <f t="shared" ref="I110:I115" si="92">ROUND((H110+H111)/2,1)</f>
        <v>19.3</v>
      </c>
      <c r="J110" s="354">
        <f t="shared" ref="J110:J115" si="93">(H110-H111)*100/I110</f>
        <v>1.86528497409326</v>
      </c>
      <c r="K110" s="361" t="s">
        <v>150</v>
      </c>
      <c r="L110" s="363">
        <f t="shared" ref="L110" si="94">H111-H110</f>
        <v>-0.359999999999999</v>
      </c>
    </row>
    <row r="111" spans="1:12">
      <c r="A111" s="336"/>
      <c r="B111" s="343"/>
      <c r="C111" s="362"/>
      <c r="D111" s="305">
        <v>11.4</v>
      </c>
      <c r="E111" s="303">
        <v>2.5943</v>
      </c>
      <c r="F111" s="305">
        <v>1</v>
      </c>
      <c r="G111" s="306">
        <v>11.5</v>
      </c>
      <c r="H111" s="306">
        <f t="shared" si="89"/>
        <v>19.11</v>
      </c>
      <c r="I111" s="358"/>
      <c r="J111" s="359"/>
      <c r="K111" s="360" t="s">
        <v>656</v>
      </c>
      <c r="L111" s="364"/>
    </row>
    <row r="112" spans="1:12">
      <c r="A112" s="334"/>
      <c r="B112" s="341" t="s">
        <v>702</v>
      </c>
      <c r="C112" s="344"/>
      <c r="D112" s="305">
        <v>11.4</v>
      </c>
      <c r="E112" s="303">
        <v>2.7359</v>
      </c>
      <c r="F112" s="305">
        <v>1</v>
      </c>
      <c r="G112" s="306">
        <v>10.3</v>
      </c>
      <c r="H112" s="306">
        <f t="shared" si="89"/>
        <v>20.23</v>
      </c>
      <c r="I112" s="353">
        <f t="shared" si="92"/>
        <v>20.1</v>
      </c>
      <c r="J112" s="354">
        <f t="shared" si="93"/>
        <v>0.945273631840802</v>
      </c>
      <c r="K112" s="361" t="s">
        <v>150</v>
      </c>
      <c r="L112" s="363">
        <f t="shared" ref="L112" si="95">H113-H112</f>
        <v>-0.190000000000001</v>
      </c>
    </row>
    <row r="113" spans="1:12">
      <c r="A113" s="336"/>
      <c r="B113" s="343"/>
      <c r="C113" s="362"/>
      <c r="D113" s="305">
        <v>11.4</v>
      </c>
      <c r="E113" s="303">
        <v>2.9326</v>
      </c>
      <c r="F113" s="305">
        <v>1</v>
      </c>
      <c r="G113" s="306">
        <v>9.7</v>
      </c>
      <c r="H113" s="306">
        <f t="shared" si="89"/>
        <v>20.04</v>
      </c>
      <c r="I113" s="358"/>
      <c r="J113" s="359"/>
      <c r="K113" s="360" t="s">
        <v>656</v>
      </c>
      <c r="L113" s="364"/>
    </row>
    <row r="114" spans="1:11">
      <c r="A114" s="336"/>
      <c r="B114" s="343"/>
      <c r="C114" s="337"/>
      <c r="D114" s="305"/>
      <c r="E114" s="303"/>
      <c r="F114" s="305"/>
      <c r="G114" s="306"/>
      <c r="H114" s="306"/>
      <c r="I114" s="358"/>
      <c r="J114" s="359"/>
      <c r="K114" s="360" t="s">
        <v>656</v>
      </c>
    </row>
    <row r="115" spans="1:12">
      <c r="A115" s="334"/>
      <c r="B115" s="341" t="s">
        <v>500</v>
      </c>
      <c r="C115" s="344"/>
      <c r="D115" s="305">
        <v>11.4</v>
      </c>
      <c r="E115" s="303">
        <v>3.0985</v>
      </c>
      <c r="F115" s="305">
        <v>1</v>
      </c>
      <c r="G115" s="306">
        <v>9.3</v>
      </c>
      <c r="H115" s="306">
        <f t="shared" ref="H115:H118" si="96">ROUND(D115*100*F115*250*100/50/E115/G115/1000,2)</f>
        <v>19.78</v>
      </c>
      <c r="I115" s="353">
        <f t="shared" si="92"/>
        <v>20.2</v>
      </c>
      <c r="J115" s="354">
        <f t="shared" si="93"/>
        <v>-3.71287128712871</v>
      </c>
      <c r="K115" s="361" t="s">
        <v>150</v>
      </c>
      <c r="L115" s="363">
        <f>H116-H115</f>
        <v>0.75</v>
      </c>
    </row>
    <row r="116" spans="1:12">
      <c r="A116" s="336"/>
      <c r="B116" s="343"/>
      <c r="C116" s="362"/>
      <c r="D116" s="305">
        <v>11.4</v>
      </c>
      <c r="E116" s="303">
        <v>2.9856</v>
      </c>
      <c r="F116" s="305">
        <v>1</v>
      </c>
      <c r="G116" s="306">
        <v>9.3</v>
      </c>
      <c r="H116" s="306">
        <f t="shared" si="96"/>
        <v>20.53</v>
      </c>
      <c r="I116" s="358"/>
      <c r="J116" s="359"/>
      <c r="K116" s="360" t="s">
        <v>656</v>
      </c>
      <c r="L116" s="364"/>
    </row>
    <row r="117" spans="1:12">
      <c r="A117" s="334"/>
      <c r="B117" s="341" t="s">
        <v>502</v>
      </c>
      <c r="C117" s="344"/>
      <c r="D117" s="305">
        <v>11.4</v>
      </c>
      <c r="E117" s="303">
        <v>2.8909</v>
      </c>
      <c r="F117" s="305">
        <v>1</v>
      </c>
      <c r="G117" s="306">
        <v>9.2</v>
      </c>
      <c r="H117" s="306">
        <f t="shared" si="96"/>
        <v>21.43</v>
      </c>
      <c r="I117" s="353">
        <f>ROUND((H117+H118)/2,1)</f>
        <v>21.4</v>
      </c>
      <c r="J117" s="354">
        <f>(H117-H118)*100/I117</f>
        <v>0.74766355140187</v>
      </c>
      <c r="K117" s="361" t="s">
        <v>150</v>
      </c>
      <c r="L117" s="363">
        <f>H118-H117</f>
        <v>-0.16</v>
      </c>
    </row>
    <row r="118" spans="1:12">
      <c r="A118" s="336"/>
      <c r="B118" s="343"/>
      <c r="C118" s="362"/>
      <c r="D118" s="305">
        <v>11.4</v>
      </c>
      <c r="E118" s="303">
        <v>2.9125</v>
      </c>
      <c r="F118" s="305">
        <v>1</v>
      </c>
      <c r="G118" s="306">
        <v>9.2</v>
      </c>
      <c r="H118" s="306">
        <f t="shared" si="96"/>
        <v>21.27</v>
      </c>
      <c r="I118" s="358"/>
      <c r="J118" s="359"/>
      <c r="K118" s="360" t="s">
        <v>656</v>
      </c>
      <c r="L118" s="364"/>
    </row>
    <row r="120" spans="1:12">
      <c r="A120" s="334"/>
      <c r="B120" s="341" t="s">
        <v>500</v>
      </c>
      <c r="C120" s="344"/>
      <c r="D120" s="305">
        <v>11.4</v>
      </c>
      <c r="E120" s="303">
        <v>2.7269</v>
      </c>
      <c r="F120" s="305">
        <v>1</v>
      </c>
      <c r="G120" s="306">
        <v>10.1</v>
      </c>
      <c r="H120" s="306">
        <f t="shared" ref="H120:H123" si="97">ROUND(D120*100*F120*250*100/50/E120/G120/1000,2)</f>
        <v>20.7</v>
      </c>
      <c r="I120" s="353">
        <f t="shared" ref="I120" si="98">ROUND((H120+H121)/2,1)</f>
        <v>20.8</v>
      </c>
      <c r="J120" s="354">
        <f t="shared" ref="J120" si="99">(H120-H121)*100/I120</f>
        <v>-0.721153846153856</v>
      </c>
      <c r="K120" s="361" t="s">
        <v>150</v>
      </c>
      <c r="L120" s="363">
        <f>H121-H120</f>
        <v>0.150000000000002</v>
      </c>
    </row>
    <row r="121" spans="1:12">
      <c r="A121" s="336"/>
      <c r="B121" s="343"/>
      <c r="C121" s="362"/>
      <c r="D121" s="305">
        <v>11.4</v>
      </c>
      <c r="E121" s="303">
        <v>2.6805</v>
      </c>
      <c r="F121" s="305">
        <v>1</v>
      </c>
      <c r="G121" s="306">
        <v>10.2</v>
      </c>
      <c r="H121" s="306">
        <f t="shared" si="97"/>
        <v>20.85</v>
      </c>
      <c r="I121" s="358"/>
      <c r="J121" s="359"/>
      <c r="K121" s="360" t="s">
        <v>656</v>
      </c>
      <c r="L121" s="364"/>
    </row>
    <row r="122" spans="1:12">
      <c r="A122" s="334"/>
      <c r="B122" s="341" t="s">
        <v>502</v>
      </c>
      <c r="C122" s="344"/>
      <c r="D122" s="305">
        <v>11.4</v>
      </c>
      <c r="E122" s="303">
        <v>3.2779</v>
      </c>
      <c r="F122" s="305">
        <v>1</v>
      </c>
      <c r="G122" s="306">
        <v>8.4</v>
      </c>
      <c r="H122" s="306">
        <f t="shared" si="97"/>
        <v>20.7</v>
      </c>
      <c r="I122" s="353">
        <f>ROUND((H122+H123)/2,1)</f>
        <v>21.1</v>
      </c>
      <c r="J122" s="354">
        <f>(H122-H123)*100/I122</f>
        <v>-3.69668246445498</v>
      </c>
      <c r="K122" s="361" t="s">
        <v>150</v>
      </c>
      <c r="L122" s="363">
        <f>H123-H122</f>
        <v>0.780000000000001</v>
      </c>
    </row>
    <row r="123" spans="1:12">
      <c r="A123" s="336"/>
      <c r="B123" s="343"/>
      <c r="C123" s="362"/>
      <c r="D123" s="305">
        <v>11.4</v>
      </c>
      <c r="E123" s="303">
        <v>3.1409</v>
      </c>
      <c r="F123" s="305">
        <v>1</v>
      </c>
      <c r="G123" s="306">
        <v>8.45</v>
      </c>
      <c r="H123" s="306">
        <f t="shared" si="97"/>
        <v>21.48</v>
      </c>
      <c r="I123" s="358"/>
      <c r="J123" s="359"/>
      <c r="K123" s="360" t="s">
        <v>656</v>
      </c>
      <c r="L123" s="364"/>
    </row>
    <row r="124" spans="1:12">
      <c r="A124" s="334"/>
      <c r="B124" s="341" t="s">
        <v>703</v>
      </c>
      <c r="C124" s="344" t="s">
        <v>704</v>
      </c>
      <c r="D124" s="305">
        <v>11.4</v>
      </c>
      <c r="E124" s="303">
        <v>2.7211</v>
      </c>
      <c r="F124" s="305">
        <v>1</v>
      </c>
      <c r="G124" s="306">
        <v>8.3</v>
      </c>
      <c r="H124" s="306">
        <f t="shared" ref="H124:H125" si="100">ROUND(D124*100*F124*250*100/50/E124/G124/1000,2)</f>
        <v>25.24</v>
      </c>
      <c r="I124" s="353">
        <f>ROUND((H124+H125)/2,1)</f>
        <v>25.1</v>
      </c>
      <c r="J124" s="354">
        <f>(H124-H125)*100/I124</f>
        <v>0.756972111553776</v>
      </c>
      <c r="K124" s="361" t="s">
        <v>150</v>
      </c>
      <c r="L124" s="363">
        <f>H125-H124</f>
        <v>-0.189999999999998</v>
      </c>
    </row>
    <row r="125" spans="1:12">
      <c r="A125" s="336"/>
      <c r="B125" s="343"/>
      <c r="C125" s="362"/>
      <c r="D125" s="305">
        <v>11.4</v>
      </c>
      <c r="E125" s="303">
        <v>2.7253</v>
      </c>
      <c r="F125" s="305">
        <v>1</v>
      </c>
      <c r="G125" s="306">
        <v>8.35</v>
      </c>
      <c r="H125" s="306">
        <f t="shared" si="100"/>
        <v>25.05</v>
      </c>
      <c r="I125" s="358"/>
      <c r="J125" s="359"/>
      <c r="K125" s="360" t="s">
        <v>656</v>
      </c>
      <c r="L125" s="364"/>
    </row>
    <row r="126" spans="1:12">
      <c r="A126" s="334"/>
      <c r="B126" s="341" t="s">
        <v>705</v>
      </c>
      <c r="C126" s="344" t="s">
        <v>706</v>
      </c>
      <c r="D126" s="305">
        <v>11.4</v>
      </c>
      <c r="E126" s="303">
        <v>2.5874</v>
      </c>
      <c r="F126" s="305">
        <v>1</v>
      </c>
      <c r="G126" s="306">
        <v>12.7</v>
      </c>
      <c r="H126" s="306">
        <f t="shared" ref="H126:H127" si="101">ROUND(D126*100*F126*250*100/50/E126/G126/1000,2)</f>
        <v>17.35</v>
      </c>
      <c r="I126" s="353">
        <f>ROUND((H126+H127)/2,1)</f>
        <v>17.2</v>
      </c>
      <c r="J126" s="354">
        <f>(H126-H127)*100/I126</f>
        <v>1.51162790697675</v>
      </c>
      <c r="K126" s="361" t="s">
        <v>150</v>
      </c>
      <c r="L126" s="363">
        <f>H127-H126</f>
        <v>-0.260000000000002</v>
      </c>
    </row>
    <row r="127" spans="1:12">
      <c r="A127" s="336"/>
      <c r="B127" s="343"/>
      <c r="C127" s="362"/>
      <c r="D127" s="305">
        <v>11.4</v>
      </c>
      <c r="E127" s="303">
        <v>2.606</v>
      </c>
      <c r="F127" s="305">
        <v>1</v>
      </c>
      <c r="G127" s="306">
        <v>12.8</v>
      </c>
      <c r="H127" s="306">
        <f t="shared" si="101"/>
        <v>17.09</v>
      </c>
      <c r="I127" s="358"/>
      <c r="J127" s="359"/>
      <c r="K127" s="360" t="s">
        <v>656</v>
      </c>
      <c r="L127" s="364"/>
    </row>
    <row r="128" spans="1:12">
      <c r="A128" s="334"/>
      <c r="B128" s="341" t="s">
        <v>707</v>
      </c>
      <c r="C128" s="344" t="s">
        <v>708</v>
      </c>
      <c r="D128" s="305">
        <v>11.4</v>
      </c>
      <c r="E128" s="303">
        <v>2.7211</v>
      </c>
      <c r="F128" s="305">
        <v>1</v>
      </c>
      <c r="G128" s="306">
        <v>5.5</v>
      </c>
      <c r="H128" s="306">
        <f t="shared" ref="H128:H131" si="102">ROUND(D128*100*F128*250*100/50/E128/G128/1000,2)</f>
        <v>38.09</v>
      </c>
      <c r="I128" s="353">
        <f>ROUND((H128+H129)/2,1)</f>
        <v>38.9</v>
      </c>
      <c r="J128" s="354">
        <f>(H128-H129)*100/I128</f>
        <v>-4.293059125964</v>
      </c>
      <c r="K128" s="361" t="s">
        <v>150</v>
      </c>
      <c r="L128" s="363">
        <f>H129-H128</f>
        <v>1.66999999999999</v>
      </c>
    </row>
    <row r="129" spans="1:12">
      <c r="A129" s="336"/>
      <c r="B129" s="343"/>
      <c r="C129" s="362"/>
      <c r="D129" s="305">
        <v>11.4</v>
      </c>
      <c r="E129" s="303">
        <v>3.9272</v>
      </c>
      <c r="F129" s="305">
        <v>2</v>
      </c>
      <c r="G129" s="306">
        <v>7.3</v>
      </c>
      <c r="H129" s="306">
        <f t="shared" si="102"/>
        <v>39.76</v>
      </c>
      <c r="I129" s="358"/>
      <c r="J129" s="359"/>
      <c r="K129" s="360" t="s">
        <v>656</v>
      </c>
      <c r="L129" s="364"/>
    </row>
    <row r="130" spans="1:12">
      <c r="A130" s="334"/>
      <c r="B130" s="341" t="s">
        <v>709</v>
      </c>
      <c r="C130" s="344" t="s">
        <v>710</v>
      </c>
      <c r="D130" s="305">
        <v>11.4</v>
      </c>
      <c r="E130" s="303">
        <v>2.8871</v>
      </c>
      <c r="F130" s="305">
        <v>1</v>
      </c>
      <c r="G130" s="306">
        <v>6.5</v>
      </c>
      <c r="H130" s="306">
        <f t="shared" si="102"/>
        <v>30.37</v>
      </c>
      <c r="I130" s="353">
        <f>ROUND((H130+H131)/2,1)</f>
        <v>30.3</v>
      </c>
      <c r="J130" s="354">
        <f>(H130-H131)*100/I130</f>
        <v>0.594059405940593</v>
      </c>
      <c r="K130" s="361" t="s">
        <v>150</v>
      </c>
      <c r="L130" s="363">
        <f>H131-H130</f>
        <v>-0.18</v>
      </c>
    </row>
    <row r="131" spans="1:12">
      <c r="A131" s="336"/>
      <c r="B131" s="343"/>
      <c r="C131" s="362"/>
      <c r="D131" s="305">
        <v>11.4</v>
      </c>
      <c r="E131" s="303">
        <v>2.9731</v>
      </c>
      <c r="F131" s="305">
        <v>1</v>
      </c>
      <c r="G131" s="306">
        <v>6.35</v>
      </c>
      <c r="H131" s="306">
        <f t="shared" si="102"/>
        <v>30.19</v>
      </c>
      <c r="I131" s="358"/>
      <c r="J131" s="359"/>
      <c r="K131" s="360" t="s">
        <v>656</v>
      </c>
      <c r="L131" s="364"/>
    </row>
    <row r="132" spans="1:12">
      <c r="A132" s="334"/>
      <c r="B132" s="341" t="s">
        <v>711</v>
      </c>
      <c r="C132" s="344" t="s">
        <v>710</v>
      </c>
      <c r="D132" s="305">
        <v>11.4</v>
      </c>
      <c r="E132" s="303">
        <v>2.8057</v>
      </c>
      <c r="F132" s="305">
        <v>1</v>
      </c>
      <c r="G132" s="306">
        <v>6.45</v>
      </c>
      <c r="H132" s="306">
        <f t="shared" ref="H132:H141" si="103">ROUND(D132*100*F132*250*100/50/E132/G132/1000,2)</f>
        <v>31.5</v>
      </c>
      <c r="I132" s="353">
        <f>ROUND((H132+H133)/2,1)</f>
        <v>31.6</v>
      </c>
      <c r="J132" s="354">
        <f>(H132-H133)*100/I132</f>
        <v>-0.664556962025319</v>
      </c>
      <c r="K132" s="361" t="s">
        <v>150</v>
      </c>
      <c r="L132" s="363">
        <f>H133-H132</f>
        <v>0.210000000000001</v>
      </c>
    </row>
    <row r="133" spans="1:12">
      <c r="A133" s="336"/>
      <c r="B133" s="343"/>
      <c r="C133" s="362"/>
      <c r="D133" s="305">
        <v>11.4</v>
      </c>
      <c r="E133" s="303">
        <v>2.9465</v>
      </c>
      <c r="F133" s="305">
        <v>1</v>
      </c>
      <c r="G133" s="306">
        <v>6.1</v>
      </c>
      <c r="H133" s="306">
        <f t="shared" si="103"/>
        <v>31.71</v>
      </c>
      <c r="I133" s="358"/>
      <c r="J133" s="359"/>
      <c r="K133" s="360" t="s">
        <v>656</v>
      </c>
      <c r="L133" s="364"/>
    </row>
    <row r="134" spans="1:12">
      <c r="A134" s="334"/>
      <c r="B134" s="341" t="s">
        <v>712</v>
      </c>
      <c r="C134" s="344" t="s">
        <v>710</v>
      </c>
      <c r="D134" s="305">
        <v>11.4</v>
      </c>
      <c r="E134" s="303">
        <v>2.7913</v>
      </c>
      <c r="F134" s="305">
        <v>1</v>
      </c>
      <c r="G134" s="306">
        <v>6.5</v>
      </c>
      <c r="H134" s="306">
        <f t="shared" si="103"/>
        <v>31.42</v>
      </c>
      <c r="I134" s="353">
        <f>ROUND((H134+H135)/2,1)</f>
        <v>31.4</v>
      </c>
      <c r="J134" s="354">
        <f>(H134-H135)*100/I134</f>
        <v>0.2547770700637</v>
      </c>
      <c r="K134" s="361" t="s">
        <v>150</v>
      </c>
      <c r="L134" s="363">
        <f>H135-H134</f>
        <v>-0.0800000000000018</v>
      </c>
    </row>
    <row r="135" spans="1:12">
      <c r="A135" s="336"/>
      <c r="B135" s="343"/>
      <c r="C135" s="362"/>
      <c r="D135" s="305">
        <v>11.4</v>
      </c>
      <c r="E135" s="303">
        <v>2.6749</v>
      </c>
      <c r="F135" s="305">
        <v>1</v>
      </c>
      <c r="G135" s="306">
        <v>6.8</v>
      </c>
      <c r="H135" s="306">
        <f t="shared" si="103"/>
        <v>31.34</v>
      </c>
      <c r="I135" s="358"/>
      <c r="J135" s="359"/>
      <c r="K135" s="360" t="s">
        <v>656</v>
      </c>
      <c r="L135" s="364"/>
    </row>
    <row r="136" spans="1:12">
      <c r="A136" s="334"/>
      <c r="B136" s="341" t="s">
        <v>713</v>
      </c>
      <c r="C136" s="344" t="s">
        <v>710</v>
      </c>
      <c r="D136" s="305">
        <v>11.4</v>
      </c>
      <c r="E136" s="303">
        <v>2.6676</v>
      </c>
      <c r="F136" s="305">
        <v>1</v>
      </c>
      <c r="G136" s="306">
        <v>5.3</v>
      </c>
      <c r="H136" s="306">
        <f t="shared" si="103"/>
        <v>40.32</v>
      </c>
      <c r="I136" s="353">
        <f>ROUND((H136+H137)/2,1)</f>
        <v>40.3</v>
      </c>
      <c r="J136" s="354">
        <f>(H136-H137)*100/I136</f>
        <v>0.347394540942929</v>
      </c>
      <c r="K136" s="361" t="s">
        <v>150</v>
      </c>
      <c r="L136" s="363">
        <f>H137-H136</f>
        <v>-0.140000000000001</v>
      </c>
    </row>
    <row r="137" spans="1:12">
      <c r="A137" s="336"/>
      <c r="B137" s="343"/>
      <c r="C137" s="362"/>
      <c r="D137" s="305">
        <v>11.4</v>
      </c>
      <c r="E137" s="303">
        <v>2.8093</v>
      </c>
      <c r="F137" s="305">
        <v>1</v>
      </c>
      <c r="G137" s="306">
        <v>5.05</v>
      </c>
      <c r="H137" s="306">
        <f t="shared" si="103"/>
        <v>40.18</v>
      </c>
      <c r="I137" s="358"/>
      <c r="J137" s="359"/>
      <c r="K137" s="360" t="s">
        <v>656</v>
      </c>
      <c r="L137" s="364"/>
    </row>
    <row r="138" spans="1:12">
      <c r="A138" s="334"/>
      <c r="B138" s="341" t="s">
        <v>714</v>
      </c>
      <c r="C138" s="344" t="s">
        <v>710</v>
      </c>
      <c r="D138" s="305">
        <v>11.4</v>
      </c>
      <c r="E138" s="303">
        <v>3.1775</v>
      </c>
      <c r="F138" s="305">
        <v>2</v>
      </c>
      <c r="G138" s="306">
        <v>9.65</v>
      </c>
      <c r="H138" s="306">
        <f t="shared" si="103"/>
        <v>37.18</v>
      </c>
      <c r="I138" s="353">
        <f>ROUND((H138+H139)/2,1)</f>
        <v>37.2</v>
      </c>
      <c r="J138" s="354">
        <f>(H138-H139)*100/I138</f>
        <v>-0.349462365591405</v>
      </c>
      <c r="K138" s="361" t="s">
        <v>150</v>
      </c>
      <c r="L138" s="363">
        <f>H139-H138</f>
        <v>0.130000000000003</v>
      </c>
    </row>
    <row r="139" spans="1:12">
      <c r="A139" s="336"/>
      <c r="B139" s="343"/>
      <c r="C139" s="362"/>
      <c r="D139" s="305">
        <v>11.4</v>
      </c>
      <c r="E139" s="303">
        <v>2.8289</v>
      </c>
      <c r="F139" s="305">
        <v>1</v>
      </c>
      <c r="G139" s="306">
        <v>5.4</v>
      </c>
      <c r="H139" s="306">
        <f t="shared" si="103"/>
        <v>37.31</v>
      </c>
      <c r="I139" s="358"/>
      <c r="J139" s="359"/>
      <c r="K139" s="360" t="s">
        <v>656</v>
      </c>
      <c r="L139" s="364"/>
    </row>
    <row r="140" spans="1:12">
      <c r="A140" s="334"/>
      <c r="B140" s="341" t="s">
        <v>715</v>
      </c>
      <c r="C140" s="344" t="s">
        <v>710</v>
      </c>
      <c r="D140" s="305">
        <v>11.4</v>
      </c>
      <c r="E140" s="303">
        <v>2.9144</v>
      </c>
      <c r="F140" s="305">
        <v>1</v>
      </c>
      <c r="G140" s="306">
        <v>6.6</v>
      </c>
      <c r="H140" s="306">
        <f t="shared" si="103"/>
        <v>29.63</v>
      </c>
      <c r="I140" s="353">
        <f>ROUND((H140+H141)/2,1)</f>
        <v>29.5</v>
      </c>
      <c r="J140" s="354">
        <f>(H140-H141)*100/I140</f>
        <v>0.983050847457624</v>
      </c>
      <c r="K140" s="361" t="s">
        <v>150</v>
      </c>
      <c r="L140" s="363">
        <f>H141-H140</f>
        <v>-0.289999999999999</v>
      </c>
    </row>
    <row r="141" spans="1:12">
      <c r="A141" s="336"/>
      <c r="B141" s="343"/>
      <c r="C141" s="362"/>
      <c r="D141" s="305">
        <v>11.4</v>
      </c>
      <c r="E141" s="303">
        <v>2.944</v>
      </c>
      <c r="F141" s="305">
        <v>1</v>
      </c>
      <c r="G141" s="306">
        <v>6.6</v>
      </c>
      <c r="H141" s="306">
        <f t="shared" si="103"/>
        <v>29.34</v>
      </c>
      <c r="I141" s="358"/>
      <c r="J141" s="359"/>
      <c r="K141" s="360" t="s">
        <v>656</v>
      </c>
      <c r="L141" s="364"/>
    </row>
    <row r="142" spans="1:12">
      <c r="A142" s="334"/>
      <c r="B142" s="341" t="s">
        <v>716</v>
      </c>
      <c r="C142" s="344" t="s">
        <v>717</v>
      </c>
      <c r="D142" s="305">
        <v>11.4</v>
      </c>
      <c r="E142" s="303">
        <v>1.0759</v>
      </c>
      <c r="F142" s="305">
        <v>2</v>
      </c>
      <c r="G142" s="306">
        <v>11.4</v>
      </c>
      <c r="H142" s="306">
        <f t="shared" ref="H142:H143" si="104">ROUND(D142*100*F142*250*100/50/E142/G142/1000,2)</f>
        <v>92.95</v>
      </c>
      <c r="I142" s="353">
        <f>ROUND((H142+H143)/2,1)</f>
        <v>92</v>
      </c>
      <c r="J142" s="354">
        <f>(H142-H143)*100/I142</f>
        <v>2.05434782608696</v>
      </c>
      <c r="K142" s="361" t="s">
        <v>150</v>
      </c>
      <c r="L142" s="363">
        <f>H143-H142</f>
        <v>-1.89</v>
      </c>
    </row>
    <row r="143" spans="1:12">
      <c r="A143" s="336"/>
      <c r="B143" s="343"/>
      <c r="C143" s="362"/>
      <c r="D143" s="305">
        <v>11.4</v>
      </c>
      <c r="E143" s="303">
        <v>2.5038</v>
      </c>
      <c r="F143" s="305">
        <v>4</v>
      </c>
      <c r="G143" s="306">
        <v>10</v>
      </c>
      <c r="H143" s="306">
        <f t="shared" si="104"/>
        <v>91.06</v>
      </c>
      <c r="I143" s="358"/>
      <c r="J143" s="359"/>
      <c r="K143" s="360" t="s">
        <v>656</v>
      </c>
      <c r="L143" s="364"/>
    </row>
    <row r="146" spans="1:12">
      <c r="A146" s="334"/>
      <c r="B146" s="341" t="s">
        <v>159</v>
      </c>
      <c r="C146" s="344" t="s">
        <v>160</v>
      </c>
      <c r="D146" s="305">
        <v>11.3</v>
      </c>
      <c r="E146" s="303">
        <v>3.4402</v>
      </c>
      <c r="F146" s="305">
        <v>1</v>
      </c>
      <c r="G146" s="306">
        <v>11.5</v>
      </c>
      <c r="H146" s="306">
        <f t="shared" ref="H146:H147" si="105">ROUND(D146*100*F146*250*100/50/E146/G146/1000,2)</f>
        <v>14.28</v>
      </c>
      <c r="I146" s="353">
        <f>ROUND((H146+H147)/2,1)</f>
        <v>14.3</v>
      </c>
      <c r="J146" s="354">
        <f>(H146-H147)*100/I146</f>
        <v>0.139860139860137</v>
      </c>
      <c r="K146" s="361" t="s">
        <v>150</v>
      </c>
      <c r="L146" s="363">
        <f>H147-H146</f>
        <v>-0.0199999999999996</v>
      </c>
    </row>
    <row r="147" spans="1:12">
      <c r="A147" s="336"/>
      <c r="B147" s="343"/>
      <c r="C147" s="362"/>
      <c r="D147" s="305">
        <v>11.3</v>
      </c>
      <c r="E147" s="303">
        <v>3.4461</v>
      </c>
      <c r="F147" s="305">
        <v>1</v>
      </c>
      <c r="G147" s="306">
        <v>11.5</v>
      </c>
      <c r="H147" s="306">
        <f t="shared" si="105"/>
        <v>14.26</v>
      </c>
      <c r="I147" s="358"/>
      <c r="J147" s="359"/>
      <c r="K147" s="360" t="s">
        <v>656</v>
      </c>
      <c r="L147" s="364"/>
    </row>
    <row r="148" ht="21.75" customHeight="1" spans="1:12">
      <c r="A148" s="334"/>
      <c r="B148" s="341" t="s">
        <v>718</v>
      </c>
      <c r="C148" s="344" t="s">
        <v>719</v>
      </c>
      <c r="D148" s="305">
        <v>11.2</v>
      </c>
      <c r="E148" s="303">
        <v>2.8154</v>
      </c>
      <c r="F148" s="305">
        <v>2</v>
      </c>
      <c r="G148" s="306">
        <v>7</v>
      </c>
      <c r="H148" s="306">
        <f t="shared" ref="H148:H149" si="106">ROUND(D148*100*F148*250*100/50/E148/G148/1000,2)</f>
        <v>56.83</v>
      </c>
      <c r="I148" s="353">
        <f>ROUND((H148+H149)/2,1)</f>
        <v>57.4</v>
      </c>
      <c r="J148" s="354">
        <f>(H148-H149)*100/I148</f>
        <v>-1.88153310104529</v>
      </c>
      <c r="K148" s="361" t="s">
        <v>150</v>
      </c>
      <c r="L148" s="363">
        <f>H149-H148</f>
        <v>1.08</v>
      </c>
    </row>
    <row r="149" spans="1:12">
      <c r="A149" s="336"/>
      <c r="B149" s="343"/>
      <c r="C149" s="362"/>
      <c r="D149" s="305">
        <v>11.2</v>
      </c>
      <c r="E149" s="303">
        <v>3.1968</v>
      </c>
      <c r="F149" s="305">
        <v>2</v>
      </c>
      <c r="G149" s="306">
        <v>6.05</v>
      </c>
      <c r="H149" s="306">
        <f t="shared" si="106"/>
        <v>57.91</v>
      </c>
      <c r="I149" s="358"/>
      <c r="J149" s="359"/>
      <c r="K149" s="360" t="s">
        <v>656</v>
      </c>
      <c r="L149" s="364"/>
    </row>
    <row r="150" spans="1:12">
      <c r="A150" s="334"/>
      <c r="B150" s="341" t="s">
        <v>720</v>
      </c>
      <c r="C150" s="344" t="s">
        <v>179</v>
      </c>
      <c r="D150" s="305">
        <v>11.2</v>
      </c>
      <c r="E150" s="303">
        <v>2.7007</v>
      </c>
      <c r="F150" s="305">
        <v>4</v>
      </c>
      <c r="G150" s="306">
        <v>10.5</v>
      </c>
      <c r="H150" s="306">
        <f t="shared" ref="H150:H151" si="107">ROUND(D150*100*F150*250*100/50/E150/G150/1000,2)</f>
        <v>78.99</v>
      </c>
      <c r="I150" s="353">
        <f>ROUND((H150+H151)/2,1)</f>
        <v>78.4</v>
      </c>
      <c r="J150" s="354">
        <f>(H150-H151)*100/I150</f>
        <v>1.42857142857142</v>
      </c>
      <c r="K150" s="361" t="s">
        <v>150</v>
      </c>
      <c r="L150" s="363">
        <f>H151-H150</f>
        <v>-1.11999999999999</v>
      </c>
    </row>
    <row r="151" spans="1:12">
      <c r="A151" s="336"/>
      <c r="B151" s="343"/>
      <c r="C151" s="362"/>
      <c r="D151" s="305">
        <v>11.2</v>
      </c>
      <c r="E151" s="303">
        <v>3.0281</v>
      </c>
      <c r="F151" s="305">
        <v>4</v>
      </c>
      <c r="G151" s="306">
        <v>9.5</v>
      </c>
      <c r="H151" s="306">
        <f t="shared" si="107"/>
        <v>77.87</v>
      </c>
      <c r="I151" s="358"/>
      <c r="J151" s="359"/>
      <c r="K151" s="360" t="s">
        <v>656</v>
      </c>
      <c r="L151" s="364"/>
    </row>
    <row r="152" spans="1:12">
      <c r="A152" s="334"/>
      <c r="B152" s="341" t="s">
        <v>721</v>
      </c>
      <c r="C152" s="344" t="s">
        <v>722</v>
      </c>
      <c r="D152" s="305">
        <v>11.2</v>
      </c>
      <c r="E152" s="303">
        <v>4.0559</v>
      </c>
      <c r="F152" s="305">
        <v>2</v>
      </c>
      <c r="G152" s="306">
        <v>8.7</v>
      </c>
      <c r="H152" s="306">
        <f t="shared" ref="H152:H153" si="108">ROUND(D152*100*F152*250*100/50/E152/G152/1000,2)</f>
        <v>31.74</v>
      </c>
      <c r="I152" s="353">
        <f>ROUND((H152+H153)/2,1)</f>
        <v>31.8</v>
      </c>
      <c r="J152" s="354">
        <f>(H152-H153)*100/I152</f>
        <v>-0.377358490566041</v>
      </c>
      <c r="K152" s="361" t="s">
        <v>150</v>
      </c>
      <c r="L152" s="363">
        <f>H153-H152</f>
        <v>0.120000000000001</v>
      </c>
    </row>
    <row r="153" spans="1:12">
      <c r="A153" s="336"/>
      <c r="B153" s="343"/>
      <c r="C153" s="362"/>
      <c r="D153" s="305">
        <v>11.2</v>
      </c>
      <c r="E153" s="303">
        <v>3.2551</v>
      </c>
      <c r="F153" s="305">
        <v>2</v>
      </c>
      <c r="G153" s="306">
        <v>10.8</v>
      </c>
      <c r="H153" s="306">
        <f t="shared" si="108"/>
        <v>31.86</v>
      </c>
      <c r="I153" s="358"/>
      <c r="J153" s="359"/>
      <c r="K153" s="360" t="s">
        <v>656</v>
      </c>
      <c r="L153" s="364"/>
    </row>
    <row r="154" spans="1:12">
      <c r="A154" s="334"/>
      <c r="B154" s="341" t="s">
        <v>723</v>
      </c>
      <c r="C154" s="344" t="s">
        <v>722</v>
      </c>
      <c r="D154" s="305">
        <v>11.2</v>
      </c>
      <c r="E154" s="303">
        <v>4.6652</v>
      </c>
      <c r="F154" s="305">
        <v>2</v>
      </c>
      <c r="G154" s="306">
        <v>8.3</v>
      </c>
      <c r="H154" s="306">
        <f t="shared" ref="H154:H155" si="109">ROUND(D154*100*F154*250*100/50/E154/G154/1000,2)</f>
        <v>28.92</v>
      </c>
      <c r="I154" s="353">
        <f t="shared" ref="I154:I159" si="110">ROUND((H154+H155)/2,1)</f>
        <v>28.8</v>
      </c>
      <c r="J154" s="354">
        <f t="shared" ref="J154:J159" si="111">(H154-H155)*100/I154</f>
        <v>0.868055555555556</v>
      </c>
      <c r="K154" s="361" t="s">
        <v>150</v>
      </c>
      <c r="L154" s="363">
        <f t="shared" ref="L154:L159" si="112">H155-H154</f>
        <v>-0.25</v>
      </c>
    </row>
    <row r="155" spans="1:12">
      <c r="A155" s="336"/>
      <c r="B155" s="343"/>
      <c r="C155" s="362"/>
      <c r="D155" s="305">
        <v>11.2</v>
      </c>
      <c r="E155" s="303">
        <v>4.2469</v>
      </c>
      <c r="F155" s="305">
        <v>2</v>
      </c>
      <c r="G155" s="306">
        <v>9.2</v>
      </c>
      <c r="H155" s="306">
        <f t="shared" si="109"/>
        <v>28.67</v>
      </c>
      <c r="I155" s="358"/>
      <c r="J155" s="359"/>
      <c r="K155" s="360" t="s">
        <v>656</v>
      </c>
      <c r="L155" s="364"/>
    </row>
    <row r="157" spans="1:12">
      <c r="A157" s="334"/>
      <c r="B157" s="341" t="s">
        <v>724</v>
      </c>
      <c r="C157" s="344" t="s">
        <v>725</v>
      </c>
      <c r="D157" s="305">
        <v>11.2</v>
      </c>
      <c r="E157" s="303">
        <v>2.8813</v>
      </c>
      <c r="F157" s="305">
        <v>4</v>
      </c>
      <c r="G157" s="306">
        <v>8.7</v>
      </c>
      <c r="H157" s="306">
        <f t="shared" ref="H157:H166" si="113">ROUND(D157*100*F157*250*100/50/E157/G157/1000,2)</f>
        <v>89.36</v>
      </c>
      <c r="I157" s="353">
        <f t="shared" si="110"/>
        <v>89.4</v>
      </c>
      <c r="J157" s="354">
        <f t="shared" si="111"/>
        <v>-0.190156599552575</v>
      </c>
      <c r="K157" s="361" t="s">
        <v>150</v>
      </c>
      <c r="L157" s="363">
        <f t="shared" si="112"/>
        <v>0.170000000000002</v>
      </c>
    </row>
    <row r="158" spans="1:12">
      <c r="A158" s="336"/>
      <c r="B158" s="343"/>
      <c r="C158" s="362"/>
      <c r="D158" s="305">
        <v>11.2</v>
      </c>
      <c r="E158" s="303">
        <v>2.7194</v>
      </c>
      <c r="F158" s="305">
        <v>4</v>
      </c>
      <c r="G158" s="306">
        <v>9.2</v>
      </c>
      <c r="H158" s="306">
        <f t="shared" si="113"/>
        <v>89.53</v>
      </c>
      <c r="I158" s="358"/>
      <c r="J158" s="359"/>
      <c r="K158" s="360" t="s">
        <v>656</v>
      </c>
      <c r="L158" s="364"/>
    </row>
    <row r="159" spans="1:12">
      <c r="A159" s="334"/>
      <c r="B159" s="341" t="s">
        <v>726</v>
      </c>
      <c r="C159" s="344" t="s">
        <v>727</v>
      </c>
      <c r="D159" s="305">
        <v>11.2</v>
      </c>
      <c r="E159" s="303">
        <v>5.7814</v>
      </c>
      <c r="F159" s="305">
        <v>4</v>
      </c>
      <c r="G159" s="306">
        <v>9</v>
      </c>
      <c r="H159" s="306">
        <f t="shared" si="113"/>
        <v>43.05</v>
      </c>
      <c r="I159" s="353">
        <f t="shared" si="110"/>
        <v>43.1</v>
      </c>
      <c r="J159" s="354">
        <f t="shared" si="111"/>
        <v>-0.255220417633409</v>
      </c>
      <c r="K159" s="361" t="s">
        <v>150</v>
      </c>
      <c r="L159" s="363">
        <f t="shared" si="112"/>
        <v>0.109999999999999</v>
      </c>
    </row>
    <row r="160" spans="1:12">
      <c r="A160" s="336"/>
      <c r="B160" s="343"/>
      <c r="C160" s="362"/>
      <c r="D160" s="305">
        <v>11.2</v>
      </c>
      <c r="E160" s="303">
        <v>4.9901</v>
      </c>
      <c r="F160" s="305">
        <v>4</v>
      </c>
      <c r="G160" s="306">
        <v>10.4</v>
      </c>
      <c r="H160" s="306">
        <f t="shared" si="113"/>
        <v>43.16</v>
      </c>
      <c r="I160" s="358"/>
      <c r="J160" s="359"/>
      <c r="K160" s="360" t="s">
        <v>656</v>
      </c>
      <c r="L160" s="364"/>
    </row>
    <row r="161" spans="1:12">
      <c r="A161" s="334"/>
      <c r="B161" s="341" t="s">
        <v>728</v>
      </c>
      <c r="C161" s="344" t="s">
        <v>729</v>
      </c>
      <c r="D161" s="305">
        <v>11.2</v>
      </c>
      <c r="E161" s="303">
        <v>4.7854</v>
      </c>
      <c r="F161" s="305">
        <v>2</v>
      </c>
      <c r="G161" s="306">
        <v>5.7</v>
      </c>
      <c r="H161" s="306">
        <f t="shared" si="113"/>
        <v>41.06</v>
      </c>
      <c r="I161" s="353">
        <f t="shared" ref="I161:I165" si="114">ROUND((H161+H162)/2,1)</f>
        <v>41.2</v>
      </c>
      <c r="J161" s="354">
        <f t="shared" ref="J161:J165" si="115">(H161-H162)*100/I161</f>
        <v>-0.703883495145629</v>
      </c>
      <c r="K161" s="361" t="s">
        <v>150</v>
      </c>
      <c r="L161" s="363">
        <f t="shared" ref="L161:L165" si="116">H162-H161</f>
        <v>0.289999999999999</v>
      </c>
    </row>
    <row r="162" spans="1:12">
      <c r="A162" s="336"/>
      <c r="B162" s="343"/>
      <c r="C162" s="362"/>
      <c r="D162" s="305">
        <v>11.2</v>
      </c>
      <c r="E162" s="303">
        <v>4.5523</v>
      </c>
      <c r="F162" s="305">
        <v>2</v>
      </c>
      <c r="G162" s="306">
        <v>5.95</v>
      </c>
      <c r="H162" s="306">
        <f t="shared" si="113"/>
        <v>41.35</v>
      </c>
      <c r="I162" s="358"/>
      <c r="J162" s="359"/>
      <c r="K162" s="360" t="s">
        <v>656</v>
      </c>
      <c r="L162" s="364"/>
    </row>
    <row r="163" spans="1:12">
      <c r="A163" s="334"/>
      <c r="B163" s="341" t="s">
        <v>730</v>
      </c>
      <c r="C163" s="344" t="s">
        <v>628</v>
      </c>
      <c r="D163" s="305">
        <v>11.2</v>
      </c>
      <c r="E163" s="303">
        <v>2.6875</v>
      </c>
      <c r="F163" s="305">
        <v>2</v>
      </c>
      <c r="G163" s="306">
        <v>5.95</v>
      </c>
      <c r="H163" s="306">
        <f t="shared" si="113"/>
        <v>70.04</v>
      </c>
      <c r="I163" s="353">
        <f t="shared" si="114"/>
        <v>70.2</v>
      </c>
      <c r="J163" s="354">
        <f t="shared" si="115"/>
        <v>-0.356125356125356</v>
      </c>
      <c r="K163" s="361" t="s">
        <v>150</v>
      </c>
      <c r="L163" s="363">
        <f t="shared" si="116"/>
        <v>0.25</v>
      </c>
    </row>
    <row r="164" spans="1:12">
      <c r="A164" s="336"/>
      <c r="B164" s="343"/>
      <c r="C164" s="362"/>
      <c r="D164" s="305">
        <v>11.2</v>
      </c>
      <c r="E164" s="303">
        <v>2.8971</v>
      </c>
      <c r="F164" s="305">
        <v>2</v>
      </c>
      <c r="G164" s="306">
        <v>5.5</v>
      </c>
      <c r="H164" s="306">
        <f t="shared" si="113"/>
        <v>70.29</v>
      </c>
      <c r="I164" s="358"/>
      <c r="J164" s="359"/>
      <c r="K164" s="360" t="s">
        <v>656</v>
      </c>
      <c r="L164" s="364"/>
    </row>
    <row r="165" spans="1:12">
      <c r="A165" s="334"/>
      <c r="B165" s="341" t="s">
        <v>731</v>
      </c>
      <c r="C165" s="344" t="s">
        <v>732</v>
      </c>
      <c r="D165" s="305">
        <v>11.2</v>
      </c>
      <c r="E165" s="303">
        <v>2.9394</v>
      </c>
      <c r="F165" s="305">
        <v>4</v>
      </c>
      <c r="G165" s="306">
        <v>9.5</v>
      </c>
      <c r="H165" s="306">
        <f t="shared" si="113"/>
        <v>80.22</v>
      </c>
      <c r="I165" s="353">
        <f t="shared" si="114"/>
        <v>80</v>
      </c>
      <c r="J165" s="354">
        <f t="shared" si="115"/>
        <v>0.612499999999994</v>
      </c>
      <c r="K165" s="361" t="s">
        <v>150</v>
      </c>
      <c r="L165" s="363">
        <f t="shared" si="116"/>
        <v>-0.489999999999995</v>
      </c>
    </row>
    <row r="166" spans="1:12">
      <c r="A166" s="336"/>
      <c r="B166" s="343"/>
      <c r="C166" s="362"/>
      <c r="D166" s="305">
        <v>11.2</v>
      </c>
      <c r="E166" s="303">
        <v>3.021</v>
      </c>
      <c r="F166" s="305">
        <v>4</v>
      </c>
      <c r="G166" s="306">
        <v>9.3</v>
      </c>
      <c r="H166" s="306">
        <f t="shared" si="113"/>
        <v>79.73</v>
      </c>
      <c r="I166" s="358"/>
      <c r="J166" s="359"/>
      <c r="K166" s="360" t="s">
        <v>656</v>
      </c>
      <c r="L166" s="364"/>
    </row>
    <row r="168" spans="1:12">
      <c r="A168" s="334"/>
      <c r="B168" s="341" t="s">
        <v>730</v>
      </c>
      <c r="C168" s="344"/>
      <c r="D168" s="305">
        <v>11.2</v>
      </c>
      <c r="E168" s="303">
        <v>3.3669</v>
      </c>
      <c r="F168" s="305">
        <v>4</v>
      </c>
      <c r="G168" s="306">
        <v>9.5</v>
      </c>
      <c r="H168" s="306">
        <f t="shared" ref="H168:H169" si="117">ROUND(D168*100*F168*250*100/50/E168/G168/1000,2)</f>
        <v>70.03</v>
      </c>
      <c r="I168" s="353">
        <f t="shared" ref="I168" si="118">ROUND((H168+H169)/2,1)</f>
        <v>74.9</v>
      </c>
      <c r="J168" s="354">
        <f t="shared" ref="J168" si="119">(H168-H169)*100/I168</f>
        <v>-12.9506008010681</v>
      </c>
      <c r="K168" s="361" t="s">
        <v>150</v>
      </c>
      <c r="L168" s="363">
        <f t="shared" ref="L168" si="120">H169-H168</f>
        <v>9.7</v>
      </c>
    </row>
    <row r="169" spans="1:12">
      <c r="A169" s="336"/>
      <c r="B169" s="343"/>
      <c r="C169" s="362"/>
      <c r="D169" s="305">
        <v>11.2</v>
      </c>
      <c r="E169" s="303">
        <v>3.021</v>
      </c>
      <c r="F169" s="305">
        <v>4</v>
      </c>
      <c r="G169" s="306">
        <v>9.3</v>
      </c>
      <c r="H169" s="306">
        <f t="shared" si="117"/>
        <v>79.73</v>
      </c>
      <c r="I169" s="358"/>
      <c r="J169" s="359"/>
      <c r="K169" s="360" t="s">
        <v>656</v>
      </c>
      <c r="L169" s="364"/>
    </row>
    <row r="170" spans="1:12">
      <c r="A170" s="334"/>
      <c r="B170" s="341" t="s">
        <v>733</v>
      </c>
      <c r="C170" s="344" t="s">
        <v>734</v>
      </c>
      <c r="D170" s="305">
        <v>11.2</v>
      </c>
      <c r="E170" s="303">
        <v>2.3582</v>
      </c>
      <c r="F170" s="305">
        <v>2</v>
      </c>
      <c r="G170" s="306">
        <v>6.6</v>
      </c>
      <c r="H170" s="306">
        <f t="shared" ref="H170:H171" si="121">ROUND(D170*100*F170*250*100/50/E170/G170/1000,2)</f>
        <v>71.96</v>
      </c>
      <c r="I170" s="353">
        <f t="shared" ref="I170" si="122">ROUND((H170+H171)/2,1)</f>
        <v>71.4</v>
      </c>
      <c r="J170" s="354">
        <f t="shared" ref="J170" si="123">(H170-H171)*100/I170</f>
        <v>1.65266106442576</v>
      </c>
      <c r="K170" s="361" t="s">
        <v>150</v>
      </c>
      <c r="L170" s="363">
        <f t="shared" ref="L170" si="124">H171-H170</f>
        <v>-1.17999999999999</v>
      </c>
    </row>
    <row r="171" spans="1:12">
      <c r="A171" s="336"/>
      <c r="B171" s="343"/>
      <c r="C171" s="362"/>
      <c r="D171" s="305">
        <v>11.2</v>
      </c>
      <c r="E171" s="303">
        <v>2.5521</v>
      </c>
      <c r="F171" s="305">
        <v>2</v>
      </c>
      <c r="G171" s="306">
        <v>6.2</v>
      </c>
      <c r="H171" s="306">
        <f t="shared" si="121"/>
        <v>70.78</v>
      </c>
      <c r="I171" s="358"/>
      <c r="J171" s="359"/>
      <c r="K171" s="360" t="s">
        <v>656</v>
      </c>
      <c r="L171" s="364"/>
    </row>
    <row r="172" spans="1:12">
      <c r="A172" s="334"/>
      <c r="B172" s="341" t="s">
        <v>735</v>
      </c>
      <c r="C172" s="344" t="s">
        <v>736</v>
      </c>
      <c r="D172" s="305">
        <v>11.2</v>
      </c>
      <c r="E172" s="303">
        <v>2.5793</v>
      </c>
      <c r="F172" s="305">
        <v>1</v>
      </c>
      <c r="G172" s="306">
        <v>5.9</v>
      </c>
      <c r="H172" s="306">
        <f t="shared" ref="H172:H173" si="125">ROUND(D172*100*F172*250*100/50/E172/G172/1000,2)</f>
        <v>36.8</v>
      </c>
      <c r="I172" s="353">
        <f t="shared" ref="I172" si="126">ROUND((H172+H173)/2,1)</f>
        <v>36</v>
      </c>
      <c r="J172" s="354">
        <f t="shared" ref="J172" si="127">(H172-H173)*100/I172</f>
        <v>4.19444444444444</v>
      </c>
      <c r="K172" s="361" t="s">
        <v>150</v>
      </c>
      <c r="L172" s="363">
        <f t="shared" ref="L172" si="128">H173-H172</f>
        <v>-1.51</v>
      </c>
    </row>
    <row r="173" spans="1:12">
      <c r="A173" s="336"/>
      <c r="B173" s="343"/>
      <c r="C173" s="362"/>
      <c r="D173" s="305">
        <v>11.2</v>
      </c>
      <c r="E173" s="303">
        <v>2.5598</v>
      </c>
      <c r="F173" s="305">
        <v>1</v>
      </c>
      <c r="G173" s="306">
        <v>6.2</v>
      </c>
      <c r="H173" s="306">
        <f t="shared" si="125"/>
        <v>35.29</v>
      </c>
      <c r="I173" s="358"/>
      <c r="J173" s="359"/>
      <c r="K173" s="360" t="s">
        <v>656</v>
      </c>
      <c r="L173" s="364"/>
    </row>
    <row r="175" spans="1:12">
      <c r="A175" s="334"/>
      <c r="B175" s="341" t="s">
        <v>737</v>
      </c>
      <c r="C175" s="344" t="s">
        <v>154</v>
      </c>
      <c r="D175" s="305">
        <v>11.2</v>
      </c>
      <c r="E175" s="303">
        <v>3.623</v>
      </c>
      <c r="F175" s="305">
        <v>1</v>
      </c>
      <c r="G175" s="306">
        <v>5.9</v>
      </c>
      <c r="H175" s="306">
        <f t="shared" ref="H175:H176" si="129">ROUND(D175*100*F175*250*100/50/E175/G175/1000,2)</f>
        <v>26.2</v>
      </c>
      <c r="I175" s="353">
        <f t="shared" ref="I175" si="130">ROUND((H175+H176)/2,1)</f>
        <v>24.7</v>
      </c>
      <c r="J175" s="354">
        <f t="shared" ref="J175" si="131">(H175-H176)*100/I175</f>
        <v>12.0647773279352</v>
      </c>
      <c r="K175" s="361" t="s">
        <v>150</v>
      </c>
      <c r="L175" s="363">
        <f t="shared" ref="L175" si="132">H176-H175</f>
        <v>-2.98</v>
      </c>
    </row>
    <row r="176" spans="1:12">
      <c r="A176" s="336"/>
      <c r="B176" s="343"/>
      <c r="C176" s="362"/>
      <c r="D176" s="305">
        <v>11.2</v>
      </c>
      <c r="E176" s="303">
        <v>3.8899</v>
      </c>
      <c r="F176" s="305">
        <v>1</v>
      </c>
      <c r="G176" s="306">
        <v>6.2</v>
      </c>
      <c r="H176" s="306">
        <f t="shared" si="129"/>
        <v>23.22</v>
      </c>
      <c r="I176" s="358"/>
      <c r="J176" s="359"/>
      <c r="K176" s="360" t="s">
        <v>656</v>
      </c>
      <c r="L176" s="364"/>
    </row>
    <row r="178" spans="1:12">
      <c r="A178" s="334"/>
      <c r="B178" s="341" t="s">
        <v>735</v>
      </c>
      <c r="C178" s="344" t="s">
        <v>736</v>
      </c>
      <c r="D178" s="305">
        <v>11.1</v>
      </c>
      <c r="E178" s="303">
        <v>1.6841</v>
      </c>
      <c r="F178" s="305">
        <v>1</v>
      </c>
      <c r="G178" s="306">
        <v>9.45</v>
      </c>
      <c r="H178" s="306">
        <f t="shared" ref="H178:H181" si="133">ROUND(D178*100*F178*250*100/50/E178/G178/1000,2)</f>
        <v>34.87</v>
      </c>
      <c r="I178" s="353">
        <f t="shared" ref="I178" si="134">ROUND((H178+H179)/2,1)</f>
        <v>34.5</v>
      </c>
      <c r="J178" s="354">
        <f t="shared" ref="J178" si="135">(H178-H179)*100/I178</f>
        <v>2.02898550724636</v>
      </c>
      <c r="K178" s="361" t="s">
        <v>150</v>
      </c>
      <c r="L178" s="363">
        <f t="shared" ref="L178" si="136">H179-H178</f>
        <v>-0.699999999999996</v>
      </c>
    </row>
    <row r="179" spans="1:12">
      <c r="A179" s="336"/>
      <c r="B179" s="343"/>
      <c r="C179" s="362"/>
      <c r="D179" s="305">
        <v>11.1</v>
      </c>
      <c r="E179" s="303">
        <v>1.3763</v>
      </c>
      <c r="F179" s="305">
        <v>1</v>
      </c>
      <c r="G179" s="306">
        <v>11.8</v>
      </c>
      <c r="H179" s="306">
        <f t="shared" si="133"/>
        <v>34.17</v>
      </c>
      <c r="I179" s="358"/>
      <c r="J179" s="359"/>
      <c r="K179" s="360" t="s">
        <v>656</v>
      </c>
      <c r="L179" s="364"/>
    </row>
    <row r="180" spans="1:12">
      <c r="A180" s="334"/>
      <c r="B180" s="341" t="s">
        <v>720</v>
      </c>
      <c r="C180" s="344" t="s">
        <v>179</v>
      </c>
      <c r="D180" s="305">
        <v>11.2</v>
      </c>
      <c r="E180" s="303">
        <v>2.3089</v>
      </c>
      <c r="F180" s="305">
        <v>2</v>
      </c>
      <c r="G180" s="306">
        <v>6.3</v>
      </c>
      <c r="H180" s="306">
        <f t="shared" si="133"/>
        <v>77</v>
      </c>
      <c r="I180" s="353">
        <f>ROUND((H180+H181)/2,1)</f>
        <v>76.7</v>
      </c>
      <c r="J180" s="354">
        <f>(H180-H181)*100/I180</f>
        <v>0.899608865710558</v>
      </c>
      <c r="K180" s="361" t="s">
        <v>150</v>
      </c>
      <c r="L180" s="363">
        <f>H181-H180</f>
        <v>-0.689999999999998</v>
      </c>
    </row>
    <row r="181" spans="1:12">
      <c r="A181" s="336"/>
      <c r="B181" s="343"/>
      <c r="C181" s="362"/>
      <c r="D181" s="305">
        <v>11.2</v>
      </c>
      <c r="E181" s="303">
        <v>1.4532</v>
      </c>
      <c r="F181" s="305">
        <v>1</v>
      </c>
      <c r="G181" s="306">
        <v>5.05</v>
      </c>
      <c r="H181" s="306">
        <f t="shared" si="133"/>
        <v>76.31</v>
      </c>
      <c r="I181" s="358"/>
      <c r="J181" s="359"/>
      <c r="K181" s="360" t="s">
        <v>656</v>
      </c>
      <c r="L181" s="364"/>
    </row>
    <row r="182" ht="27.75" customHeight="1" spans="1:12">
      <c r="A182" s="334"/>
      <c r="B182" s="341" t="s">
        <v>738</v>
      </c>
      <c r="C182" s="344" t="s">
        <v>634</v>
      </c>
      <c r="D182" s="305">
        <v>11.2</v>
      </c>
      <c r="E182" s="303">
        <v>2.3352</v>
      </c>
      <c r="F182" s="305">
        <v>4</v>
      </c>
      <c r="G182" s="306">
        <v>13.5</v>
      </c>
      <c r="H182" s="306">
        <f t="shared" ref="H182:H183" si="137">ROUND(D182*100*F182*250*100/50/E182/G182/1000,2)</f>
        <v>71.05</v>
      </c>
      <c r="I182" s="353">
        <f>ROUND((H182+H183)/2,1)</f>
        <v>71.1</v>
      </c>
      <c r="J182" s="354">
        <f>(H182-H183)*100/I182</f>
        <v>-0.225035161744018</v>
      </c>
      <c r="K182" s="361" t="s">
        <v>150</v>
      </c>
      <c r="L182" s="363">
        <f>H183-H182</f>
        <v>0.159999999999997</v>
      </c>
    </row>
    <row r="183" spans="1:12">
      <c r="A183" s="336"/>
      <c r="B183" s="343"/>
      <c r="C183" s="362"/>
      <c r="D183" s="305">
        <v>11.2</v>
      </c>
      <c r="E183" s="303">
        <v>2.568</v>
      </c>
      <c r="F183" s="305">
        <v>4</v>
      </c>
      <c r="G183" s="306">
        <v>12.25</v>
      </c>
      <c r="H183" s="306">
        <f t="shared" si="137"/>
        <v>71.21</v>
      </c>
      <c r="I183" s="358"/>
      <c r="J183" s="359"/>
      <c r="K183" s="360" t="s">
        <v>656</v>
      </c>
      <c r="L183" s="364"/>
    </row>
    <row r="184" spans="1:12">
      <c r="A184" s="334"/>
      <c r="B184" s="341" t="s">
        <v>739</v>
      </c>
      <c r="C184" s="344" t="s">
        <v>740</v>
      </c>
      <c r="D184" s="305">
        <v>11.2</v>
      </c>
      <c r="E184" s="303">
        <v>2.5081</v>
      </c>
      <c r="F184" s="305">
        <v>2</v>
      </c>
      <c r="G184" s="306">
        <v>7.5</v>
      </c>
      <c r="H184" s="306">
        <f t="shared" ref="H184:H185" si="138">ROUND(D184*100*F184*250*100/50/E184/G184/1000,2)</f>
        <v>59.54</v>
      </c>
      <c r="I184" s="353">
        <f>ROUND((H184+H185)/2,1)</f>
        <v>59.6</v>
      </c>
      <c r="J184" s="354">
        <f>(H184-H185)*100/I184</f>
        <v>-0.218120805369132</v>
      </c>
      <c r="K184" s="361" t="s">
        <v>150</v>
      </c>
      <c r="L184" s="363">
        <f>H185-H184</f>
        <v>0.130000000000003</v>
      </c>
    </row>
    <row r="185" spans="1:12">
      <c r="A185" s="336"/>
      <c r="B185" s="343"/>
      <c r="C185" s="362"/>
      <c r="D185" s="305">
        <v>11.2</v>
      </c>
      <c r="E185" s="303">
        <v>2.6251</v>
      </c>
      <c r="F185" s="305">
        <v>2</v>
      </c>
      <c r="G185" s="306">
        <v>7.15</v>
      </c>
      <c r="H185" s="306">
        <f t="shared" si="138"/>
        <v>59.67</v>
      </c>
      <c r="I185" s="358"/>
      <c r="J185" s="359"/>
      <c r="K185" s="360" t="s">
        <v>656</v>
      </c>
      <c r="L185" s="364"/>
    </row>
    <row r="187" spans="1:12">
      <c r="A187" s="334"/>
      <c r="B187" s="341" t="s">
        <v>741</v>
      </c>
      <c r="C187" s="344" t="s">
        <v>742</v>
      </c>
      <c r="D187" s="365">
        <v>10.8</v>
      </c>
      <c r="E187" s="303">
        <v>2.2957</v>
      </c>
      <c r="F187" s="305">
        <v>2.5</v>
      </c>
      <c r="G187" s="306">
        <v>7.75</v>
      </c>
      <c r="H187" s="306">
        <f t="shared" ref="H187:H192" si="139">ROUND(D187*100*F187*250*100/50/E187/G187/1000,2)</f>
        <v>75.88</v>
      </c>
      <c r="I187" s="353">
        <f>ROUND((H187+H188)/2,1)</f>
        <v>75.9</v>
      </c>
      <c r="J187" s="354">
        <f>(H187-H188)*100/I187</f>
        <v>0</v>
      </c>
      <c r="K187" s="361" t="s">
        <v>150</v>
      </c>
      <c r="L187" s="363">
        <f>H188-H187</f>
        <v>0</v>
      </c>
    </row>
    <row r="188" spans="1:12">
      <c r="A188" s="336"/>
      <c r="B188" s="343"/>
      <c r="C188" s="362"/>
      <c r="D188" s="365">
        <v>10.8</v>
      </c>
      <c r="E188" s="303">
        <v>2.2957</v>
      </c>
      <c r="F188" s="305">
        <v>2.5</v>
      </c>
      <c r="G188" s="306">
        <v>7.75</v>
      </c>
      <c r="H188" s="306">
        <f t="shared" si="139"/>
        <v>75.88</v>
      </c>
      <c r="I188" s="358"/>
      <c r="J188" s="359"/>
      <c r="K188" s="360" t="s">
        <v>656</v>
      </c>
      <c r="L188" s="364"/>
    </row>
    <row r="189" spans="1:12">
      <c r="A189" s="334"/>
      <c r="B189" s="341" t="s">
        <v>743</v>
      </c>
      <c r="C189" s="344" t="s">
        <v>744</v>
      </c>
      <c r="D189" s="365">
        <v>10.8</v>
      </c>
      <c r="E189" s="303">
        <v>2.0156</v>
      </c>
      <c r="F189" s="305">
        <v>2.5</v>
      </c>
      <c r="G189" s="306">
        <v>9.9</v>
      </c>
      <c r="H189" s="306">
        <f t="shared" si="139"/>
        <v>67.65</v>
      </c>
      <c r="I189" s="353">
        <f>ROUND((H189+H190)/2,1)</f>
        <v>68</v>
      </c>
      <c r="J189" s="354">
        <f>(H189-H190)*100/I189</f>
        <v>-1.01470588235294</v>
      </c>
      <c r="K189" s="361" t="s">
        <v>150</v>
      </c>
      <c r="L189" s="363">
        <f>H190-H189</f>
        <v>0.689999999999998</v>
      </c>
    </row>
    <row r="190" spans="1:12">
      <c r="A190" s="336"/>
      <c r="B190" s="343"/>
      <c r="C190" s="362"/>
      <c r="D190" s="365">
        <v>10.8</v>
      </c>
      <c r="E190" s="303">
        <v>2.0156</v>
      </c>
      <c r="F190" s="305">
        <v>2.5</v>
      </c>
      <c r="G190" s="306">
        <v>9.8</v>
      </c>
      <c r="H190" s="306">
        <f t="shared" si="139"/>
        <v>68.34</v>
      </c>
      <c r="I190" s="358"/>
      <c r="J190" s="359"/>
      <c r="K190" s="360" t="s">
        <v>656</v>
      </c>
      <c r="L190" s="364"/>
    </row>
    <row r="191" spans="1:12">
      <c r="A191" s="334"/>
      <c r="B191" s="341" t="s">
        <v>745</v>
      </c>
      <c r="C191" s="344" t="s">
        <v>746</v>
      </c>
      <c r="D191" s="365">
        <v>10.8</v>
      </c>
      <c r="E191" s="303">
        <v>2.7041</v>
      </c>
      <c r="F191" s="305">
        <v>2.5</v>
      </c>
      <c r="G191" s="306">
        <v>7</v>
      </c>
      <c r="H191" s="306">
        <f t="shared" si="139"/>
        <v>71.32</v>
      </c>
      <c r="I191" s="353">
        <f>ROUND((H191+H192)/2,1)</f>
        <v>71.3</v>
      </c>
      <c r="J191" s="354">
        <f>(H191-H192)*100/I191</f>
        <v>0</v>
      </c>
      <c r="K191" s="361" t="s">
        <v>150</v>
      </c>
      <c r="L191" s="363">
        <f>H192-H191</f>
        <v>0</v>
      </c>
    </row>
    <row r="192" spans="1:12">
      <c r="A192" s="336"/>
      <c r="B192" s="343"/>
      <c r="C192" s="362"/>
      <c r="D192" s="365">
        <v>10.8</v>
      </c>
      <c r="E192" s="303">
        <v>2.7041</v>
      </c>
      <c r="F192" s="305">
        <v>2.5</v>
      </c>
      <c r="G192" s="306">
        <v>7</v>
      </c>
      <c r="H192" s="306">
        <f t="shared" si="139"/>
        <v>71.32</v>
      </c>
      <c r="I192" s="358"/>
      <c r="J192" s="359"/>
      <c r="K192" s="360" t="s">
        <v>656</v>
      </c>
      <c r="L192" s="364"/>
    </row>
    <row r="193" spans="1:12">
      <c r="A193" s="334"/>
      <c r="B193" s="341" t="s">
        <v>741</v>
      </c>
      <c r="C193" s="344" t="s">
        <v>742</v>
      </c>
      <c r="D193" s="305">
        <v>11.2</v>
      </c>
      <c r="E193" s="303">
        <v>2.2957</v>
      </c>
      <c r="F193" s="305">
        <v>2.5</v>
      </c>
      <c r="G193" s="306">
        <v>8.05</v>
      </c>
      <c r="H193" s="306">
        <f t="shared" ref="H193:H198" si="140">ROUND(D193*100*F193*250*100/50/E193/G193/1000,2)</f>
        <v>75.76</v>
      </c>
      <c r="I193" s="353">
        <f>ROUND((H193+H194)/2,1)</f>
        <v>75.8</v>
      </c>
      <c r="J193" s="354">
        <f>(H193-H194)*100/I193</f>
        <v>-0.158311345646425</v>
      </c>
      <c r="K193" s="361" t="s">
        <v>150</v>
      </c>
      <c r="L193" s="363">
        <f>H194-H193</f>
        <v>0.11999999999999</v>
      </c>
    </row>
    <row r="194" spans="1:12">
      <c r="A194" s="336"/>
      <c r="B194" s="343"/>
      <c r="C194" s="362"/>
      <c r="D194" s="305">
        <v>11.2</v>
      </c>
      <c r="E194" s="303">
        <v>2.3655</v>
      </c>
      <c r="F194" s="305">
        <v>2.5</v>
      </c>
      <c r="G194" s="306">
        <v>7.8</v>
      </c>
      <c r="H194" s="306">
        <f t="shared" si="140"/>
        <v>75.88</v>
      </c>
      <c r="I194" s="358"/>
      <c r="J194" s="359"/>
      <c r="K194" s="360" t="s">
        <v>656</v>
      </c>
      <c r="L194" s="364"/>
    </row>
    <row r="195" spans="1:12">
      <c r="A195" s="334"/>
      <c r="B195" s="341" t="s">
        <v>743</v>
      </c>
      <c r="C195" s="344" t="s">
        <v>744</v>
      </c>
      <c r="D195" s="305">
        <v>11.2</v>
      </c>
      <c r="E195" s="303">
        <v>2.0156</v>
      </c>
      <c r="F195" s="305">
        <v>2.5</v>
      </c>
      <c r="G195" s="306">
        <v>9.9</v>
      </c>
      <c r="H195" s="306">
        <f t="shared" si="140"/>
        <v>70.16</v>
      </c>
      <c r="I195" s="353">
        <f>ROUND((H195+H196)/2,1)</f>
        <v>70.5</v>
      </c>
      <c r="J195" s="354">
        <f>(H195-H196)*100/I195</f>
        <v>-0.936170212765953</v>
      </c>
      <c r="K195" s="361" t="s">
        <v>150</v>
      </c>
      <c r="L195" s="363">
        <f>H196-H195</f>
        <v>0.659999999999997</v>
      </c>
    </row>
    <row r="196" spans="1:12">
      <c r="A196" s="336"/>
      <c r="B196" s="343"/>
      <c r="C196" s="362"/>
      <c r="D196" s="305">
        <v>11.2</v>
      </c>
      <c r="E196" s="303">
        <v>2.6895</v>
      </c>
      <c r="F196" s="305">
        <v>2.5</v>
      </c>
      <c r="G196" s="306">
        <v>7.35</v>
      </c>
      <c r="H196" s="306">
        <f t="shared" si="140"/>
        <v>70.82</v>
      </c>
      <c r="I196" s="358"/>
      <c r="J196" s="359"/>
      <c r="K196" s="360" t="s">
        <v>656</v>
      </c>
      <c r="L196" s="364"/>
    </row>
    <row r="197" spans="1:12">
      <c r="A197" s="334"/>
      <c r="B197" s="341" t="s">
        <v>745</v>
      </c>
      <c r="C197" s="344" t="s">
        <v>746</v>
      </c>
      <c r="D197" s="305">
        <v>11.2</v>
      </c>
      <c r="E197" s="303">
        <v>2.7041</v>
      </c>
      <c r="F197" s="305">
        <v>2.5</v>
      </c>
      <c r="G197" s="306">
        <v>7.25</v>
      </c>
      <c r="H197" s="306">
        <f t="shared" si="140"/>
        <v>71.41</v>
      </c>
      <c r="I197" s="353">
        <f>ROUND((H197+H198)/2,1)</f>
        <v>71.4</v>
      </c>
      <c r="J197" s="354">
        <f>(H197-H198)*100/I197</f>
        <v>0.126050420168072</v>
      </c>
      <c r="K197" s="361" t="s">
        <v>150</v>
      </c>
      <c r="L197" s="363">
        <f>H198-H197</f>
        <v>-0.0900000000000034</v>
      </c>
    </row>
    <row r="198" spans="1:12">
      <c r="A198" s="336"/>
      <c r="B198" s="343"/>
      <c r="C198" s="362"/>
      <c r="D198" s="305">
        <v>11.2</v>
      </c>
      <c r="E198" s="303">
        <v>2.3651</v>
      </c>
      <c r="F198" s="305">
        <v>2.5</v>
      </c>
      <c r="G198" s="306">
        <v>8.3</v>
      </c>
      <c r="H198" s="306">
        <f t="shared" si="140"/>
        <v>71.32</v>
      </c>
      <c r="I198" s="358"/>
      <c r="J198" s="359"/>
      <c r="K198" s="360" t="s">
        <v>656</v>
      </c>
      <c r="L198" s="364"/>
    </row>
    <row r="199" spans="1:12">
      <c r="A199" s="334"/>
      <c r="B199" s="341" t="s">
        <v>747</v>
      </c>
      <c r="C199" s="344" t="s">
        <v>748</v>
      </c>
      <c r="D199" s="305">
        <v>11.2</v>
      </c>
      <c r="E199" s="303">
        <v>3.0725</v>
      </c>
      <c r="F199" s="305">
        <v>1</v>
      </c>
      <c r="G199" s="306">
        <v>6.6</v>
      </c>
      <c r="H199" s="306">
        <f t="shared" ref="H199:H200" si="141">ROUND(D199*100*F199*250*100/50/E199/G199/1000,2)</f>
        <v>27.62</v>
      </c>
      <c r="I199" s="353">
        <f>ROUND((H199+H200)/2,1)</f>
        <v>27.7</v>
      </c>
      <c r="J199" s="354">
        <f>(H199-H200)*100/I199</f>
        <v>-0.61371841155234</v>
      </c>
      <c r="K199" s="361" t="s">
        <v>150</v>
      </c>
      <c r="L199" s="363">
        <f>H200-H199</f>
        <v>0.169999999999998</v>
      </c>
    </row>
    <row r="200" spans="1:12">
      <c r="A200" s="336"/>
      <c r="B200" s="343"/>
      <c r="C200" s="362"/>
      <c r="D200" s="305">
        <v>11.2</v>
      </c>
      <c r="E200" s="303">
        <v>2.8588</v>
      </c>
      <c r="F200" s="305">
        <v>1</v>
      </c>
      <c r="G200" s="306">
        <v>7.05</v>
      </c>
      <c r="H200" s="306">
        <f t="shared" si="141"/>
        <v>27.79</v>
      </c>
      <c r="I200" s="358"/>
      <c r="J200" s="359"/>
      <c r="K200" s="360" t="s">
        <v>656</v>
      </c>
      <c r="L200" s="364"/>
    </row>
    <row r="202" spans="1:12">
      <c r="A202" s="334"/>
      <c r="B202" s="341" t="s">
        <v>165</v>
      </c>
      <c r="C202" s="344" t="s">
        <v>166</v>
      </c>
      <c r="D202" s="305">
        <v>10.8</v>
      </c>
      <c r="E202" s="303">
        <v>10</v>
      </c>
      <c r="F202" s="305">
        <v>10</v>
      </c>
      <c r="G202" s="306">
        <v>13.4</v>
      </c>
      <c r="H202" s="306">
        <f t="shared" ref="H202:H219" si="142">ROUND(D202*100*F202*250*100/50/E202/G202/1000,2)</f>
        <v>40.3</v>
      </c>
      <c r="I202" s="353">
        <f>ROUND((H202+H203)/2,1)</f>
        <v>39.8</v>
      </c>
      <c r="J202" s="354">
        <f>(H202-H203)*100/I202</f>
        <v>2.58793969849245</v>
      </c>
      <c r="K202" s="361" t="s">
        <v>150</v>
      </c>
      <c r="L202" s="363">
        <f>H203-H202</f>
        <v>-1.02999999999999</v>
      </c>
    </row>
    <row r="203" spans="1:12">
      <c r="A203" s="336"/>
      <c r="B203" s="343"/>
      <c r="C203" s="362"/>
      <c r="D203" s="305">
        <v>10.8</v>
      </c>
      <c r="E203" s="303">
        <v>10</v>
      </c>
      <c r="F203" s="305">
        <v>10</v>
      </c>
      <c r="G203" s="306">
        <v>13.75</v>
      </c>
      <c r="H203" s="306">
        <f t="shared" si="142"/>
        <v>39.27</v>
      </c>
      <c r="I203" s="358"/>
      <c r="J203" s="359"/>
      <c r="K203" s="360" t="s">
        <v>656</v>
      </c>
      <c r="L203" s="364"/>
    </row>
    <row r="204" customHeight="1" spans="1:12">
      <c r="A204" s="334"/>
      <c r="B204" s="341" t="s">
        <v>168</v>
      </c>
      <c r="C204" s="344" t="s">
        <v>166</v>
      </c>
      <c r="D204" s="305">
        <v>10.8</v>
      </c>
      <c r="E204" s="303">
        <v>10</v>
      </c>
      <c r="F204" s="305">
        <v>10</v>
      </c>
      <c r="G204" s="306">
        <v>12.8</v>
      </c>
      <c r="H204" s="306">
        <f t="shared" si="142"/>
        <v>42.19</v>
      </c>
      <c r="I204" s="353">
        <f>ROUND((H204+H205)/2,1)</f>
        <v>42.5</v>
      </c>
      <c r="J204" s="354">
        <f>(H204-H205)*100/I204</f>
        <v>-1.5764705882353</v>
      </c>
      <c r="K204" s="361" t="s">
        <v>150</v>
      </c>
      <c r="L204" s="363">
        <f>H205-H204</f>
        <v>0.670000000000002</v>
      </c>
    </row>
    <row r="205" spans="1:12">
      <c r="A205" s="336"/>
      <c r="B205" s="343"/>
      <c r="C205" s="362"/>
      <c r="D205" s="305">
        <v>10.8</v>
      </c>
      <c r="E205" s="303">
        <v>10</v>
      </c>
      <c r="F205" s="305">
        <v>10</v>
      </c>
      <c r="G205" s="306">
        <v>12.6</v>
      </c>
      <c r="H205" s="306">
        <f t="shared" si="142"/>
        <v>42.86</v>
      </c>
      <c r="I205" s="358"/>
      <c r="J205" s="359"/>
      <c r="K205" s="360" t="s">
        <v>656</v>
      </c>
      <c r="L205" s="364"/>
    </row>
    <row r="206" spans="1:12">
      <c r="A206" s="334"/>
      <c r="B206" s="341" t="s">
        <v>749</v>
      </c>
      <c r="C206" s="344" t="s">
        <v>641</v>
      </c>
      <c r="D206" s="305">
        <v>11.4</v>
      </c>
      <c r="E206" s="303">
        <v>2.6746</v>
      </c>
      <c r="F206" s="305">
        <v>2</v>
      </c>
      <c r="G206" s="306">
        <v>6</v>
      </c>
      <c r="H206" s="306">
        <f t="shared" si="142"/>
        <v>71.04</v>
      </c>
      <c r="I206" s="353">
        <f>ROUND((H206+H207)/2,1)</f>
        <v>71.4</v>
      </c>
      <c r="J206" s="354">
        <f>(H206-H207)*100/I206</f>
        <v>-1.1064425770308</v>
      </c>
      <c r="K206" s="361" t="s">
        <v>150</v>
      </c>
      <c r="L206" s="363">
        <f>H207-H206</f>
        <v>0.789999999999992</v>
      </c>
    </row>
    <row r="207" spans="1:12">
      <c r="A207" s="336"/>
      <c r="B207" s="343"/>
      <c r="C207" s="362"/>
      <c r="D207" s="305">
        <v>11.4</v>
      </c>
      <c r="E207" s="303">
        <v>2.8595</v>
      </c>
      <c r="F207" s="305">
        <v>2</v>
      </c>
      <c r="G207" s="306">
        <v>5.55</v>
      </c>
      <c r="H207" s="306">
        <f t="shared" si="142"/>
        <v>71.83</v>
      </c>
      <c r="I207" s="358"/>
      <c r="J207" s="359"/>
      <c r="K207" s="360" t="s">
        <v>656</v>
      </c>
      <c r="L207" s="364"/>
    </row>
    <row r="208" spans="1:12">
      <c r="A208" s="334"/>
      <c r="B208" s="341" t="s">
        <v>750</v>
      </c>
      <c r="C208" s="344" t="s">
        <v>751</v>
      </c>
      <c r="D208" s="305">
        <v>11.4</v>
      </c>
      <c r="E208" s="303">
        <v>1.353</v>
      </c>
      <c r="F208" s="305">
        <v>2</v>
      </c>
      <c r="G208" s="306">
        <v>11.4</v>
      </c>
      <c r="H208" s="306">
        <f t="shared" si="142"/>
        <v>73.91</v>
      </c>
      <c r="I208" s="353">
        <f>ROUND((H208+H209)/2,1)</f>
        <v>73.9</v>
      </c>
      <c r="J208" s="354">
        <f>(H208-H209)*100/I208</f>
        <v>0.0541271989174452</v>
      </c>
      <c r="K208" s="361" t="s">
        <v>150</v>
      </c>
      <c r="L208" s="363">
        <f>H209-H208</f>
        <v>-0.039999999999992</v>
      </c>
    </row>
    <row r="209" spans="1:12">
      <c r="A209" s="336"/>
      <c r="B209" s="343"/>
      <c r="C209" s="362"/>
      <c r="D209" s="305">
        <v>11.4</v>
      </c>
      <c r="E209" s="303">
        <v>1.3658</v>
      </c>
      <c r="F209" s="305">
        <v>2</v>
      </c>
      <c r="G209" s="306">
        <v>11.3</v>
      </c>
      <c r="H209" s="306">
        <f t="shared" si="142"/>
        <v>73.87</v>
      </c>
      <c r="I209" s="358"/>
      <c r="J209" s="359"/>
      <c r="K209" s="360" t="s">
        <v>656</v>
      </c>
      <c r="L209" s="364"/>
    </row>
    <row r="210" spans="1:12">
      <c r="A210" s="334"/>
      <c r="B210" s="341" t="s">
        <v>752</v>
      </c>
      <c r="C210" s="344" t="s">
        <v>753</v>
      </c>
      <c r="D210" s="305">
        <v>11.4</v>
      </c>
      <c r="E210" s="303">
        <v>2.2488</v>
      </c>
      <c r="F210" s="305">
        <v>2</v>
      </c>
      <c r="G210" s="306">
        <v>7.2</v>
      </c>
      <c r="H210" s="306">
        <f t="shared" si="142"/>
        <v>70.41</v>
      </c>
      <c r="I210" s="353">
        <f>ROUND((H210+H211)/2,1)</f>
        <v>70.1</v>
      </c>
      <c r="J210" s="354">
        <f>(H210-H211)*100/I210</f>
        <v>0.955777460770331</v>
      </c>
      <c r="K210" s="361" t="s">
        <v>150</v>
      </c>
      <c r="L210" s="363">
        <f>H211-H210</f>
        <v>-0.670000000000002</v>
      </c>
    </row>
    <row r="211" spans="1:12">
      <c r="A211" s="336"/>
      <c r="B211" s="343"/>
      <c r="C211" s="362"/>
      <c r="D211" s="305">
        <v>11.4</v>
      </c>
      <c r="E211" s="303">
        <v>2.3689</v>
      </c>
      <c r="F211" s="305">
        <v>2</v>
      </c>
      <c r="G211" s="306">
        <v>6.9</v>
      </c>
      <c r="H211" s="306">
        <f t="shared" si="142"/>
        <v>69.74</v>
      </c>
      <c r="I211" s="358"/>
      <c r="J211" s="359"/>
      <c r="K211" s="360" t="s">
        <v>656</v>
      </c>
      <c r="L211" s="364"/>
    </row>
    <row r="212" spans="1:12">
      <c r="A212" s="334"/>
      <c r="B212" s="341" t="s">
        <v>754</v>
      </c>
      <c r="C212" s="344" t="s">
        <v>755</v>
      </c>
      <c r="D212" s="305">
        <v>11.4</v>
      </c>
      <c r="E212" s="303">
        <v>1.3199</v>
      </c>
      <c r="F212" s="305">
        <v>1</v>
      </c>
      <c r="G212" s="306">
        <v>5.8</v>
      </c>
      <c r="H212" s="306">
        <f t="shared" si="142"/>
        <v>74.46</v>
      </c>
      <c r="I212" s="353">
        <f>ROUND((H212+H213)/2,1)</f>
        <v>74.9</v>
      </c>
      <c r="J212" s="354">
        <f>(H212-H213)*100/I212</f>
        <v>-1.20160213618158</v>
      </c>
      <c r="K212" s="361" t="s">
        <v>150</v>
      </c>
      <c r="L212" s="363">
        <f>H213-H212</f>
        <v>0.900000000000006</v>
      </c>
    </row>
    <row r="213" spans="1:12">
      <c r="A213" s="336"/>
      <c r="B213" s="343"/>
      <c r="C213" s="362"/>
      <c r="D213" s="305">
        <v>11.4</v>
      </c>
      <c r="E213" s="303">
        <v>1.2819</v>
      </c>
      <c r="F213" s="305">
        <v>1</v>
      </c>
      <c r="G213" s="306">
        <v>5.9</v>
      </c>
      <c r="H213" s="306">
        <f t="shared" si="142"/>
        <v>75.36</v>
      </c>
      <c r="I213" s="358"/>
      <c r="J213" s="359"/>
      <c r="K213" s="360" t="s">
        <v>656</v>
      </c>
      <c r="L213" s="364"/>
    </row>
    <row r="214" spans="1:12">
      <c r="A214" s="334"/>
      <c r="B214" s="341" t="s">
        <v>756</v>
      </c>
      <c r="C214" s="344" t="s">
        <v>757</v>
      </c>
      <c r="D214" s="305">
        <v>11.4</v>
      </c>
      <c r="E214" s="303">
        <v>1.5952</v>
      </c>
      <c r="F214" s="305">
        <v>1</v>
      </c>
      <c r="G214" s="306">
        <v>5.4</v>
      </c>
      <c r="H214" s="306">
        <f t="shared" si="142"/>
        <v>66.17</v>
      </c>
      <c r="I214" s="353">
        <f>ROUND((H214+H215)/2,1)</f>
        <v>66.7</v>
      </c>
      <c r="J214" s="354">
        <f>(H214-H215)*100/I214</f>
        <v>-1.63418290854573</v>
      </c>
      <c r="K214" s="361" t="s">
        <v>150</v>
      </c>
      <c r="L214" s="363">
        <f>H215-H214</f>
        <v>1.09</v>
      </c>
    </row>
    <row r="215" spans="1:12">
      <c r="A215" s="336"/>
      <c r="B215" s="343"/>
      <c r="C215" s="362"/>
      <c r="D215" s="305">
        <v>11.4</v>
      </c>
      <c r="E215" s="303">
        <v>1.4611</v>
      </c>
      <c r="F215" s="305">
        <v>1</v>
      </c>
      <c r="G215" s="306">
        <v>5.8</v>
      </c>
      <c r="H215" s="306">
        <f t="shared" si="142"/>
        <v>67.26</v>
      </c>
      <c r="I215" s="358"/>
      <c r="J215" s="359"/>
      <c r="K215" s="360" t="s">
        <v>656</v>
      </c>
      <c r="L215" s="364"/>
    </row>
    <row r="216" spans="1:12">
      <c r="A216" s="334"/>
      <c r="B216" s="341" t="s">
        <v>758</v>
      </c>
      <c r="C216" s="344" t="s">
        <v>759</v>
      </c>
      <c r="D216" s="305">
        <v>11.4</v>
      </c>
      <c r="E216" s="303">
        <v>1.6303</v>
      </c>
      <c r="F216" s="305">
        <v>1</v>
      </c>
      <c r="G216" s="306">
        <v>5.05</v>
      </c>
      <c r="H216" s="306">
        <f t="shared" si="142"/>
        <v>69.23</v>
      </c>
      <c r="I216" s="353">
        <f>ROUND((H216+H217)/2,1)</f>
        <v>69.3</v>
      </c>
      <c r="J216" s="354">
        <f>(H216-H217)*100/I216</f>
        <v>-0.245310245310248</v>
      </c>
      <c r="K216" s="361" t="s">
        <v>150</v>
      </c>
      <c r="L216" s="363">
        <f>H217-H216</f>
        <v>0.170000000000002</v>
      </c>
    </row>
    <row r="217" spans="1:12">
      <c r="A217" s="336"/>
      <c r="B217" s="343"/>
      <c r="C217" s="362"/>
      <c r="D217" s="305">
        <v>11.4</v>
      </c>
      <c r="E217" s="303">
        <v>1.521</v>
      </c>
      <c r="F217" s="305">
        <v>1</v>
      </c>
      <c r="G217" s="306">
        <v>5.4</v>
      </c>
      <c r="H217" s="306">
        <f t="shared" si="142"/>
        <v>69.4</v>
      </c>
      <c r="I217" s="358"/>
      <c r="J217" s="359"/>
      <c r="K217" s="360" t="s">
        <v>656</v>
      </c>
      <c r="L217" s="364"/>
    </row>
    <row r="218" spans="1:12">
      <c r="A218" s="334"/>
      <c r="B218" s="341" t="s">
        <v>724</v>
      </c>
      <c r="C218" s="344" t="s">
        <v>725</v>
      </c>
      <c r="D218" s="305">
        <v>11.2</v>
      </c>
      <c r="E218" s="303">
        <v>2.8813</v>
      </c>
      <c r="F218" s="305">
        <v>4</v>
      </c>
      <c r="G218" s="306">
        <v>9.2</v>
      </c>
      <c r="H218" s="306">
        <f t="shared" si="142"/>
        <v>84.5</v>
      </c>
      <c r="I218" s="353">
        <f t="shared" ref="I218" si="143">ROUND((H218+H219)/2,1)</f>
        <v>84.8</v>
      </c>
      <c r="J218" s="354">
        <f t="shared" ref="J218" si="144">(H218-H219)*100/I218</f>
        <v>-0.589622641509434</v>
      </c>
      <c r="K218" s="361" t="s">
        <v>150</v>
      </c>
      <c r="L218" s="363">
        <f t="shared" ref="L218" si="145">H219-H218</f>
        <v>0.5</v>
      </c>
    </row>
    <row r="219" spans="1:12">
      <c r="A219" s="336"/>
      <c r="B219" s="343"/>
      <c r="C219" s="362"/>
      <c r="D219" s="305">
        <v>11.2</v>
      </c>
      <c r="E219" s="303">
        <v>2.7029</v>
      </c>
      <c r="F219" s="305">
        <v>4</v>
      </c>
      <c r="G219" s="306">
        <v>9.75</v>
      </c>
      <c r="H219" s="306">
        <f t="shared" si="142"/>
        <v>85</v>
      </c>
      <c r="I219" s="358"/>
      <c r="J219" s="359"/>
      <c r="K219" s="360" t="s">
        <v>656</v>
      </c>
      <c r="L219" s="364"/>
    </row>
    <row r="220" spans="1:12">
      <c r="A220" s="334"/>
      <c r="B220" s="341" t="s">
        <v>760</v>
      </c>
      <c r="C220" s="344" t="s">
        <v>761</v>
      </c>
      <c r="D220" s="305">
        <v>11.4</v>
      </c>
      <c r="E220" s="303">
        <v>2.4912</v>
      </c>
      <c r="F220" s="305">
        <v>4</v>
      </c>
      <c r="G220" s="306">
        <v>12.25</v>
      </c>
      <c r="H220" s="306">
        <f t="shared" ref="H220:H221" si="146">ROUND(D220*100*F220*250*100/50/E220/G220/1000,2)</f>
        <v>74.71</v>
      </c>
      <c r="I220" s="353">
        <f t="shared" ref="I220" si="147">ROUND((H220+H221)/2,1)</f>
        <v>73.9</v>
      </c>
      <c r="J220" s="354">
        <f t="shared" ref="J220" si="148">(H220-H221)*100/I220</f>
        <v>2.12449255751014</v>
      </c>
      <c r="K220" s="361" t="s">
        <v>150</v>
      </c>
      <c r="L220" s="363">
        <f t="shared" ref="L220" si="149">H221-H220</f>
        <v>-1.56999999999999</v>
      </c>
    </row>
    <row r="221" spans="1:12">
      <c r="A221" s="336"/>
      <c r="B221" s="343"/>
      <c r="C221" s="362"/>
      <c r="D221" s="305">
        <v>11.4</v>
      </c>
      <c r="E221" s="303">
        <v>2.8599</v>
      </c>
      <c r="F221" s="305">
        <v>4</v>
      </c>
      <c r="G221" s="306">
        <v>10.9</v>
      </c>
      <c r="H221" s="306">
        <f t="shared" si="146"/>
        <v>73.14</v>
      </c>
      <c r="I221" s="358"/>
      <c r="J221" s="359"/>
      <c r="K221" s="360" t="s">
        <v>656</v>
      </c>
      <c r="L221" s="364"/>
    </row>
    <row r="222" spans="1:12">
      <c r="A222" s="334"/>
      <c r="B222" s="341" t="s">
        <v>762</v>
      </c>
      <c r="C222" s="344" t="s">
        <v>763</v>
      </c>
      <c r="D222" s="305">
        <v>11.4</v>
      </c>
      <c r="E222" s="303">
        <v>2.7538</v>
      </c>
      <c r="F222" s="305">
        <v>1</v>
      </c>
      <c r="G222" s="306">
        <v>10.4</v>
      </c>
      <c r="H222" s="306">
        <f t="shared" ref="H222:H223" si="150">ROUND(D222*100*F222*250*100/50/E222/G222/1000,2)</f>
        <v>19.9</v>
      </c>
      <c r="I222" s="353">
        <f t="shared" ref="I222" si="151">ROUND((H222+H223)/2,1)</f>
        <v>20</v>
      </c>
      <c r="J222" s="354">
        <f t="shared" ref="J222" si="152">(H222-H223)*100/I222</f>
        <v>-0.600000000000005</v>
      </c>
      <c r="K222" s="361" t="s">
        <v>150</v>
      </c>
      <c r="L222" s="363">
        <f t="shared" ref="L222" si="153">H223-H222</f>
        <v>0.120000000000001</v>
      </c>
    </row>
    <row r="223" spans="1:12">
      <c r="A223" s="336"/>
      <c r="B223" s="343"/>
      <c r="C223" s="362"/>
      <c r="D223" s="305">
        <v>11.4</v>
      </c>
      <c r="E223" s="303">
        <v>2.8329</v>
      </c>
      <c r="F223" s="305">
        <v>1</v>
      </c>
      <c r="G223" s="306">
        <v>10.05</v>
      </c>
      <c r="H223" s="306">
        <f t="shared" si="150"/>
        <v>20.02</v>
      </c>
      <c r="I223" s="358"/>
      <c r="J223" s="359"/>
      <c r="K223" s="360" t="s">
        <v>656</v>
      </c>
      <c r="L223" s="364"/>
    </row>
    <row r="224" ht="20.25" customHeight="1" spans="1:12">
      <c r="A224" s="334"/>
      <c r="B224" s="341" t="s">
        <v>764</v>
      </c>
      <c r="C224" s="344" t="s">
        <v>765</v>
      </c>
      <c r="D224" s="305">
        <v>11.4</v>
      </c>
      <c r="E224" s="303">
        <v>3.6563</v>
      </c>
      <c r="F224" s="305">
        <v>1</v>
      </c>
      <c r="G224" s="306">
        <v>11.4</v>
      </c>
      <c r="H224" s="306">
        <f t="shared" ref="H224:H225" si="154">ROUND(D224*100*F224*250*100/50/E224/G224/1000,2)</f>
        <v>13.68</v>
      </c>
      <c r="I224" s="353">
        <f t="shared" ref="I224" si="155">ROUND((H224+H225)/2,1)</f>
        <v>13.8</v>
      </c>
      <c r="J224" s="354">
        <f t="shared" ref="J224" si="156">(H224-H225)*100/I224</f>
        <v>-1.30434782608695</v>
      </c>
      <c r="K224" s="361" t="s">
        <v>150</v>
      </c>
      <c r="L224" s="363">
        <f t="shared" ref="L224" si="157">H225-H224</f>
        <v>0.18</v>
      </c>
    </row>
    <row r="225" spans="1:12">
      <c r="A225" s="336"/>
      <c r="B225" s="343"/>
      <c r="C225" s="362"/>
      <c r="D225" s="305">
        <v>11.4</v>
      </c>
      <c r="E225" s="303">
        <v>3.4265</v>
      </c>
      <c r="F225" s="305">
        <v>1</v>
      </c>
      <c r="G225" s="306">
        <v>12</v>
      </c>
      <c r="H225" s="306">
        <f t="shared" si="154"/>
        <v>13.86</v>
      </c>
      <c r="I225" s="358"/>
      <c r="J225" s="359"/>
      <c r="K225" s="360" t="s">
        <v>656</v>
      </c>
      <c r="L225" s="364"/>
    </row>
    <row r="226" ht="20.25" customHeight="1" spans="1:12">
      <c r="A226" s="334"/>
      <c r="B226" s="341" t="s">
        <v>766</v>
      </c>
      <c r="C226" s="344" t="s">
        <v>765</v>
      </c>
      <c r="D226" s="305">
        <v>11.4</v>
      </c>
      <c r="E226" s="303">
        <v>2.7606</v>
      </c>
      <c r="F226" s="305">
        <v>1</v>
      </c>
      <c r="G226" s="306">
        <v>15.6</v>
      </c>
      <c r="H226" s="306">
        <f t="shared" ref="H226:H227" si="158">ROUND(D226*100*F226*250*100/50/E226/G226/1000,2)</f>
        <v>13.24</v>
      </c>
      <c r="I226" s="353">
        <f t="shared" ref="I226" si="159">ROUND((H226+H227)/2,1)</f>
        <v>13.2</v>
      </c>
      <c r="J226" s="354">
        <f t="shared" ref="J226" si="160">(H226-H227)*100/I226</f>
        <v>0.833333333333329</v>
      </c>
      <c r="K226" s="361" t="s">
        <v>150</v>
      </c>
      <c r="L226" s="363">
        <f t="shared" ref="L226" si="161">H227-H226</f>
        <v>-0.109999999999999</v>
      </c>
    </row>
    <row r="227" spans="1:12">
      <c r="A227" s="336"/>
      <c r="B227" s="343"/>
      <c r="C227" s="362"/>
      <c r="D227" s="305">
        <v>11.4</v>
      </c>
      <c r="E227" s="303">
        <v>2.5848</v>
      </c>
      <c r="F227" s="305">
        <v>1</v>
      </c>
      <c r="G227" s="306">
        <v>16.8</v>
      </c>
      <c r="H227" s="306">
        <f t="shared" si="158"/>
        <v>13.13</v>
      </c>
      <c r="I227" s="358"/>
      <c r="J227" s="359"/>
      <c r="K227" s="360" t="s">
        <v>656</v>
      </c>
      <c r="L227" s="364"/>
    </row>
    <row r="228" spans="1:12">
      <c r="A228" s="334"/>
      <c r="B228" s="341" t="s">
        <v>767</v>
      </c>
      <c r="C228" s="344" t="s">
        <v>768</v>
      </c>
      <c r="D228" s="305">
        <v>11.4</v>
      </c>
      <c r="E228" s="303">
        <v>3.5265</v>
      </c>
      <c r="F228" s="305">
        <v>1</v>
      </c>
      <c r="G228" s="306">
        <v>10.5</v>
      </c>
      <c r="H228" s="306">
        <f t="shared" ref="H228:H231" si="162">ROUND(D228*100*F228*250*100/50/E228/G228/1000,2)</f>
        <v>15.39</v>
      </c>
      <c r="I228" s="353">
        <f t="shared" ref="I228" si="163">ROUND((H228+H229)/2,1)</f>
        <v>15.2</v>
      </c>
      <c r="J228" s="354">
        <f t="shared" ref="J228" si="164">(H228-H229)*100/I228</f>
        <v>2.23684210526316</v>
      </c>
      <c r="K228" s="361" t="s">
        <v>150</v>
      </c>
      <c r="L228" s="363">
        <f t="shared" ref="L228" si="165">H229-H228</f>
        <v>-0.34</v>
      </c>
    </row>
    <row r="229" spans="1:12">
      <c r="A229" s="336"/>
      <c r="B229" s="343"/>
      <c r="C229" s="362"/>
      <c r="D229" s="305">
        <v>11.4</v>
      </c>
      <c r="E229" s="303">
        <v>3.6584</v>
      </c>
      <c r="F229" s="305">
        <v>1</v>
      </c>
      <c r="G229" s="306">
        <v>10.35</v>
      </c>
      <c r="H229" s="306">
        <f t="shared" si="162"/>
        <v>15.05</v>
      </c>
      <c r="I229" s="358"/>
      <c r="J229" s="359"/>
      <c r="K229" s="360" t="s">
        <v>656</v>
      </c>
      <c r="L229" s="364"/>
    </row>
    <row r="230" spans="1:12">
      <c r="A230" s="334"/>
      <c r="B230" s="341" t="s">
        <v>769</v>
      </c>
      <c r="C230" s="344" t="s">
        <v>770</v>
      </c>
      <c r="D230" s="305">
        <v>11.4</v>
      </c>
      <c r="E230" s="303">
        <v>3.157</v>
      </c>
      <c r="F230" s="305">
        <v>1</v>
      </c>
      <c r="G230" s="306">
        <v>8</v>
      </c>
      <c r="H230" s="306">
        <f t="shared" si="162"/>
        <v>22.57</v>
      </c>
      <c r="I230" s="353">
        <f t="shared" ref="I230" si="166">ROUND((H230+H231)/2,1)</f>
        <v>22.4</v>
      </c>
      <c r="J230" s="354">
        <f t="shared" ref="J230" si="167">(H230-H231)*100/I230</f>
        <v>1.51785714285714</v>
      </c>
      <c r="K230" s="361" t="s">
        <v>150</v>
      </c>
      <c r="L230" s="363">
        <f t="shared" ref="L230" si="168">H231-H230</f>
        <v>-0.34</v>
      </c>
    </row>
    <row r="231" spans="1:12">
      <c r="A231" s="336"/>
      <c r="B231" s="343"/>
      <c r="C231" s="362"/>
      <c r="D231" s="305">
        <v>11.4</v>
      </c>
      <c r="E231" s="303">
        <v>3.1272</v>
      </c>
      <c r="F231" s="305">
        <v>1</v>
      </c>
      <c r="G231" s="306">
        <v>8.2</v>
      </c>
      <c r="H231" s="306">
        <f t="shared" si="162"/>
        <v>22.23</v>
      </c>
      <c r="I231" s="358"/>
      <c r="J231" s="359"/>
      <c r="K231" s="360" t="s">
        <v>656</v>
      </c>
      <c r="L231" s="364"/>
    </row>
    <row r="232" spans="1:12">
      <c r="A232" s="334"/>
      <c r="B232" s="341" t="s">
        <v>771</v>
      </c>
      <c r="C232" s="344" t="s">
        <v>770</v>
      </c>
      <c r="D232" s="305">
        <v>11.4</v>
      </c>
      <c r="E232" s="303">
        <v>2.9855</v>
      </c>
      <c r="F232" s="305">
        <v>1</v>
      </c>
      <c r="G232" s="306">
        <v>8.5</v>
      </c>
      <c r="H232" s="306">
        <f t="shared" ref="H232:H233" si="169">ROUND(D232*100*F232*250*100/50/E232/G232/1000,2)</f>
        <v>22.46</v>
      </c>
      <c r="I232" s="353">
        <f t="shared" ref="I232" si="170">ROUND((H232+H233)/2,1)</f>
        <v>22.5</v>
      </c>
      <c r="J232" s="354">
        <f t="shared" ref="J232" si="171">(H232-H233)*100/I232</f>
        <v>-0.488888888888886</v>
      </c>
      <c r="K232" s="361" t="s">
        <v>150</v>
      </c>
      <c r="L232" s="363">
        <f t="shared" ref="L232" si="172">H233-H232</f>
        <v>0.109999999999999</v>
      </c>
    </row>
    <row r="233" spans="1:12">
      <c r="A233" s="336"/>
      <c r="B233" s="343"/>
      <c r="C233" s="362"/>
      <c r="D233" s="305">
        <v>11.4</v>
      </c>
      <c r="E233" s="303">
        <v>3.0251</v>
      </c>
      <c r="F233" s="305">
        <v>1</v>
      </c>
      <c r="G233" s="306">
        <v>8.35</v>
      </c>
      <c r="H233" s="306">
        <f t="shared" si="169"/>
        <v>22.57</v>
      </c>
      <c r="I233" s="358"/>
      <c r="J233" s="359"/>
      <c r="K233" s="360" t="s">
        <v>656</v>
      </c>
      <c r="L233" s="364"/>
    </row>
    <row r="234" spans="1:12">
      <c r="A234" s="334"/>
      <c r="B234" s="341" t="s">
        <v>772</v>
      </c>
      <c r="C234" s="344" t="s">
        <v>719</v>
      </c>
      <c r="D234" s="305">
        <v>11.4</v>
      </c>
      <c r="E234" s="303">
        <v>3.3787</v>
      </c>
      <c r="F234" s="305">
        <v>4</v>
      </c>
      <c r="G234" s="306">
        <v>10.8</v>
      </c>
      <c r="H234" s="306">
        <f t="shared" ref="H234:H235" si="173">ROUND(D234*100*F234*250*100/50/E234/G234/1000,2)</f>
        <v>62.48</v>
      </c>
      <c r="I234" s="353">
        <f t="shared" ref="I234" si="174">ROUND((H234+H235)/2,1)</f>
        <v>61.4</v>
      </c>
      <c r="J234" s="354">
        <f t="shared" ref="J234" si="175">(H234-H235)*100/I234</f>
        <v>3.55048859934853</v>
      </c>
      <c r="K234" s="361" t="s">
        <v>150</v>
      </c>
      <c r="L234" s="363">
        <f t="shared" ref="L234" si="176">H235-H234</f>
        <v>-2.18</v>
      </c>
    </row>
    <row r="235" spans="1:12">
      <c r="A235" s="336"/>
      <c r="B235" s="343"/>
      <c r="C235" s="362"/>
      <c r="D235" s="305">
        <v>11.4</v>
      </c>
      <c r="E235" s="303">
        <v>3.0251</v>
      </c>
      <c r="F235" s="305">
        <v>4</v>
      </c>
      <c r="G235" s="306">
        <v>12.5</v>
      </c>
      <c r="H235" s="306">
        <f t="shared" si="173"/>
        <v>60.3</v>
      </c>
      <c r="I235" s="358"/>
      <c r="J235" s="359"/>
      <c r="K235" s="360" t="s">
        <v>656</v>
      </c>
      <c r="L235" s="364"/>
    </row>
    <row r="236" spans="1:12">
      <c r="A236" s="334"/>
      <c r="B236" s="341" t="s">
        <v>773</v>
      </c>
      <c r="C236" s="344" t="s">
        <v>530</v>
      </c>
      <c r="D236" s="305">
        <v>11.4</v>
      </c>
      <c r="E236" s="303">
        <v>2.4086</v>
      </c>
      <c r="F236" s="305">
        <v>1</v>
      </c>
      <c r="G236" s="306">
        <v>13.3</v>
      </c>
      <c r="H236" s="306">
        <f t="shared" ref="H236:H243" si="177">ROUND(D236*100*F236*250*100/50/E236/G236/1000,2)</f>
        <v>17.79</v>
      </c>
      <c r="I236" s="353">
        <f t="shared" ref="I236" si="178">ROUND((H236+H237)/2,1)</f>
        <v>17.7</v>
      </c>
      <c r="J236" s="354">
        <f t="shared" ref="J236" si="179">(H236-H237)*100/I236</f>
        <v>0.734463276836153</v>
      </c>
      <c r="K236" s="361" t="s">
        <v>150</v>
      </c>
      <c r="L236" s="363">
        <f t="shared" ref="L236" si="180">H237-H236</f>
        <v>-0.129999999999999</v>
      </c>
    </row>
    <row r="237" spans="1:12">
      <c r="A237" s="336"/>
      <c r="B237" s="343"/>
      <c r="C237" s="362"/>
      <c r="D237" s="305">
        <v>11.4</v>
      </c>
      <c r="E237" s="303">
        <v>2.5025</v>
      </c>
      <c r="F237" s="305">
        <v>1</v>
      </c>
      <c r="G237" s="306">
        <v>12.9</v>
      </c>
      <c r="H237" s="306">
        <f t="shared" si="177"/>
        <v>17.66</v>
      </c>
      <c r="I237" s="358"/>
      <c r="J237" s="359"/>
      <c r="K237" s="360" t="s">
        <v>656</v>
      </c>
      <c r="L237" s="364"/>
    </row>
    <row r="238" spans="1:12">
      <c r="A238" s="334"/>
      <c r="B238" s="341" t="s">
        <v>169</v>
      </c>
      <c r="C238" s="344"/>
      <c r="D238" s="305">
        <v>11.4</v>
      </c>
      <c r="E238" s="303">
        <v>3.7081</v>
      </c>
      <c r="F238" s="305">
        <v>4</v>
      </c>
      <c r="G238" s="306">
        <v>8.9</v>
      </c>
      <c r="H238" s="306">
        <f t="shared" si="177"/>
        <v>69.09</v>
      </c>
      <c r="I238" s="353">
        <f t="shared" ref="I238" si="181">ROUND((H238+H239)/2,1)</f>
        <v>69.1</v>
      </c>
      <c r="J238" s="354">
        <f t="shared" ref="J238" si="182">(H238-H239)*100/I238</f>
        <v>0</v>
      </c>
      <c r="K238" s="361" t="s">
        <v>150</v>
      </c>
      <c r="L238" s="363">
        <f t="shared" ref="L238" si="183">H239-H238</f>
        <v>0</v>
      </c>
    </row>
    <row r="239" spans="1:12">
      <c r="A239" s="336"/>
      <c r="B239" s="343"/>
      <c r="C239" s="362"/>
      <c r="D239" s="305">
        <v>11.4</v>
      </c>
      <c r="E239" s="303">
        <v>3.7081</v>
      </c>
      <c r="F239" s="305">
        <v>4</v>
      </c>
      <c r="G239" s="306">
        <v>8.9</v>
      </c>
      <c r="H239" s="306">
        <f t="shared" si="177"/>
        <v>69.09</v>
      </c>
      <c r="I239" s="358"/>
      <c r="J239" s="359"/>
      <c r="K239" s="360" t="s">
        <v>656</v>
      </c>
      <c r="L239" s="364"/>
    </row>
    <row r="240" spans="1:12">
      <c r="A240" s="334"/>
      <c r="B240" s="341" t="s">
        <v>170</v>
      </c>
      <c r="C240" s="344"/>
      <c r="D240" s="305">
        <v>11.4</v>
      </c>
      <c r="E240" s="303">
        <v>4.4049</v>
      </c>
      <c r="F240" s="305">
        <v>5</v>
      </c>
      <c r="G240" s="306">
        <v>7.2</v>
      </c>
      <c r="H240" s="306">
        <f t="shared" si="177"/>
        <v>89.86</v>
      </c>
      <c r="I240" s="353">
        <f t="shared" ref="I240" si="184">ROUND((H240+H241)/2,1)</f>
        <v>89.9</v>
      </c>
      <c r="J240" s="354">
        <f t="shared" ref="J240" si="185">(H240-H241)*100/I240</f>
        <v>0</v>
      </c>
      <c r="K240" s="361" t="s">
        <v>150</v>
      </c>
      <c r="L240" s="363">
        <f t="shared" ref="L240" si="186">H241-H240</f>
        <v>0</v>
      </c>
    </row>
    <row r="241" spans="1:12">
      <c r="A241" s="336"/>
      <c r="B241" s="343"/>
      <c r="C241" s="362"/>
      <c r="D241" s="305">
        <v>11.4</v>
      </c>
      <c r="E241" s="303">
        <v>4.4049</v>
      </c>
      <c r="F241" s="305">
        <v>5</v>
      </c>
      <c r="G241" s="306">
        <v>7.2</v>
      </c>
      <c r="H241" s="306">
        <f t="shared" si="177"/>
        <v>89.86</v>
      </c>
      <c r="I241" s="358"/>
      <c r="J241" s="359"/>
      <c r="K241" s="360" t="s">
        <v>656</v>
      </c>
      <c r="L241" s="364"/>
    </row>
    <row r="242" spans="1:12">
      <c r="A242" s="334"/>
      <c r="B242" s="341" t="s">
        <v>171</v>
      </c>
      <c r="C242" s="344"/>
      <c r="D242" s="305">
        <v>11.4</v>
      </c>
      <c r="E242" s="303">
        <v>3.5002</v>
      </c>
      <c r="F242" s="305">
        <v>1</v>
      </c>
      <c r="G242" s="306">
        <v>10.8</v>
      </c>
      <c r="H242" s="306">
        <f t="shared" si="177"/>
        <v>15.08</v>
      </c>
      <c r="I242" s="353">
        <f t="shared" ref="I242" si="187">ROUND((H242+H243)/2,1)</f>
        <v>14.1</v>
      </c>
      <c r="J242" s="354">
        <f t="shared" ref="J242" si="188">(H242-H243)*100/I242</f>
        <v>14.5390070921986</v>
      </c>
      <c r="K242" s="361" t="s">
        <v>150</v>
      </c>
      <c r="L242" s="363">
        <f t="shared" ref="L242" si="189">H243-H242</f>
        <v>-2.05</v>
      </c>
    </row>
    <row r="243" spans="1:12">
      <c r="A243" s="336"/>
      <c r="B243" s="343"/>
      <c r="C243" s="362"/>
      <c r="D243" s="305">
        <v>11.4</v>
      </c>
      <c r="E243" s="303">
        <v>3.5002</v>
      </c>
      <c r="F243" s="305">
        <v>1</v>
      </c>
      <c r="G243" s="306">
        <v>12.5</v>
      </c>
      <c r="H243" s="306">
        <f t="shared" si="177"/>
        <v>13.03</v>
      </c>
      <c r="I243" s="358"/>
      <c r="J243" s="359"/>
      <c r="K243" s="360" t="s">
        <v>656</v>
      </c>
      <c r="L243" s="364"/>
    </row>
    <row r="244" spans="1:12">
      <c r="A244" s="334"/>
      <c r="B244" s="341" t="s">
        <v>172</v>
      </c>
      <c r="C244" s="344"/>
      <c r="D244" s="305">
        <v>11.4</v>
      </c>
      <c r="E244" s="303">
        <v>4.3579</v>
      </c>
      <c r="F244" s="305">
        <v>1</v>
      </c>
      <c r="G244" s="306">
        <v>13.3</v>
      </c>
      <c r="H244" s="306">
        <f t="shared" ref="H244:H245" si="190">ROUND(D244*100*F244*250*100/50/E244/G244/1000,2)</f>
        <v>9.83</v>
      </c>
      <c r="I244" s="353">
        <f t="shared" ref="I244" si="191">ROUND((H244+H245)/2,1)</f>
        <v>10</v>
      </c>
      <c r="J244" s="354">
        <f t="shared" ref="J244" si="192">(H244-H245)*100/I244</f>
        <v>-3.1</v>
      </c>
      <c r="K244" s="361" t="s">
        <v>150</v>
      </c>
      <c r="L244" s="363">
        <f t="shared" ref="L244" si="193">H245-H244</f>
        <v>0.31</v>
      </c>
    </row>
    <row r="245" spans="1:12">
      <c r="A245" s="336"/>
      <c r="B245" s="343"/>
      <c r="C245" s="362"/>
      <c r="D245" s="305">
        <v>11.4</v>
      </c>
      <c r="E245" s="303">
        <v>4.3579</v>
      </c>
      <c r="F245" s="305">
        <v>1</v>
      </c>
      <c r="G245" s="306">
        <v>12.9</v>
      </c>
      <c r="H245" s="306">
        <f t="shared" si="190"/>
        <v>10.14</v>
      </c>
      <c r="I245" s="358"/>
      <c r="J245" s="359"/>
      <c r="K245" s="360" t="s">
        <v>656</v>
      </c>
      <c r="L245" s="364"/>
    </row>
    <row r="246" spans="1:12">
      <c r="A246" s="334"/>
      <c r="B246" s="341" t="s">
        <v>173</v>
      </c>
      <c r="C246" s="344"/>
      <c r="D246" s="305">
        <v>11.4</v>
      </c>
      <c r="E246" s="303">
        <v>4.3035</v>
      </c>
      <c r="F246" s="305">
        <v>1</v>
      </c>
      <c r="G246" s="306">
        <v>13.3</v>
      </c>
      <c r="H246" s="306">
        <f t="shared" ref="H246:H255" si="194">ROUND(D246*100*F246*250*100/50/E246/G246/1000,2)</f>
        <v>9.96</v>
      </c>
      <c r="I246" s="353">
        <f t="shared" ref="I246" si="195">ROUND((H246+H247)/2,1)</f>
        <v>10.1</v>
      </c>
      <c r="J246" s="354">
        <f t="shared" ref="J246" si="196">(H246-H247)*100/I246</f>
        <v>-3.06930693069306</v>
      </c>
      <c r="K246" s="361" t="s">
        <v>150</v>
      </c>
      <c r="L246" s="363">
        <f t="shared" ref="L246" si="197">H247-H246</f>
        <v>0.309999999999999</v>
      </c>
    </row>
    <row r="247" spans="1:12">
      <c r="A247" s="336"/>
      <c r="B247" s="343"/>
      <c r="C247" s="362"/>
      <c r="D247" s="305">
        <v>11.4</v>
      </c>
      <c r="E247" s="303">
        <v>4.3035</v>
      </c>
      <c r="F247" s="305">
        <v>1</v>
      </c>
      <c r="G247" s="306">
        <v>12.9</v>
      </c>
      <c r="H247" s="306">
        <f t="shared" si="194"/>
        <v>10.27</v>
      </c>
      <c r="I247" s="358"/>
      <c r="J247" s="359"/>
      <c r="K247" s="360" t="s">
        <v>656</v>
      </c>
      <c r="L247" s="364"/>
    </row>
    <row r="248" spans="1:12">
      <c r="A248" s="334"/>
      <c r="B248" s="341" t="s">
        <v>774</v>
      </c>
      <c r="C248" s="344"/>
      <c r="D248" s="305">
        <v>11.4</v>
      </c>
      <c r="E248" s="303">
        <v>1.5663</v>
      </c>
      <c r="F248" s="305">
        <v>2</v>
      </c>
      <c r="G248" s="306">
        <v>13.6</v>
      </c>
      <c r="H248" s="306">
        <f t="shared" si="194"/>
        <v>53.52</v>
      </c>
      <c r="I248" s="353">
        <f t="shared" ref="I248" si="198">ROUND((H248+H249)/2,1)</f>
        <v>54.6</v>
      </c>
      <c r="J248" s="354">
        <f t="shared" ref="J248" si="199">(H248-H249)*100/I248</f>
        <v>-3.88278388278388</v>
      </c>
      <c r="K248" s="361" t="s">
        <v>150</v>
      </c>
      <c r="L248" s="363">
        <f t="shared" ref="L248" si="200">H249-H248</f>
        <v>2.12</v>
      </c>
    </row>
    <row r="249" spans="1:12">
      <c r="A249" s="336"/>
      <c r="B249" s="343"/>
      <c r="C249" s="362"/>
      <c r="D249" s="305">
        <v>11.4</v>
      </c>
      <c r="E249" s="303">
        <v>1.6524</v>
      </c>
      <c r="F249" s="305">
        <v>2</v>
      </c>
      <c r="G249" s="306">
        <v>12.4</v>
      </c>
      <c r="H249" s="306">
        <f t="shared" si="194"/>
        <v>55.64</v>
      </c>
      <c r="I249" s="358"/>
      <c r="J249" s="359"/>
      <c r="K249" s="360" t="s">
        <v>656</v>
      </c>
      <c r="L249" s="364"/>
    </row>
    <row r="250" spans="1:12">
      <c r="A250" s="334"/>
      <c r="B250" s="341" t="s">
        <v>775</v>
      </c>
      <c r="C250" s="344"/>
      <c r="D250" s="305">
        <v>11.4</v>
      </c>
      <c r="E250" s="303">
        <v>1.3748</v>
      </c>
      <c r="F250" s="305">
        <v>1</v>
      </c>
      <c r="G250" s="306">
        <v>7.55</v>
      </c>
      <c r="H250" s="306">
        <f t="shared" si="194"/>
        <v>54.91</v>
      </c>
      <c r="I250" s="353">
        <f t="shared" ref="I250" si="201">ROUND((H250+H251)/2,1)</f>
        <v>55.2</v>
      </c>
      <c r="J250" s="354">
        <f t="shared" ref="J250" si="202">(H250-H251)*100/I250</f>
        <v>-1.05072463768117</v>
      </c>
      <c r="K250" s="361" t="s">
        <v>150</v>
      </c>
      <c r="L250" s="363">
        <f t="shared" ref="L250" si="203">H251-H250</f>
        <v>0.580000000000005</v>
      </c>
    </row>
    <row r="251" spans="1:12">
      <c r="A251" s="336"/>
      <c r="B251" s="343"/>
      <c r="C251" s="362"/>
      <c r="D251" s="305">
        <v>11.4</v>
      </c>
      <c r="E251" s="303">
        <v>1.2085</v>
      </c>
      <c r="F251" s="305">
        <v>1</v>
      </c>
      <c r="G251" s="306">
        <v>8.5</v>
      </c>
      <c r="H251" s="306">
        <f t="shared" si="194"/>
        <v>55.49</v>
      </c>
      <c r="I251" s="358"/>
      <c r="J251" s="359"/>
      <c r="K251" s="360" t="s">
        <v>656</v>
      </c>
      <c r="L251" s="364"/>
    </row>
    <row r="252" spans="1:12">
      <c r="A252" s="334"/>
      <c r="B252" s="341" t="s">
        <v>776</v>
      </c>
      <c r="C252" s="344"/>
      <c r="D252" s="305">
        <v>11.4</v>
      </c>
      <c r="E252" s="303">
        <v>1.2541</v>
      </c>
      <c r="F252" s="305">
        <v>1</v>
      </c>
      <c r="G252" s="306">
        <v>8.95</v>
      </c>
      <c r="H252" s="306">
        <f t="shared" si="194"/>
        <v>50.78</v>
      </c>
      <c r="I252" s="353">
        <f t="shared" ref="I252" si="204">ROUND((H252+H253)/2,1)</f>
        <v>50.7</v>
      </c>
      <c r="J252" s="354">
        <f t="shared" ref="J252" si="205">(H252-H253)*100/I252</f>
        <v>0.295857988165678</v>
      </c>
      <c r="K252" s="361" t="s">
        <v>150</v>
      </c>
      <c r="L252" s="363">
        <f t="shared" ref="L252" si="206">H253-H252</f>
        <v>-0.149999999999999</v>
      </c>
    </row>
    <row r="253" spans="1:12">
      <c r="A253" s="336"/>
      <c r="B253" s="343"/>
      <c r="C253" s="362"/>
      <c r="D253" s="305">
        <v>11.4</v>
      </c>
      <c r="E253" s="303">
        <v>1.1258</v>
      </c>
      <c r="F253" s="305">
        <v>1</v>
      </c>
      <c r="G253" s="306">
        <v>10</v>
      </c>
      <c r="H253" s="306">
        <f t="shared" si="194"/>
        <v>50.63</v>
      </c>
      <c r="I253" s="358"/>
      <c r="J253" s="359"/>
      <c r="K253" s="360" t="s">
        <v>656</v>
      </c>
      <c r="L253" s="364"/>
    </row>
    <row r="254" spans="1:12">
      <c r="A254" s="334"/>
      <c r="B254" s="341" t="s">
        <v>777</v>
      </c>
      <c r="C254" s="344"/>
      <c r="D254" s="305">
        <v>11.4</v>
      </c>
      <c r="E254" s="303">
        <v>1.4061</v>
      </c>
      <c r="F254" s="305">
        <v>1</v>
      </c>
      <c r="G254" s="306">
        <v>8.1</v>
      </c>
      <c r="H254" s="306">
        <f t="shared" si="194"/>
        <v>50.05</v>
      </c>
      <c r="I254" s="353">
        <f t="shared" ref="I254" si="207">ROUND((H254+H255)/2,1)</f>
        <v>49.9</v>
      </c>
      <c r="J254" s="354">
        <f t="shared" ref="J254" si="208">(H254-H255)*100/I254</f>
        <v>0.681362725450894</v>
      </c>
      <c r="K254" s="361" t="s">
        <v>150</v>
      </c>
      <c r="L254" s="363">
        <f t="shared" ref="L254" si="209">H255-H254</f>
        <v>-0.339999999999996</v>
      </c>
    </row>
    <row r="255" spans="1:12">
      <c r="A255" s="336"/>
      <c r="B255" s="343"/>
      <c r="C255" s="362"/>
      <c r="D255" s="305">
        <v>11.4</v>
      </c>
      <c r="E255" s="303">
        <v>1.5289</v>
      </c>
      <c r="F255" s="305">
        <v>1</v>
      </c>
      <c r="G255" s="306">
        <v>7.5</v>
      </c>
      <c r="H255" s="306">
        <f t="shared" si="194"/>
        <v>49.71</v>
      </c>
      <c r="I255" s="358"/>
      <c r="J255" s="359"/>
      <c r="K255" s="360" t="s">
        <v>656</v>
      </c>
      <c r="L255" s="364"/>
    </row>
    <row r="256" spans="1:12">
      <c r="A256" s="334"/>
      <c r="B256" s="341" t="s">
        <v>778</v>
      </c>
      <c r="C256" s="344"/>
      <c r="D256" s="305">
        <v>11.4</v>
      </c>
      <c r="E256" s="303">
        <v>1.5673</v>
      </c>
      <c r="F256" s="305">
        <v>2</v>
      </c>
      <c r="G256" s="306">
        <v>14.4</v>
      </c>
      <c r="H256" s="306">
        <f t="shared" ref="H256:H259" si="210">ROUND(D256*100*F256*250*100/50/E256/G256/1000,2)</f>
        <v>50.51</v>
      </c>
      <c r="I256" s="353">
        <f t="shared" ref="I256" si="211">ROUND((H256+H257)/2,1)</f>
        <v>50</v>
      </c>
      <c r="J256" s="354">
        <f t="shared" ref="J256" si="212">(H256-H257)*100/I256</f>
        <v>2.03999999999999</v>
      </c>
      <c r="K256" s="361" t="s">
        <v>150</v>
      </c>
      <c r="L256" s="363">
        <f t="shared" ref="L256" si="213">H257-H256</f>
        <v>-1.02</v>
      </c>
    </row>
    <row r="257" spans="1:12">
      <c r="A257" s="336"/>
      <c r="B257" s="343"/>
      <c r="C257" s="362"/>
      <c r="D257" s="305">
        <v>11.4</v>
      </c>
      <c r="E257" s="303">
        <v>1.6514</v>
      </c>
      <c r="F257" s="305">
        <v>2</v>
      </c>
      <c r="G257" s="306">
        <v>13.95</v>
      </c>
      <c r="H257" s="306">
        <f t="shared" si="210"/>
        <v>49.49</v>
      </c>
      <c r="I257" s="358"/>
      <c r="J257" s="359"/>
      <c r="K257" s="360" t="s">
        <v>656</v>
      </c>
      <c r="L257" s="364"/>
    </row>
    <row r="258" spans="1:12">
      <c r="A258" s="334"/>
      <c r="B258" s="341" t="s">
        <v>779</v>
      </c>
      <c r="C258" s="344"/>
      <c r="D258" s="305">
        <v>11.4</v>
      </c>
      <c r="E258" s="303">
        <v>1.3413</v>
      </c>
      <c r="F258" s="305">
        <v>1</v>
      </c>
      <c r="G258" s="306">
        <v>5.7</v>
      </c>
      <c r="H258" s="306">
        <f t="shared" si="210"/>
        <v>74.55</v>
      </c>
      <c r="I258" s="353">
        <f t="shared" ref="I258" si="214">ROUND((H258+H259)/2,1)</f>
        <v>75.3</v>
      </c>
      <c r="J258" s="354">
        <f t="shared" ref="J258" si="215">(H258-H259)*100/I258</f>
        <v>-1.89907038512617</v>
      </c>
      <c r="K258" s="361" t="s">
        <v>150</v>
      </c>
      <c r="L258" s="363">
        <f t="shared" ref="L258" si="216">H259-H258</f>
        <v>1.43000000000001</v>
      </c>
    </row>
    <row r="259" spans="1:12">
      <c r="A259" s="336"/>
      <c r="B259" s="343"/>
      <c r="C259" s="362"/>
      <c r="D259" s="305">
        <v>11.4</v>
      </c>
      <c r="E259" s="303">
        <v>1.2199</v>
      </c>
      <c r="F259" s="305">
        <v>1</v>
      </c>
      <c r="G259" s="306">
        <v>6.15</v>
      </c>
      <c r="H259" s="306">
        <f t="shared" si="210"/>
        <v>75.98</v>
      </c>
      <c r="I259" s="358"/>
      <c r="J259" s="359"/>
      <c r="K259" s="360" t="s">
        <v>656</v>
      </c>
      <c r="L259" s="364"/>
    </row>
    <row r="260" spans="1:12">
      <c r="A260" s="334"/>
      <c r="B260" s="341" t="s">
        <v>780</v>
      </c>
      <c r="C260" s="344"/>
      <c r="D260" s="305">
        <v>11.4</v>
      </c>
      <c r="E260" s="303">
        <v>1.3461</v>
      </c>
      <c r="F260" s="305">
        <v>1</v>
      </c>
      <c r="G260" s="306">
        <v>6.5</v>
      </c>
      <c r="H260" s="306">
        <f t="shared" ref="H260:H261" si="217">ROUND(D260*100*F260*250*100/50/E260/G260/1000,2)</f>
        <v>65.15</v>
      </c>
      <c r="I260" s="353">
        <f t="shared" ref="I260" si="218">ROUND((H260+H261)/2,1)</f>
        <v>65.5</v>
      </c>
      <c r="J260" s="354">
        <f t="shared" ref="J260" si="219">(H260-H261)*100/I260</f>
        <v>-1.1297709923664</v>
      </c>
      <c r="K260" s="361" t="s">
        <v>150</v>
      </c>
      <c r="L260" s="363">
        <f t="shared" ref="L260" si="220">H261-H260</f>
        <v>0.739999999999995</v>
      </c>
    </row>
    <row r="261" spans="1:12">
      <c r="A261" s="336"/>
      <c r="B261" s="343"/>
      <c r="C261" s="362"/>
      <c r="D261" s="305">
        <v>11.4</v>
      </c>
      <c r="E261" s="303">
        <v>1.3952</v>
      </c>
      <c r="F261" s="305">
        <v>1</v>
      </c>
      <c r="G261" s="306">
        <v>6.2</v>
      </c>
      <c r="H261" s="306">
        <f t="shared" si="217"/>
        <v>65.89</v>
      </c>
      <c r="I261" s="358"/>
      <c r="J261" s="359"/>
      <c r="K261" s="360" t="s">
        <v>656</v>
      </c>
      <c r="L261" s="364"/>
    </row>
    <row r="262" spans="1:12">
      <c r="A262" s="334"/>
      <c r="B262" s="341" t="s">
        <v>781</v>
      </c>
      <c r="C262" s="344"/>
      <c r="D262" s="305">
        <v>11.4</v>
      </c>
      <c r="E262" s="303">
        <v>1.369</v>
      </c>
      <c r="F262" s="305">
        <v>1</v>
      </c>
      <c r="G262" s="306">
        <v>6</v>
      </c>
      <c r="H262" s="306">
        <f t="shared" ref="H262:H263" si="221">ROUND(D262*100*F262*250*100/50/E262/G262/1000,2)</f>
        <v>69.39</v>
      </c>
      <c r="I262" s="353">
        <f t="shared" ref="I262" si="222">ROUND((H262+H263)/2,1)</f>
        <v>69.1</v>
      </c>
      <c r="J262" s="354">
        <f t="shared" ref="J262" si="223">(H262-H263)*100/I262</f>
        <v>0.911722141823438</v>
      </c>
      <c r="K262" s="361" t="s">
        <v>150</v>
      </c>
      <c r="L262" s="363">
        <f t="shared" ref="L262" si="224">H263-H262</f>
        <v>-0.629999999999995</v>
      </c>
    </row>
    <row r="263" spans="1:12">
      <c r="A263" s="336"/>
      <c r="B263" s="343"/>
      <c r="C263" s="362"/>
      <c r="D263" s="305">
        <v>11.4</v>
      </c>
      <c r="E263" s="303">
        <v>1.2191</v>
      </c>
      <c r="F263" s="305">
        <v>1</v>
      </c>
      <c r="G263" s="306">
        <v>6.8</v>
      </c>
      <c r="H263" s="306">
        <f t="shared" si="221"/>
        <v>68.76</v>
      </c>
      <c r="I263" s="358"/>
      <c r="J263" s="359"/>
      <c r="K263" s="360" t="s">
        <v>656</v>
      </c>
      <c r="L263" s="364"/>
    </row>
    <row r="264" spans="1:12">
      <c r="A264" s="334"/>
      <c r="B264" s="341" t="s">
        <v>174</v>
      </c>
      <c r="C264" s="344"/>
      <c r="D264" s="305">
        <v>10.8</v>
      </c>
      <c r="E264" s="303">
        <v>3.1191</v>
      </c>
      <c r="F264" s="305">
        <v>1</v>
      </c>
      <c r="G264" s="306">
        <v>6</v>
      </c>
      <c r="H264" s="306">
        <f t="shared" ref="H264:H265" si="225">ROUND(D264*100*F264*250*100/50/E264/G264/1000,2)</f>
        <v>28.85</v>
      </c>
      <c r="I264" s="353">
        <f t="shared" ref="I264" si="226">ROUND((H264+H265)/2,1)</f>
        <v>47</v>
      </c>
      <c r="J264" s="354">
        <f t="shared" ref="J264" si="227">(H264-H265)*100/I264</f>
        <v>-77.2127659574468</v>
      </c>
      <c r="K264" s="361" t="s">
        <v>150</v>
      </c>
      <c r="L264" s="363">
        <f t="shared" ref="L264" si="228">H265-H264</f>
        <v>36.29</v>
      </c>
    </row>
    <row r="265" spans="1:12">
      <c r="A265" s="336"/>
      <c r="B265" s="343"/>
      <c r="C265" s="362"/>
      <c r="D265" s="305">
        <v>10.8</v>
      </c>
      <c r="E265" s="303">
        <v>1.2191</v>
      </c>
      <c r="F265" s="305">
        <v>1</v>
      </c>
      <c r="G265" s="306">
        <v>6.8</v>
      </c>
      <c r="H265" s="306">
        <f t="shared" si="225"/>
        <v>65.14</v>
      </c>
      <c r="I265" s="358"/>
      <c r="J265" s="359"/>
      <c r="K265" s="360" t="s">
        <v>656</v>
      </c>
      <c r="L265" s="364"/>
    </row>
    <row r="266" spans="1:12">
      <c r="A266" s="334"/>
      <c r="B266" s="341" t="s">
        <v>782</v>
      </c>
      <c r="C266" s="344"/>
      <c r="D266" s="305">
        <v>10.8</v>
      </c>
      <c r="E266" s="303">
        <v>3.1191</v>
      </c>
      <c r="F266" s="305">
        <v>1</v>
      </c>
      <c r="G266" s="306">
        <v>6</v>
      </c>
      <c r="H266" s="306">
        <f t="shared" ref="H266:H267" si="229">ROUND(D266*100*F266*250*100/50/E266/G266/1000,2)</f>
        <v>28.85</v>
      </c>
      <c r="I266" s="353">
        <f t="shared" ref="I266" si="230">ROUND((H266+H267)/2,1)</f>
        <v>47</v>
      </c>
      <c r="J266" s="354">
        <f t="shared" ref="J266" si="231">(H266-H267)*100/I266</f>
        <v>-77.2127659574468</v>
      </c>
      <c r="K266" s="361" t="s">
        <v>150</v>
      </c>
      <c r="L266" s="363">
        <f t="shared" ref="L266" si="232">H267-H266</f>
        <v>36.29</v>
      </c>
    </row>
    <row r="267" spans="1:12">
      <c r="A267" s="336"/>
      <c r="B267" s="343"/>
      <c r="C267" s="362"/>
      <c r="D267" s="305">
        <v>10.8</v>
      </c>
      <c r="E267" s="303">
        <v>1.2191</v>
      </c>
      <c r="F267" s="305">
        <v>1</v>
      </c>
      <c r="G267" s="306">
        <v>6.8</v>
      </c>
      <c r="H267" s="306">
        <f t="shared" si="229"/>
        <v>65.14</v>
      </c>
      <c r="I267" s="358"/>
      <c r="J267" s="359"/>
      <c r="K267" s="360" t="s">
        <v>656</v>
      </c>
      <c r="L267" s="364"/>
    </row>
    <row r="269" spans="1:12">
      <c r="A269" s="334"/>
      <c r="B269" s="341" t="s">
        <v>783</v>
      </c>
      <c r="C269" s="344"/>
      <c r="D269" s="305">
        <v>11.4</v>
      </c>
      <c r="E269" s="303">
        <v>2.507</v>
      </c>
      <c r="F269" s="305">
        <v>1</v>
      </c>
      <c r="G269" s="306">
        <v>9.3</v>
      </c>
      <c r="H269" s="306">
        <f t="shared" ref="H269:H272" si="233">ROUND(D269*100*F269*250*100/50/E269/G269/1000,2)</f>
        <v>24.45</v>
      </c>
      <c r="I269" s="353">
        <f t="shared" ref="I269" si="234">ROUND((H269+H270)/2,1)</f>
        <v>24.3</v>
      </c>
      <c r="J269" s="354">
        <f t="shared" ref="J269" si="235">(H269-H270)*100/I269</f>
        <v>1.23456790123457</v>
      </c>
      <c r="K269" s="361" t="s">
        <v>150</v>
      </c>
      <c r="L269" s="363">
        <f t="shared" ref="L269" si="236">H270-H269</f>
        <v>-0.300000000000001</v>
      </c>
    </row>
    <row r="270" spans="1:12">
      <c r="A270" s="336"/>
      <c r="B270" s="343"/>
      <c r="C270" s="362"/>
      <c r="D270" s="305">
        <v>11.4</v>
      </c>
      <c r="E270" s="303">
        <v>2.5375</v>
      </c>
      <c r="F270" s="305">
        <v>1</v>
      </c>
      <c r="G270" s="306">
        <v>9.3</v>
      </c>
      <c r="H270" s="306">
        <f t="shared" si="233"/>
        <v>24.15</v>
      </c>
      <c r="I270" s="358"/>
      <c r="J270" s="359"/>
      <c r="K270" s="360" t="s">
        <v>656</v>
      </c>
      <c r="L270" s="364"/>
    </row>
    <row r="271" spans="1:12">
      <c r="A271" s="334"/>
      <c r="B271" s="341" t="s">
        <v>784</v>
      </c>
      <c r="C271" s="344"/>
      <c r="D271" s="305">
        <v>11.4</v>
      </c>
      <c r="E271" s="303">
        <v>2.9003</v>
      </c>
      <c r="F271" s="305">
        <v>1</v>
      </c>
      <c r="G271" s="306">
        <v>10.65</v>
      </c>
      <c r="H271" s="306">
        <f t="shared" si="233"/>
        <v>18.45</v>
      </c>
      <c r="I271" s="353">
        <f t="shared" ref="I271" si="237">ROUND((H271+H272)/2,1)</f>
        <v>18.6</v>
      </c>
      <c r="J271" s="354">
        <f t="shared" ref="J271" si="238">(H271-H272)*100/I271</f>
        <v>-1.12903225806452</v>
      </c>
      <c r="K271" s="361" t="s">
        <v>150</v>
      </c>
      <c r="L271" s="363">
        <f t="shared" ref="L271" si="239">H272-H271</f>
        <v>0.210000000000001</v>
      </c>
    </row>
    <row r="272" spans="1:12">
      <c r="A272" s="336"/>
      <c r="B272" s="343"/>
      <c r="C272" s="362"/>
      <c r="D272" s="305">
        <v>11.4</v>
      </c>
      <c r="E272" s="303">
        <v>2.8677</v>
      </c>
      <c r="F272" s="305">
        <v>1</v>
      </c>
      <c r="G272" s="306">
        <v>10.65</v>
      </c>
      <c r="H272" s="306">
        <f t="shared" si="233"/>
        <v>18.66</v>
      </c>
      <c r="I272" s="358"/>
      <c r="J272" s="359"/>
      <c r="K272" s="360" t="s">
        <v>656</v>
      </c>
      <c r="L272" s="364"/>
    </row>
    <row r="273" spans="1:12">
      <c r="A273" s="334"/>
      <c r="B273" s="341" t="s">
        <v>785</v>
      </c>
      <c r="C273" s="344"/>
      <c r="D273" s="305">
        <v>11.4</v>
      </c>
      <c r="E273" s="303">
        <v>2.7146</v>
      </c>
      <c r="F273" s="305">
        <v>1</v>
      </c>
      <c r="G273" s="306">
        <v>9.8</v>
      </c>
      <c r="H273" s="306">
        <f t="shared" ref="H273:H274" si="240">ROUND(D273*100*F273*250*100/50/E273/G273/1000,2)</f>
        <v>21.43</v>
      </c>
      <c r="I273" s="353">
        <f t="shared" ref="I273" si="241">ROUND((H273+H274)/2,1)</f>
        <v>21.6</v>
      </c>
      <c r="J273" s="354">
        <f t="shared" ref="J273" si="242">(H273-H274)*100/I273</f>
        <v>-1.2962962962963</v>
      </c>
      <c r="K273" s="361" t="s">
        <v>150</v>
      </c>
      <c r="L273" s="363">
        <f t="shared" ref="L273" si="243">H274-H273</f>
        <v>0.280000000000001</v>
      </c>
    </row>
    <row r="274" spans="1:12">
      <c r="A274" s="336"/>
      <c r="B274" s="343"/>
      <c r="C274" s="362"/>
      <c r="D274" s="305">
        <v>11.4</v>
      </c>
      <c r="E274" s="303">
        <v>2.5241</v>
      </c>
      <c r="F274" s="305">
        <v>1</v>
      </c>
      <c r="G274" s="306">
        <v>10.4</v>
      </c>
      <c r="H274" s="306">
        <f t="shared" si="240"/>
        <v>21.71</v>
      </c>
      <c r="I274" s="358"/>
      <c r="J274" s="359"/>
      <c r="K274" s="360" t="s">
        <v>656</v>
      </c>
      <c r="L274" s="364"/>
    </row>
    <row r="275" spans="1:12">
      <c r="A275" s="334"/>
      <c r="B275" s="341" t="s">
        <v>786</v>
      </c>
      <c r="C275" s="344" t="s">
        <v>719</v>
      </c>
      <c r="D275" s="305">
        <v>11.4</v>
      </c>
      <c r="E275" s="303">
        <v>2.3236</v>
      </c>
      <c r="F275" s="305">
        <v>2</v>
      </c>
      <c r="G275" s="306">
        <v>8.5</v>
      </c>
      <c r="H275" s="306">
        <f t="shared" ref="H275:H276" si="244">ROUND(D275*100*F275*250*100/50/E275/G275/1000,2)</f>
        <v>57.72</v>
      </c>
      <c r="I275" s="353">
        <f t="shared" ref="I275" si="245">ROUND((H275+H276)/2,1)</f>
        <v>58.1</v>
      </c>
      <c r="J275" s="354">
        <f t="shared" ref="J275" si="246">(H275-H276)*100/I275</f>
        <v>-1.30808950086058</v>
      </c>
      <c r="K275" s="361" t="s">
        <v>150</v>
      </c>
      <c r="L275" s="363">
        <f t="shared" ref="L275" si="247">H276-H275</f>
        <v>0.759999999999998</v>
      </c>
    </row>
    <row r="276" spans="1:12">
      <c r="A276" s="336"/>
      <c r="B276" s="343"/>
      <c r="C276" s="362"/>
      <c r="D276" s="305">
        <v>11.4</v>
      </c>
      <c r="E276" s="303">
        <v>2.4217</v>
      </c>
      <c r="F276" s="305">
        <v>2</v>
      </c>
      <c r="G276" s="306">
        <v>8.05</v>
      </c>
      <c r="H276" s="306">
        <f t="shared" si="244"/>
        <v>58.48</v>
      </c>
      <c r="I276" s="358"/>
      <c r="J276" s="359"/>
      <c r="K276" s="360" t="s">
        <v>656</v>
      </c>
      <c r="L276" s="364"/>
    </row>
    <row r="277" spans="1:12">
      <c r="A277" s="334"/>
      <c r="B277" s="341" t="s">
        <v>787</v>
      </c>
      <c r="C277" s="344" t="s">
        <v>719</v>
      </c>
      <c r="D277" s="305">
        <v>11.4</v>
      </c>
      <c r="E277" s="303">
        <v>1.5441</v>
      </c>
      <c r="F277" s="305">
        <v>1</v>
      </c>
      <c r="G277" s="306">
        <v>7.3</v>
      </c>
      <c r="H277" s="306">
        <f t="shared" ref="H277:H278" si="248">ROUND(D277*100*F277*250*100/50/E277/G277/1000,2)</f>
        <v>50.57</v>
      </c>
      <c r="I277" s="353">
        <f t="shared" ref="I277" si="249">ROUND((H277+H278)/2,1)</f>
        <v>50.9</v>
      </c>
      <c r="J277" s="354">
        <f t="shared" ref="J277" si="250">(H277-H278)*100/I277</f>
        <v>-1.45383104125737</v>
      </c>
      <c r="K277" s="361" t="s">
        <v>150</v>
      </c>
      <c r="L277" s="363">
        <f t="shared" ref="L277" si="251">H278-H277</f>
        <v>0.740000000000002</v>
      </c>
    </row>
    <row r="278" spans="1:12">
      <c r="A278" s="336"/>
      <c r="B278" s="343"/>
      <c r="C278" s="362"/>
      <c r="D278" s="305">
        <v>11.4</v>
      </c>
      <c r="E278" s="303">
        <v>1.4241</v>
      </c>
      <c r="F278" s="305">
        <v>1</v>
      </c>
      <c r="G278" s="306">
        <v>7.8</v>
      </c>
      <c r="H278" s="306">
        <f t="shared" si="248"/>
        <v>51.31</v>
      </c>
      <c r="I278" s="358"/>
      <c r="J278" s="359"/>
      <c r="K278" s="360" t="s">
        <v>656</v>
      </c>
      <c r="L278" s="364"/>
    </row>
    <row r="279" ht="23.25" customHeight="1" spans="1:12">
      <c r="A279" s="334"/>
      <c r="B279" s="341" t="s">
        <v>788</v>
      </c>
      <c r="C279" s="344" t="s">
        <v>719</v>
      </c>
      <c r="D279" s="305">
        <v>2</v>
      </c>
      <c r="E279" s="303">
        <v>0.9925</v>
      </c>
      <c r="F279" s="305">
        <v>1</v>
      </c>
      <c r="G279" s="306">
        <v>10.8</v>
      </c>
      <c r="H279" s="306">
        <f t="shared" ref="H279:H280" si="252">ROUND(D279*100*F279*250*100/50/E279/G279/1000,2)</f>
        <v>9.33</v>
      </c>
      <c r="I279" s="353">
        <f t="shared" ref="I279" si="253">ROUND((H279+H280)/2,1)</f>
        <v>31.1</v>
      </c>
      <c r="J279" s="354">
        <f t="shared" ref="J279" si="254">(H279-H280)*100/I279</f>
        <v>-140.225080385852</v>
      </c>
      <c r="K279" s="361" t="s">
        <v>150</v>
      </c>
      <c r="L279" s="363">
        <f t="shared" ref="L279" si="255">H280-H279</f>
        <v>43.61</v>
      </c>
    </row>
    <row r="280" spans="1:12">
      <c r="A280" s="336"/>
      <c r="B280" s="343"/>
      <c r="C280" s="362"/>
      <c r="D280" s="305">
        <v>11.4</v>
      </c>
      <c r="E280" s="303">
        <v>1.0821</v>
      </c>
      <c r="F280" s="305">
        <v>1</v>
      </c>
      <c r="G280" s="306">
        <v>9.95</v>
      </c>
      <c r="H280" s="306">
        <f t="shared" si="252"/>
        <v>52.94</v>
      </c>
      <c r="I280" s="358"/>
      <c r="J280" s="359"/>
      <c r="K280" s="360" t="s">
        <v>656</v>
      </c>
      <c r="L280" s="364"/>
    </row>
    <row r="281" spans="1:12">
      <c r="A281" s="334"/>
      <c r="B281" s="341" t="s">
        <v>788</v>
      </c>
      <c r="C281" s="344" t="s">
        <v>719</v>
      </c>
      <c r="D281" s="305">
        <v>2</v>
      </c>
      <c r="E281" s="303">
        <v>0.9925</v>
      </c>
      <c r="F281" s="305">
        <v>1</v>
      </c>
      <c r="G281" s="306">
        <v>10.8</v>
      </c>
      <c r="H281" s="306">
        <f t="shared" ref="H281:H282" si="256">ROUND(D281*100*F281*250*100/50/E281/G281/1000,2)</f>
        <v>9.33</v>
      </c>
      <c r="I281" s="353">
        <f t="shared" ref="I281" si="257">ROUND((H281+H282)/2,1)</f>
        <v>31.1</v>
      </c>
      <c r="J281" s="354">
        <f t="shared" ref="J281" si="258">(H281-H282)*100/I281</f>
        <v>-140.225080385852</v>
      </c>
      <c r="K281" s="361" t="s">
        <v>150</v>
      </c>
      <c r="L281" s="363">
        <f t="shared" ref="L281" si="259">H282-H281</f>
        <v>43.61</v>
      </c>
    </row>
    <row r="282" spans="1:12">
      <c r="A282" s="336"/>
      <c r="B282" s="343"/>
      <c r="C282" s="362"/>
      <c r="D282" s="305">
        <v>11.4</v>
      </c>
      <c r="E282" s="303">
        <v>1.0821</v>
      </c>
      <c r="F282" s="305">
        <v>1</v>
      </c>
      <c r="G282" s="306">
        <v>9.95</v>
      </c>
      <c r="H282" s="306">
        <f t="shared" si="256"/>
        <v>52.94</v>
      </c>
      <c r="I282" s="358"/>
      <c r="J282" s="359"/>
      <c r="K282" s="360" t="s">
        <v>656</v>
      </c>
      <c r="L282" s="364"/>
    </row>
    <row r="283" spans="1:12">
      <c r="A283" s="334"/>
      <c r="B283" s="341" t="s">
        <v>789</v>
      </c>
      <c r="C283" s="344" t="s">
        <v>790</v>
      </c>
      <c r="D283" s="305">
        <v>11.4</v>
      </c>
      <c r="E283" s="303">
        <v>1.2389</v>
      </c>
      <c r="F283" s="305">
        <v>1</v>
      </c>
      <c r="G283" s="306">
        <v>6.7</v>
      </c>
      <c r="H283" s="306">
        <f t="shared" ref="H283:H284" si="260">ROUND(D283*100*F283*250*100/50/E283/G283/1000,2)</f>
        <v>68.67</v>
      </c>
      <c r="I283" s="353">
        <f t="shared" ref="I283" si="261">ROUND((H283+H284)/2,1)</f>
        <v>69</v>
      </c>
      <c r="J283" s="354">
        <f t="shared" ref="J283" si="262">(H283-H284)*100/I283</f>
        <v>-0.999999999999997</v>
      </c>
      <c r="K283" s="361" t="s">
        <v>150</v>
      </c>
      <c r="L283" s="363">
        <f t="shared" ref="L283" si="263">H284-H283</f>
        <v>0.689999999999998</v>
      </c>
    </row>
    <row r="284" spans="1:12">
      <c r="A284" s="336"/>
      <c r="B284" s="343"/>
      <c r="C284" s="362"/>
      <c r="D284" s="305">
        <v>11.4</v>
      </c>
      <c r="E284" s="303">
        <v>1.3254</v>
      </c>
      <c r="F284" s="305">
        <v>1</v>
      </c>
      <c r="G284" s="306">
        <v>6.2</v>
      </c>
      <c r="H284" s="306">
        <f t="shared" si="260"/>
        <v>69.36</v>
      </c>
      <c r="I284" s="358"/>
      <c r="J284" s="359"/>
      <c r="K284" s="360" t="s">
        <v>656</v>
      </c>
      <c r="L284" s="364"/>
    </row>
    <row r="286" spans="1:12">
      <c r="A286" s="334"/>
      <c r="B286" s="341" t="s">
        <v>791</v>
      </c>
      <c r="C286" s="344"/>
      <c r="D286" s="305">
        <v>11.4</v>
      </c>
      <c r="E286" s="303">
        <v>3.3728</v>
      </c>
      <c r="F286" s="305">
        <v>1</v>
      </c>
      <c r="G286" s="306">
        <v>11.9</v>
      </c>
      <c r="H286" s="306">
        <f t="shared" ref="H286:H287" si="264">ROUND(D286*100*F286*250*100/50/E286/G286/1000,2)</f>
        <v>14.2</v>
      </c>
      <c r="I286" s="353">
        <f t="shared" ref="I286" si="265">ROUND((H286+H287)/2,1)</f>
        <v>21.2</v>
      </c>
      <c r="J286" s="354">
        <f t="shared" ref="J286" si="266">(H286-H287)*100/I286</f>
        <v>-66.2735849056604</v>
      </c>
      <c r="K286" s="361" t="s">
        <v>150</v>
      </c>
      <c r="L286" s="363">
        <f t="shared" ref="L286" si="267">H287-H286</f>
        <v>14.05</v>
      </c>
    </row>
    <row r="287" spans="1:12">
      <c r="A287" s="336"/>
      <c r="B287" s="343"/>
      <c r="C287" s="362"/>
      <c r="D287" s="305">
        <v>11.4</v>
      </c>
      <c r="E287" s="303">
        <v>3.2541</v>
      </c>
      <c r="F287" s="305">
        <v>1</v>
      </c>
      <c r="G287" s="306">
        <v>6.2</v>
      </c>
      <c r="H287" s="306">
        <f t="shared" si="264"/>
        <v>28.25</v>
      </c>
      <c r="I287" s="358"/>
      <c r="J287" s="359"/>
      <c r="K287" s="360" t="s">
        <v>656</v>
      </c>
      <c r="L287" s="364"/>
    </row>
    <row r="288" spans="1:12">
      <c r="A288" s="334"/>
      <c r="B288" s="341" t="s">
        <v>792</v>
      </c>
      <c r="C288" s="344"/>
      <c r="D288" s="305">
        <v>11.4</v>
      </c>
      <c r="E288" s="303">
        <v>3.7737</v>
      </c>
      <c r="F288" s="305">
        <v>1</v>
      </c>
      <c r="G288" s="306">
        <v>9.1</v>
      </c>
      <c r="H288" s="306">
        <f t="shared" ref="H288:H289" si="268">ROUND(D288*100*F288*250*100/50/E288/G288/1000,2)</f>
        <v>16.6</v>
      </c>
      <c r="I288" s="353">
        <f t="shared" ref="I288" si="269">ROUND((H288+H289)/2,1)</f>
        <v>16.8</v>
      </c>
      <c r="J288" s="354">
        <f t="shared" ref="J288" si="270">(H288-H289)*100/I288</f>
        <v>-2.20238095238094</v>
      </c>
      <c r="K288" s="361" t="s">
        <v>150</v>
      </c>
      <c r="L288" s="363">
        <f t="shared" ref="L288" si="271">H289-H288</f>
        <v>0.369999999999997</v>
      </c>
    </row>
    <row r="289" spans="1:12">
      <c r="A289" s="336"/>
      <c r="B289" s="343"/>
      <c r="C289" s="362"/>
      <c r="D289" s="305">
        <v>11.4</v>
      </c>
      <c r="E289" s="303">
        <v>3.9521</v>
      </c>
      <c r="F289" s="305">
        <v>1</v>
      </c>
      <c r="G289" s="306">
        <v>8.5</v>
      </c>
      <c r="H289" s="306">
        <f t="shared" si="268"/>
        <v>16.97</v>
      </c>
      <c r="I289" s="358"/>
      <c r="J289" s="359"/>
      <c r="K289" s="360" t="s">
        <v>656</v>
      </c>
      <c r="L289" s="364"/>
    </row>
    <row r="291" spans="1:12">
      <c r="A291" s="334"/>
      <c r="B291" s="341" t="s">
        <v>792</v>
      </c>
      <c r="C291" s="344"/>
      <c r="D291" s="305">
        <v>11.4</v>
      </c>
      <c r="E291" s="303">
        <v>2.9346</v>
      </c>
      <c r="F291" s="305">
        <v>1</v>
      </c>
      <c r="G291" s="306">
        <v>11.4</v>
      </c>
      <c r="H291" s="306">
        <f t="shared" ref="H291:H292" si="272">ROUND(D291*100*F291*250*100/50/E291/G291/1000,2)</f>
        <v>17.04</v>
      </c>
      <c r="I291" s="353">
        <f t="shared" ref="I291" si="273">ROUND((H291+H292)/2,1)</f>
        <v>17</v>
      </c>
      <c r="J291" s="354">
        <f t="shared" ref="J291" si="274">(H291-H292)*100/I291</f>
        <v>0.999999999999989</v>
      </c>
      <c r="K291" s="361" t="s">
        <v>150</v>
      </c>
      <c r="L291" s="363">
        <f t="shared" ref="L291" si="275">H292-H291</f>
        <v>-0.169999999999998</v>
      </c>
    </row>
    <row r="292" spans="1:12">
      <c r="A292" s="336"/>
      <c r="B292" s="343"/>
      <c r="C292" s="362"/>
      <c r="D292" s="305">
        <v>11.4</v>
      </c>
      <c r="E292" s="303">
        <v>3.1882</v>
      </c>
      <c r="F292" s="305">
        <v>1</v>
      </c>
      <c r="G292" s="306">
        <v>10.6</v>
      </c>
      <c r="H292" s="306">
        <f t="shared" si="272"/>
        <v>16.87</v>
      </c>
      <c r="I292" s="358"/>
      <c r="J292" s="359"/>
      <c r="K292" s="360" t="s">
        <v>656</v>
      </c>
      <c r="L292" s="364"/>
    </row>
    <row r="293" spans="1:12">
      <c r="A293" s="334"/>
      <c r="B293" s="341" t="s">
        <v>793</v>
      </c>
      <c r="C293" s="344"/>
      <c r="D293" s="305">
        <v>10.8</v>
      </c>
      <c r="E293" s="303">
        <v>5.2977</v>
      </c>
      <c r="F293" s="305">
        <v>1</v>
      </c>
      <c r="G293" s="306">
        <v>10</v>
      </c>
      <c r="H293" s="306">
        <f t="shared" ref="H293:H294" si="276">ROUND(D293*100*F293*250*100/50/E293/G293/1000,2)</f>
        <v>10.19</v>
      </c>
      <c r="I293" s="353">
        <f t="shared" ref="I293" si="277">ROUND((H293+H294)/2,1)</f>
        <v>9.8</v>
      </c>
      <c r="J293" s="354">
        <f t="shared" ref="J293" si="278">(H293-H294)*100/I293</f>
        <v>7.85714285714285</v>
      </c>
      <c r="K293" s="361" t="s">
        <v>150</v>
      </c>
      <c r="L293" s="363">
        <f t="shared" ref="L293" si="279">H294-H293</f>
        <v>-0.77</v>
      </c>
    </row>
    <row r="294" spans="1:12">
      <c r="A294" s="336"/>
      <c r="B294" s="343"/>
      <c r="C294" s="362"/>
      <c r="D294" s="305">
        <v>10.8</v>
      </c>
      <c r="E294" s="303">
        <v>5.3587</v>
      </c>
      <c r="F294" s="305">
        <v>1</v>
      </c>
      <c r="G294" s="306">
        <v>10.7</v>
      </c>
      <c r="H294" s="306">
        <f t="shared" si="276"/>
        <v>9.42</v>
      </c>
      <c r="I294" s="358"/>
      <c r="J294" s="359"/>
      <c r="K294" s="360" t="s">
        <v>656</v>
      </c>
      <c r="L294" s="364"/>
    </row>
    <row r="296" ht="21" customHeight="1" spans="1:12">
      <c r="A296" s="334"/>
      <c r="B296" s="341" t="s">
        <v>794</v>
      </c>
      <c r="C296" s="344"/>
      <c r="D296" s="305">
        <v>10.8</v>
      </c>
      <c r="E296" s="303">
        <v>1.4906</v>
      </c>
      <c r="F296" s="305">
        <v>2</v>
      </c>
      <c r="G296" s="306">
        <v>10.6</v>
      </c>
      <c r="H296" s="306">
        <f t="shared" ref="H296:H297" si="280">ROUND(D296*100*F296*250*100/50/E296/G296/1000,2)</f>
        <v>68.35</v>
      </c>
      <c r="I296" s="353">
        <f t="shared" ref="I296" si="281">ROUND((H296+H297)/2,1)</f>
        <v>67.8</v>
      </c>
      <c r="J296" s="354">
        <f t="shared" ref="J296" si="282">(H296-H297)*100/I296</f>
        <v>1.54867256637168</v>
      </c>
      <c r="K296" s="361" t="s">
        <v>150</v>
      </c>
      <c r="L296" s="363">
        <f t="shared" ref="L296" si="283">H297-H296</f>
        <v>-1.05</v>
      </c>
    </row>
    <row r="297" spans="1:12">
      <c r="A297" s="336"/>
      <c r="B297" s="343"/>
      <c r="C297" s="362"/>
      <c r="D297" s="305">
        <v>10.8</v>
      </c>
      <c r="E297" s="303">
        <v>1.5284</v>
      </c>
      <c r="F297" s="305">
        <v>2</v>
      </c>
      <c r="G297" s="306">
        <v>10.5</v>
      </c>
      <c r="H297" s="306">
        <f t="shared" si="280"/>
        <v>67.3</v>
      </c>
      <c r="I297" s="358"/>
      <c r="J297" s="359"/>
      <c r="K297" s="360" t="s">
        <v>656</v>
      </c>
      <c r="L297" s="364"/>
    </row>
    <row r="298" ht="21" customHeight="1" spans="1:12">
      <c r="A298" s="334"/>
      <c r="B298" s="341" t="s">
        <v>795</v>
      </c>
      <c r="C298" s="344"/>
      <c r="D298" s="305">
        <v>10.8</v>
      </c>
      <c r="E298" s="303">
        <v>1.3924</v>
      </c>
      <c r="F298" s="305">
        <v>1</v>
      </c>
      <c r="G298" s="306">
        <v>5.5</v>
      </c>
      <c r="H298" s="306">
        <f t="shared" ref="H298:H299" si="284">ROUND(D298*100*F298*250*100/50/E298/G298/1000,2)</f>
        <v>70.51</v>
      </c>
      <c r="I298" s="353">
        <f t="shared" ref="I298" si="285">ROUND((H298+H299)/2,1)</f>
        <v>70.4</v>
      </c>
      <c r="J298" s="354">
        <f t="shared" ref="J298" si="286">(H298-H299)*100/I298</f>
        <v>0.269886363636381</v>
      </c>
      <c r="K298" s="361" t="s">
        <v>150</v>
      </c>
      <c r="L298" s="363">
        <f t="shared" ref="L298" si="287">H299-H298</f>
        <v>-0.190000000000012</v>
      </c>
    </row>
    <row r="299" spans="1:12">
      <c r="A299" s="336"/>
      <c r="B299" s="343"/>
      <c r="C299" s="362"/>
      <c r="D299" s="305">
        <v>10.8</v>
      </c>
      <c r="E299" s="303">
        <v>1.2589</v>
      </c>
      <c r="F299" s="305">
        <v>1</v>
      </c>
      <c r="G299" s="306">
        <v>6.1</v>
      </c>
      <c r="H299" s="306">
        <f t="shared" si="284"/>
        <v>70.32</v>
      </c>
      <c r="I299" s="358"/>
      <c r="J299" s="359"/>
      <c r="K299" s="360" t="s">
        <v>656</v>
      </c>
      <c r="L299" s="364"/>
    </row>
    <row r="300" spans="1:12">
      <c r="A300" s="334"/>
      <c r="B300" s="341" t="s">
        <v>796</v>
      </c>
      <c r="C300" s="344" t="s">
        <v>797</v>
      </c>
      <c r="D300" s="305">
        <v>11.4</v>
      </c>
      <c r="E300" s="303">
        <v>1.4607</v>
      </c>
      <c r="F300" s="305">
        <v>1</v>
      </c>
      <c r="G300" s="306">
        <v>5.75</v>
      </c>
      <c r="H300" s="306">
        <f t="shared" ref="H300:H301" si="288">ROUND(D300*100*F300*250*100/50/E300/G300/1000,2)</f>
        <v>67.87</v>
      </c>
      <c r="I300" s="353">
        <f t="shared" ref="I300" si="289">ROUND((H300+H301)/2,1)</f>
        <v>68.5</v>
      </c>
      <c r="J300" s="354">
        <f t="shared" ref="J300" si="290">(H300-H301)*100/I300</f>
        <v>-1.83941605839415</v>
      </c>
      <c r="K300" s="361" t="s">
        <v>150</v>
      </c>
      <c r="L300" s="363">
        <f t="shared" ref="L300" si="291">H301-H300</f>
        <v>1.25999999999999</v>
      </c>
    </row>
    <row r="301" spans="1:12">
      <c r="A301" s="336"/>
      <c r="B301" s="343"/>
      <c r="C301" s="362"/>
      <c r="D301" s="305">
        <v>11.4</v>
      </c>
      <c r="E301" s="303">
        <v>1.2589</v>
      </c>
      <c r="F301" s="305">
        <v>1</v>
      </c>
      <c r="G301" s="306">
        <v>6.55</v>
      </c>
      <c r="H301" s="306">
        <f t="shared" si="288"/>
        <v>69.13</v>
      </c>
      <c r="I301" s="358"/>
      <c r="J301" s="359"/>
      <c r="K301" s="360" t="s">
        <v>656</v>
      </c>
      <c r="L301" s="364"/>
    </row>
    <row r="302" spans="1:12">
      <c r="A302" s="334"/>
      <c r="B302" s="341" t="s">
        <v>798</v>
      </c>
      <c r="C302" s="344" t="s">
        <v>734</v>
      </c>
      <c r="D302" s="305">
        <v>11.4</v>
      </c>
      <c r="E302" s="303">
        <v>1.0719</v>
      </c>
      <c r="F302" s="305">
        <v>1</v>
      </c>
      <c r="G302" s="306">
        <v>7.4</v>
      </c>
      <c r="H302" s="306">
        <f t="shared" ref="H302:H303" si="292">ROUND(D302*100*F302*250*100/50/E302/G302/1000,2)</f>
        <v>71.86</v>
      </c>
      <c r="I302" s="353">
        <f t="shared" ref="I302" si="293">ROUND((H302+H303)/2,1)</f>
        <v>72.7</v>
      </c>
      <c r="J302" s="354">
        <f t="shared" ref="J302" si="294">(H302-H303)*100/I302</f>
        <v>-2.18707015130674</v>
      </c>
      <c r="K302" s="361" t="s">
        <v>150</v>
      </c>
      <c r="L302" s="363">
        <f t="shared" ref="L302" si="295">H303-H302</f>
        <v>1.59</v>
      </c>
    </row>
    <row r="303" spans="1:12">
      <c r="A303" s="336"/>
      <c r="B303" s="343"/>
      <c r="C303" s="362"/>
      <c r="D303" s="305">
        <v>11.4</v>
      </c>
      <c r="E303" s="303">
        <v>1.1087</v>
      </c>
      <c r="F303" s="305">
        <v>1</v>
      </c>
      <c r="G303" s="306">
        <v>7</v>
      </c>
      <c r="H303" s="306">
        <f t="shared" si="292"/>
        <v>73.45</v>
      </c>
      <c r="I303" s="358"/>
      <c r="J303" s="359"/>
      <c r="K303" s="360" t="s">
        <v>656</v>
      </c>
      <c r="L303" s="364"/>
    </row>
    <row r="305" spans="1:12">
      <c r="A305" s="334"/>
      <c r="B305" s="341" t="s">
        <v>799</v>
      </c>
      <c r="C305" s="344" t="s">
        <v>179</v>
      </c>
      <c r="D305" s="305">
        <v>11.4</v>
      </c>
      <c r="E305" s="303">
        <v>1.7796</v>
      </c>
      <c r="F305" s="305">
        <v>2</v>
      </c>
      <c r="G305" s="306">
        <v>9.15</v>
      </c>
      <c r="H305" s="306">
        <f t="shared" ref="H305:H308" si="296">ROUND(D305*100*F305*250*100/50/E305/G305/1000,2)</f>
        <v>70.01</v>
      </c>
      <c r="I305" s="353">
        <f t="shared" ref="I305" si="297">ROUND((H305+H306)/2,1)</f>
        <v>70.5</v>
      </c>
      <c r="J305" s="354">
        <f t="shared" ref="J305" si="298">(H305-H306)*100/I305</f>
        <v>-1.34751773049644</v>
      </c>
      <c r="K305" s="361" t="s">
        <v>150</v>
      </c>
      <c r="L305" s="363">
        <f t="shared" ref="L305" si="299">H306-H305</f>
        <v>0.949999999999989</v>
      </c>
    </row>
    <row r="306" spans="1:12">
      <c r="A306" s="336"/>
      <c r="B306" s="343"/>
      <c r="C306" s="362"/>
      <c r="D306" s="305">
        <v>11.4</v>
      </c>
      <c r="E306" s="303">
        <v>1.8052</v>
      </c>
      <c r="F306" s="305">
        <v>2</v>
      </c>
      <c r="G306" s="306">
        <v>8.9</v>
      </c>
      <c r="H306" s="306">
        <f t="shared" si="296"/>
        <v>70.96</v>
      </c>
      <c r="I306" s="358"/>
      <c r="J306" s="359"/>
      <c r="K306" s="360" t="s">
        <v>656</v>
      </c>
      <c r="L306" s="364"/>
    </row>
    <row r="307" spans="1:12">
      <c r="A307" s="334"/>
      <c r="B307" s="341" t="s">
        <v>800</v>
      </c>
      <c r="C307" s="344" t="s">
        <v>179</v>
      </c>
      <c r="D307" s="305">
        <v>11.4</v>
      </c>
      <c r="E307" s="303">
        <v>1.165</v>
      </c>
      <c r="F307" s="305">
        <v>1</v>
      </c>
      <c r="G307" s="306">
        <v>7.2</v>
      </c>
      <c r="H307" s="306">
        <f t="shared" si="296"/>
        <v>67.95</v>
      </c>
      <c r="I307" s="353">
        <f t="shared" ref="I307" si="300">ROUND((H307+H308)/2,1)</f>
        <v>68.5</v>
      </c>
      <c r="J307" s="354">
        <f t="shared" ref="J307" si="301">(H307-H308)*100/I307</f>
        <v>-1.70802919708029</v>
      </c>
      <c r="K307" s="361" t="s">
        <v>150</v>
      </c>
      <c r="L307" s="363">
        <f t="shared" ref="L307" si="302">H308-H307</f>
        <v>1.17</v>
      </c>
    </row>
    <row r="308" spans="1:12">
      <c r="A308" s="336"/>
      <c r="B308" s="343"/>
      <c r="C308" s="362"/>
      <c r="D308" s="305">
        <v>11.4</v>
      </c>
      <c r="E308" s="303">
        <v>1.122</v>
      </c>
      <c r="F308" s="305">
        <v>1</v>
      </c>
      <c r="G308" s="306">
        <v>7.35</v>
      </c>
      <c r="H308" s="306">
        <f t="shared" si="296"/>
        <v>69.12</v>
      </c>
      <c r="I308" s="358"/>
      <c r="J308" s="359"/>
      <c r="K308" s="360" t="s">
        <v>656</v>
      </c>
      <c r="L308" s="364"/>
    </row>
    <row r="309" spans="1:12">
      <c r="A309" s="334"/>
      <c r="B309" s="341" t="s">
        <v>801</v>
      </c>
      <c r="C309" s="344" t="s">
        <v>802</v>
      </c>
      <c r="D309" s="305">
        <v>11.4</v>
      </c>
      <c r="E309" s="303">
        <v>2.8465</v>
      </c>
      <c r="F309" s="305">
        <v>1</v>
      </c>
      <c r="G309" s="306">
        <v>12.05</v>
      </c>
      <c r="H309" s="306">
        <f t="shared" ref="H309:H310" si="303">ROUND(D309*100*F309*250*100/50/E309/G309/1000,2)</f>
        <v>16.62</v>
      </c>
      <c r="I309" s="353">
        <f t="shared" ref="I309" si="304">ROUND((H309+H310)/2,1)</f>
        <v>16.8</v>
      </c>
      <c r="J309" s="354">
        <f t="shared" ref="J309" si="305">(H309-H310)*100/I309</f>
        <v>-2.08333333333332</v>
      </c>
      <c r="K309" s="361" t="s">
        <v>150</v>
      </c>
      <c r="L309" s="363">
        <f t="shared" ref="L309" si="306">H310-H309</f>
        <v>0.349999999999998</v>
      </c>
    </row>
    <row r="310" spans="1:12">
      <c r="A310" s="336"/>
      <c r="B310" s="343"/>
      <c r="C310" s="362"/>
      <c r="D310" s="305">
        <v>11.4</v>
      </c>
      <c r="E310" s="303">
        <v>3.0258</v>
      </c>
      <c r="F310" s="305">
        <v>1</v>
      </c>
      <c r="G310" s="306">
        <v>11.1</v>
      </c>
      <c r="H310" s="306">
        <f t="shared" si="303"/>
        <v>16.97</v>
      </c>
      <c r="I310" s="358"/>
      <c r="J310" s="359"/>
      <c r="K310" s="360" t="s">
        <v>656</v>
      </c>
      <c r="L310" s="364"/>
    </row>
    <row r="311" spans="1:12">
      <c r="A311" s="334"/>
      <c r="B311" s="341" t="s">
        <v>803</v>
      </c>
      <c r="C311" s="344" t="s">
        <v>804</v>
      </c>
      <c r="D311" s="305">
        <v>11.4</v>
      </c>
      <c r="E311" s="303">
        <v>1.1591</v>
      </c>
      <c r="F311" s="305">
        <v>1</v>
      </c>
      <c r="G311" s="306">
        <v>8.8</v>
      </c>
      <c r="H311" s="306">
        <f t="shared" ref="H311:H312" si="307">ROUND(D311*100*F311*250*100/50/E311/G311/1000,2)</f>
        <v>55.88</v>
      </c>
      <c r="I311" s="353">
        <f t="shared" ref="I311" si="308">ROUND((H311+H312)/2,1)</f>
        <v>55.4</v>
      </c>
      <c r="J311" s="354">
        <f t="shared" ref="J311" si="309">(H311-H312)*100/I311</f>
        <v>1.60649819494585</v>
      </c>
      <c r="K311" s="361" t="s">
        <v>150</v>
      </c>
      <c r="L311" s="363">
        <f t="shared" ref="L311" si="310">H312-H311</f>
        <v>-0.890000000000001</v>
      </c>
    </row>
    <row r="312" spans="1:12">
      <c r="A312" s="336"/>
      <c r="B312" s="343"/>
      <c r="C312" s="362"/>
      <c r="D312" s="305">
        <v>11.4</v>
      </c>
      <c r="E312" s="303">
        <v>1.2053</v>
      </c>
      <c r="F312" s="305">
        <v>1</v>
      </c>
      <c r="G312" s="306">
        <v>8.6</v>
      </c>
      <c r="H312" s="306">
        <f t="shared" si="307"/>
        <v>54.99</v>
      </c>
      <c r="I312" s="358"/>
      <c r="J312" s="359"/>
      <c r="K312" s="360" t="s">
        <v>656</v>
      </c>
      <c r="L312" s="364"/>
    </row>
    <row r="313" spans="1:12">
      <c r="A313" s="334"/>
      <c r="B313" s="341" t="s">
        <v>805</v>
      </c>
      <c r="C313" s="344"/>
      <c r="D313" s="305">
        <v>11.4</v>
      </c>
      <c r="E313" s="303">
        <v>2.981</v>
      </c>
      <c r="F313" s="305">
        <v>2</v>
      </c>
      <c r="G313" s="306">
        <v>9.95</v>
      </c>
      <c r="H313" s="306">
        <f t="shared" ref="H313:H314" si="311">ROUND(D313*100*F313*250*100/50/E313/G313/1000,2)</f>
        <v>38.43</v>
      </c>
      <c r="I313" s="353">
        <f t="shared" ref="I313" si="312">ROUND((H313+H314)/2,1)</f>
        <v>38.4</v>
      </c>
      <c r="J313" s="354">
        <f t="shared" ref="J313" si="313">(H313-H314)*100/I313</f>
        <v>0.182291666666667</v>
      </c>
      <c r="K313" s="361" t="s">
        <v>150</v>
      </c>
      <c r="L313" s="363">
        <f t="shared" ref="L313" si="314">H314-H313</f>
        <v>-0.0700000000000003</v>
      </c>
    </row>
    <row r="314" spans="1:12">
      <c r="A314" s="336"/>
      <c r="B314" s="343"/>
      <c r="C314" s="362"/>
      <c r="D314" s="305">
        <v>11.4</v>
      </c>
      <c r="E314" s="303">
        <v>2.5841</v>
      </c>
      <c r="F314" s="305">
        <v>2</v>
      </c>
      <c r="G314" s="306">
        <v>11.5</v>
      </c>
      <c r="H314" s="306">
        <f t="shared" si="311"/>
        <v>38.36</v>
      </c>
      <c r="I314" s="358"/>
      <c r="J314" s="359"/>
      <c r="K314" s="360" t="s">
        <v>656</v>
      </c>
      <c r="L314" s="364"/>
    </row>
    <row r="315" spans="1:12">
      <c r="A315" s="334"/>
      <c r="B315" s="341" t="s">
        <v>806</v>
      </c>
      <c r="C315" s="344"/>
      <c r="D315" s="305">
        <v>11.4</v>
      </c>
      <c r="E315" s="303">
        <v>2.4327</v>
      </c>
      <c r="F315" s="305">
        <v>2</v>
      </c>
      <c r="G315" s="306">
        <v>8.95</v>
      </c>
      <c r="H315" s="306">
        <f t="shared" ref="H315:H318" si="315">ROUND(D315*100*F315*250*100/50/E315/G315/1000,2)</f>
        <v>52.36</v>
      </c>
      <c r="I315" s="353">
        <f t="shared" ref="I315" si="316">ROUND((H315+H316)/2,1)</f>
        <v>46.6</v>
      </c>
      <c r="J315" s="354">
        <f t="shared" ref="J315" si="317">(H315-H316)*100/I315</f>
        <v>24.9141630901288</v>
      </c>
      <c r="K315" s="361" t="s">
        <v>150</v>
      </c>
      <c r="L315" s="363">
        <f t="shared" ref="L315" si="318">H316-H315</f>
        <v>-11.61</v>
      </c>
    </row>
    <row r="316" spans="1:12">
      <c r="A316" s="336"/>
      <c r="B316" s="343"/>
      <c r="C316" s="362"/>
      <c r="D316" s="305">
        <v>11.4</v>
      </c>
      <c r="E316" s="303">
        <v>2.4327</v>
      </c>
      <c r="F316" s="305">
        <v>2</v>
      </c>
      <c r="G316" s="306">
        <v>11.5</v>
      </c>
      <c r="H316" s="306">
        <f t="shared" si="315"/>
        <v>40.75</v>
      </c>
      <c r="I316" s="358"/>
      <c r="J316" s="359"/>
      <c r="K316" s="360" t="s">
        <v>656</v>
      </c>
      <c r="L316" s="364"/>
    </row>
    <row r="317" spans="1:12">
      <c r="A317" s="334"/>
      <c r="B317" s="341" t="s">
        <v>807</v>
      </c>
      <c r="C317" s="344"/>
      <c r="D317" s="305">
        <v>11.3</v>
      </c>
      <c r="E317" s="303">
        <v>2.9053</v>
      </c>
      <c r="F317" s="305">
        <v>1</v>
      </c>
      <c r="G317" s="306">
        <v>6.2</v>
      </c>
      <c r="H317" s="306">
        <f t="shared" si="315"/>
        <v>31.37</v>
      </c>
      <c r="I317" s="353">
        <f t="shared" ref="I317" si="319">ROUND((H317+H318)/2,1)</f>
        <v>31.2</v>
      </c>
      <c r="J317" s="354">
        <f t="shared" ref="J317" si="320">(H317-H318)*100/I317</f>
        <v>0.929487179487188</v>
      </c>
      <c r="K317" s="361" t="s">
        <v>150</v>
      </c>
      <c r="L317" s="363">
        <f t="shared" ref="L317" si="321">H318-H317</f>
        <v>-0.290000000000003</v>
      </c>
    </row>
    <row r="318" spans="1:12">
      <c r="A318" s="336"/>
      <c r="B318" s="343"/>
      <c r="C318" s="362"/>
      <c r="D318" s="305">
        <v>11.3</v>
      </c>
      <c r="E318" s="303">
        <v>2.8855</v>
      </c>
      <c r="F318" s="305">
        <v>1</v>
      </c>
      <c r="G318" s="306">
        <v>6.3</v>
      </c>
      <c r="H318" s="306">
        <f t="shared" si="315"/>
        <v>31.08</v>
      </c>
      <c r="I318" s="358"/>
      <c r="J318" s="359"/>
      <c r="K318" s="360" t="s">
        <v>656</v>
      </c>
      <c r="L318" s="364"/>
    </row>
    <row r="319" spans="1:12">
      <c r="A319" s="334"/>
      <c r="B319" s="341" t="s">
        <v>808</v>
      </c>
      <c r="C319" s="344"/>
      <c r="D319" s="305">
        <v>11.3</v>
      </c>
      <c r="E319" s="303">
        <v>2.2268</v>
      </c>
      <c r="F319" s="305">
        <v>2</v>
      </c>
      <c r="G319" s="306">
        <v>9.1</v>
      </c>
      <c r="H319" s="306">
        <f t="shared" ref="H319:H320" si="322">ROUND(D319*100*F319*250*100/50/E319/G319/1000,2)</f>
        <v>55.76</v>
      </c>
      <c r="I319" s="353">
        <f t="shared" ref="I319" si="323">ROUND((H319+H320)/2,1)</f>
        <v>54.9</v>
      </c>
      <c r="J319" s="354">
        <f t="shared" ref="J319" si="324">(H319-H320)*100/I319</f>
        <v>3.00546448087431</v>
      </c>
      <c r="K319" s="361" t="s">
        <v>150</v>
      </c>
      <c r="L319" s="363">
        <f t="shared" ref="L319" si="325">H320-H319</f>
        <v>-1.65</v>
      </c>
    </row>
    <row r="320" spans="1:12">
      <c r="A320" s="336"/>
      <c r="B320" s="343"/>
      <c r="C320" s="362"/>
      <c r="D320" s="305">
        <v>11.3</v>
      </c>
      <c r="E320" s="303">
        <v>2.295</v>
      </c>
      <c r="F320" s="305">
        <v>2</v>
      </c>
      <c r="G320" s="306">
        <v>9.1</v>
      </c>
      <c r="H320" s="306">
        <f t="shared" si="322"/>
        <v>54.11</v>
      </c>
      <c r="I320" s="358"/>
      <c r="J320" s="359"/>
      <c r="K320" s="360" t="s">
        <v>656</v>
      </c>
      <c r="L320" s="364"/>
    </row>
    <row r="321" spans="1:12">
      <c r="A321" s="334"/>
      <c r="B321" s="341" t="s">
        <v>809</v>
      </c>
      <c r="C321" s="344"/>
      <c r="D321" s="305">
        <v>11.3</v>
      </c>
      <c r="E321" s="303">
        <v>1.3413</v>
      </c>
      <c r="F321" s="305">
        <v>1</v>
      </c>
      <c r="G321" s="306">
        <v>6.75</v>
      </c>
      <c r="H321" s="306">
        <f t="shared" ref="H321:H322" si="326">ROUND(D321*100*F321*250*100/50/E321/G321/1000,2)</f>
        <v>62.4</v>
      </c>
      <c r="I321" s="353">
        <f t="shared" ref="I321" si="327">ROUND((H321+H322)/2,1)</f>
        <v>62.3</v>
      </c>
      <c r="J321" s="354">
        <f t="shared" ref="J321" si="328">(H321-H322)*100/I321</f>
        <v>0.176565008025681</v>
      </c>
      <c r="K321" s="361" t="s">
        <v>150</v>
      </c>
      <c r="L321" s="363">
        <f t="shared" ref="L321" si="329">H322-H321</f>
        <v>-0.109999999999999</v>
      </c>
    </row>
    <row r="322" spans="1:12">
      <c r="A322" s="336"/>
      <c r="B322" s="343"/>
      <c r="C322" s="362"/>
      <c r="D322" s="305">
        <v>11.3</v>
      </c>
      <c r="E322" s="303">
        <v>1.2597</v>
      </c>
      <c r="F322" s="305">
        <v>1</v>
      </c>
      <c r="G322" s="306">
        <v>7.2</v>
      </c>
      <c r="H322" s="306">
        <f t="shared" si="326"/>
        <v>62.29</v>
      </c>
      <c r="I322" s="358"/>
      <c r="J322" s="359"/>
      <c r="K322" s="360" t="s">
        <v>656</v>
      </c>
      <c r="L322" s="364"/>
    </row>
    <row r="324" spans="1:12">
      <c r="A324" s="334"/>
      <c r="B324" s="341" t="s">
        <v>810</v>
      </c>
      <c r="C324" s="344"/>
      <c r="D324" s="305">
        <v>11.3</v>
      </c>
      <c r="E324" s="303">
        <v>1.5908</v>
      </c>
      <c r="F324" s="305">
        <v>1</v>
      </c>
      <c r="G324" s="306">
        <v>9.45</v>
      </c>
      <c r="H324" s="306">
        <f t="shared" ref="H324:H331" si="330">ROUND(D324*100*F324*250*100/50/E324/G324/1000,2)</f>
        <v>37.58</v>
      </c>
      <c r="I324" s="353">
        <f t="shared" ref="I324" si="331">ROUND((H324+H325)/2,1)</f>
        <v>37.4</v>
      </c>
      <c r="J324" s="354">
        <f t="shared" ref="J324" si="332">(H324-H325)*100/I324</f>
        <v>0.748663101604281</v>
      </c>
      <c r="K324" s="361" t="s">
        <v>150</v>
      </c>
      <c r="L324" s="363">
        <f t="shared" ref="L324" si="333">H325-H324</f>
        <v>-0.280000000000001</v>
      </c>
    </row>
    <row r="325" spans="1:12">
      <c r="A325" s="336"/>
      <c r="B325" s="343"/>
      <c r="C325" s="362"/>
      <c r="D325" s="305">
        <v>11.3</v>
      </c>
      <c r="E325" s="303">
        <v>1.6027</v>
      </c>
      <c r="F325" s="305">
        <v>1</v>
      </c>
      <c r="G325" s="306">
        <v>9.45</v>
      </c>
      <c r="H325" s="306">
        <f t="shared" si="330"/>
        <v>37.3</v>
      </c>
      <c r="I325" s="358"/>
      <c r="J325" s="359"/>
      <c r="K325" s="360" t="s">
        <v>656</v>
      </c>
      <c r="L325" s="364"/>
    </row>
    <row r="326" spans="1:12">
      <c r="A326" s="334"/>
      <c r="B326" s="341" t="s">
        <v>811</v>
      </c>
      <c r="C326" s="344"/>
      <c r="D326" s="305">
        <v>11.3</v>
      </c>
      <c r="E326" s="40">
        <v>1.4105</v>
      </c>
      <c r="F326" s="305">
        <v>1</v>
      </c>
      <c r="G326" s="306">
        <v>10.7</v>
      </c>
      <c r="H326" s="306">
        <f t="shared" si="330"/>
        <v>37.44</v>
      </c>
      <c r="I326" s="353">
        <f t="shared" ref="I326" si="334">ROUND((H326+H327)/2,1)</f>
        <v>37.3</v>
      </c>
      <c r="J326" s="354">
        <f t="shared" ref="J326" si="335">(H326-H327)*100/I326</f>
        <v>0.777479892761392</v>
      </c>
      <c r="K326" s="361" t="s">
        <v>150</v>
      </c>
      <c r="L326" s="363">
        <f t="shared" ref="L326" si="336">H327-H326</f>
        <v>-0.289999999999999</v>
      </c>
    </row>
    <row r="327" spans="1:12">
      <c r="A327" s="336"/>
      <c r="B327" s="343"/>
      <c r="C327" s="362"/>
      <c r="D327" s="305">
        <v>11.3</v>
      </c>
      <c r="E327" s="40">
        <v>1.4214</v>
      </c>
      <c r="F327" s="305">
        <v>1</v>
      </c>
      <c r="G327" s="306">
        <v>10.7</v>
      </c>
      <c r="H327" s="306">
        <f t="shared" si="330"/>
        <v>37.15</v>
      </c>
      <c r="I327" s="358"/>
      <c r="J327" s="359"/>
      <c r="K327" s="360" t="s">
        <v>656</v>
      </c>
      <c r="L327" s="364"/>
    </row>
    <row r="328" spans="1:12">
      <c r="A328" s="334"/>
      <c r="B328" s="341" t="s">
        <v>812</v>
      </c>
      <c r="C328" s="344"/>
      <c r="D328" s="305">
        <v>11.3</v>
      </c>
      <c r="E328" s="40">
        <v>1.6863</v>
      </c>
      <c r="F328" s="305">
        <v>1</v>
      </c>
      <c r="G328" s="306">
        <v>7.8</v>
      </c>
      <c r="H328" s="306">
        <f t="shared" si="330"/>
        <v>42.96</v>
      </c>
      <c r="I328" s="353">
        <f t="shared" ref="I328" si="337">ROUND((H328+H329)/2,1)</f>
        <v>42.6</v>
      </c>
      <c r="J328" s="354">
        <f t="shared" ref="J328" si="338">(H328-H329)*100/I328</f>
        <v>1.76056338028169</v>
      </c>
      <c r="K328" s="361" t="s">
        <v>150</v>
      </c>
      <c r="L328" s="363">
        <f t="shared" ref="L328" si="339">H329-H328</f>
        <v>-0.75</v>
      </c>
    </row>
    <row r="329" spans="1:12">
      <c r="A329" s="336"/>
      <c r="B329" s="343"/>
      <c r="C329" s="362"/>
      <c r="D329" s="305">
        <v>11.3</v>
      </c>
      <c r="E329" s="40">
        <v>1.521</v>
      </c>
      <c r="F329" s="305">
        <v>1</v>
      </c>
      <c r="G329" s="306">
        <v>8.8</v>
      </c>
      <c r="H329" s="306">
        <f t="shared" si="330"/>
        <v>42.21</v>
      </c>
      <c r="I329" s="358"/>
      <c r="J329" s="359"/>
      <c r="K329" s="360" t="s">
        <v>656</v>
      </c>
      <c r="L329" s="364"/>
    </row>
    <row r="330" spans="1:12">
      <c r="A330" s="334"/>
      <c r="B330" s="341" t="s">
        <v>813</v>
      </c>
      <c r="C330" s="344"/>
      <c r="D330" s="305">
        <v>11.3</v>
      </c>
      <c r="E330" s="303">
        <v>1.4083</v>
      </c>
      <c r="F330" s="305">
        <v>1</v>
      </c>
      <c r="G330" s="306">
        <v>8.45</v>
      </c>
      <c r="H330" s="306">
        <f t="shared" si="330"/>
        <v>47.48</v>
      </c>
      <c r="I330" s="353">
        <f t="shared" ref="I330" si="340">ROUND((H330+H331)/2,1)</f>
        <v>47.2</v>
      </c>
      <c r="J330" s="354">
        <f t="shared" ref="J330" si="341">(H330-H331)*100/I330</f>
        <v>1.01694915254237</v>
      </c>
      <c r="K330" s="361" t="s">
        <v>150</v>
      </c>
      <c r="L330" s="363">
        <f t="shared" ref="L330" si="342">H331-H330</f>
        <v>-0.479999999999997</v>
      </c>
    </row>
    <row r="331" spans="1:12">
      <c r="A331" s="336"/>
      <c r="B331" s="343"/>
      <c r="C331" s="362"/>
      <c r="D331" s="305">
        <v>11.3</v>
      </c>
      <c r="E331" s="303">
        <v>1.5028</v>
      </c>
      <c r="F331" s="305">
        <v>1</v>
      </c>
      <c r="G331" s="306">
        <v>8</v>
      </c>
      <c r="H331" s="306">
        <f t="shared" si="330"/>
        <v>47</v>
      </c>
      <c r="I331" s="358"/>
      <c r="J331" s="359"/>
      <c r="K331" s="360" t="s">
        <v>656</v>
      </c>
      <c r="L331" s="364"/>
    </row>
    <row r="332" spans="1:12">
      <c r="A332" s="334"/>
      <c r="B332" s="341" t="s">
        <v>814</v>
      </c>
      <c r="C332" s="344"/>
      <c r="D332" s="305">
        <v>11.3</v>
      </c>
      <c r="E332" s="303">
        <v>1.4417</v>
      </c>
      <c r="F332" s="305">
        <v>1</v>
      </c>
      <c r="G332" s="306">
        <v>7.2</v>
      </c>
      <c r="H332" s="306">
        <f t="shared" ref="H332:H338" si="343">ROUND(D332*100*F332*250*100/50/E332/G332/1000,2)</f>
        <v>54.43</v>
      </c>
      <c r="I332" s="353">
        <f t="shared" ref="I332" si="344">ROUND((H332+H333)/2,1)</f>
        <v>54.7</v>
      </c>
      <c r="J332" s="354">
        <f t="shared" ref="J332" si="345">(H332-H333)*100/I332</f>
        <v>-1.07861060329068</v>
      </c>
      <c r="K332" s="361" t="s">
        <v>150</v>
      </c>
      <c r="L332" s="363">
        <f t="shared" ref="L332" si="346">H333-H332</f>
        <v>0.590000000000003</v>
      </c>
    </row>
    <row r="333" spans="1:12">
      <c r="A333" s="336"/>
      <c r="B333" s="343"/>
      <c r="C333" s="362"/>
      <c r="D333" s="305">
        <v>11.3</v>
      </c>
      <c r="E333" s="303">
        <v>1.3251</v>
      </c>
      <c r="F333" s="305">
        <v>1</v>
      </c>
      <c r="G333" s="306">
        <v>7.75</v>
      </c>
      <c r="H333" s="306">
        <f t="shared" si="343"/>
        <v>55.02</v>
      </c>
      <c r="I333" s="358"/>
      <c r="J333" s="359"/>
      <c r="K333" s="360" t="s">
        <v>656</v>
      </c>
      <c r="L333" s="364"/>
    </row>
    <row r="334" spans="1:12">
      <c r="A334" s="334"/>
      <c r="B334" s="341" t="s">
        <v>815</v>
      </c>
      <c r="C334" s="344"/>
      <c r="D334" s="305">
        <v>11.3</v>
      </c>
      <c r="E334" s="303">
        <v>1.2936</v>
      </c>
      <c r="F334" s="305">
        <v>1</v>
      </c>
      <c r="G334" s="306">
        <v>8.3</v>
      </c>
      <c r="H334" s="306">
        <f t="shared" si="343"/>
        <v>52.62</v>
      </c>
      <c r="I334" s="353">
        <f t="shared" ref="I334" si="347">ROUND((H334+H335)/2,1)</f>
        <v>52.9</v>
      </c>
      <c r="J334" s="354">
        <f t="shared" ref="J334" si="348">(H334-H335)*100/I334</f>
        <v>-1.19092627599244</v>
      </c>
      <c r="K334" s="361" t="s">
        <v>150</v>
      </c>
      <c r="L334" s="363">
        <f t="shared" ref="L334" si="349">H335-H334</f>
        <v>0.630000000000003</v>
      </c>
    </row>
    <row r="335" spans="1:12">
      <c r="A335" s="336"/>
      <c r="B335" s="343"/>
      <c r="C335" s="362"/>
      <c r="D335" s="305">
        <v>11.3</v>
      </c>
      <c r="E335" s="303">
        <v>1.1988</v>
      </c>
      <c r="F335" s="305">
        <v>1</v>
      </c>
      <c r="G335" s="306">
        <v>8.85</v>
      </c>
      <c r="H335" s="306">
        <f t="shared" si="343"/>
        <v>53.25</v>
      </c>
      <c r="I335" s="358"/>
      <c r="J335" s="359"/>
      <c r="K335" s="360" t="s">
        <v>656</v>
      </c>
      <c r="L335" s="364"/>
    </row>
    <row r="336" spans="1:12">
      <c r="A336" s="334"/>
      <c r="B336" s="341" t="s">
        <v>816</v>
      </c>
      <c r="C336" s="344"/>
      <c r="D336" s="305">
        <v>11.3</v>
      </c>
      <c r="E336" s="303">
        <v>1.6189</v>
      </c>
      <c r="F336" s="305">
        <v>1</v>
      </c>
      <c r="G336" s="306">
        <v>9.5</v>
      </c>
      <c r="H336" s="306">
        <f t="shared" si="343"/>
        <v>36.74</v>
      </c>
      <c r="I336" s="353">
        <f t="shared" ref="I336" si="350">ROUND((H336+H337)/2,1)</f>
        <v>36.5</v>
      </c>
      <c r="J336" s="354">
        <f t="shared" ref="J336" si="351">(H336-H337)*100/I336</f>
        <v>1.5068493150685</v>
      </c>
      <c r="K336" s="361" t="s">
        <v>150</v>
      </c>
      <c r="L336" s="363">
        <f t="shared" ref="L336" si="352">H337-H336</f>
        <v>-0.550000000000004</v>
      </c>
    </row>
    <row r="337" spans="1:12">
      <c r="A337" s="336"/>
      <c r="B337" s="343"/>
      <c r="C337" s="362"/>
      <c r="D337" s="305">
        <v>11.3</v>
      </c>
      <c r="E337" s="303">
        <v>1.725</v>
      </c>
      <c r="F337" s="305">
        <v>1</v>
      </c>
      <c r="G337" s="306">
        <v>9.05</v>
      </c>
      <c r="H337" s="306">
        <f t="shared" si="343"/>
        <v>36.19</v>
      </c>
      <c r="I337" s="358"/>
      <c r="J337" s="359"/>
      <c r="K337" s="360" t="s">
        <v>656</v>
      </c>
      <c r="L337" s="364"/>
    </row>
    <row r="338" spans="1:12">
      <c r="A338" s="334"/>
      <c r="B338" s="341" t="s">
        <v>817</v>
      </c>
      <c r="C338" s="344"/>
      <c r="D338" s="305">
        <v>11.3</v>
      </c>
      <c r="E338" s="303">
        <v>1.1869</v>
      </c>
      <c r="F338" s="305">
        <v>1</v>
      </c>
      <c r="G338" s="306">
        <v>8.45</v>
      </c>
      <c r="H338" s="306">
        <f t="shared" si="343"/>
        <v>56.33</v>
      </c>
      <c r="I338" s="353">
        <f t="shared" ref="I338" si="353">ROUND((H338+H339)/2,1)</f>
        <v>56.2</v>
      </c>
      <c r="J338" s="354">
        <f t="shared" ref="J338" si="354">(H338-H339)*100/I338</f>
        <v>0.53380782918149</v>
      </c>
      <c r="K338" s="361" t="s">
        <v>150</v>
      </c>
      <c r="L338" s="363">
        <f t="shared" ref="L338" si="355">H339-H338</f>
        <v>-0.299999999999997</v>
      </c>
    </row>
    <row r="339" spans="1:12">
      <c r="A339" s="336"/>
      <c r="B339" s="343"/>
      <c r="C339" s="362"/>
      <c r="D339" s="305">
        <v>11.3</v>
      </c>
      <c r="E339" s="303">
        <v>1.0289</v>
      </c>
      <c r="F339" s="305">
        <v>1</v>
      </c>
      <c r="G339" s="306">
        <v>9.8</v>
      </c>
      <c r="H339" s="306">
        <f t="shared" ref="H339:H340" si="356">ROUND(D339*100*F339*250*100/50/E339/G339/1000,2)</f>
        <v>56.03</v>
      </c>
      <c r="I339" s="358"/>
      <c r="J339" s="359"/>
      <c r="K339" s="360" t="s">
        <v>656</v>
      </c>
      <c r="L339" s="364"/>
    </row>
    <row r="340" spans="1:12">
      <c r="A340" s="334"/>
      <c r="B340" s="341" t="s">
        <v>818</v>
      </c>
      <c r="C340" s="344"/>
      <c r="D340" s="305">
        <v>11.3</v>
      </c>
      <c r="E340" s="303">
        <v>1.4143</v>
      </c>
      <c r="F340" s="305">
        <v>1</v>
      </c>
      <c r="G340" s="306">
        <v>6.6</v>
      </c>
      <c r="H340" s="306">
        <f t="shared" si="356"/>
        <v>60.53</v>
      </c>
      <c r="I340" s="353">
        <f t="shared" ref="I340" si="357">ROUND((H340+H341)/2,1)</f>
        <v>60</v>
      </c>
      <c r="J340" s="354">
        <f t="shared" ref="J340" si="358">(H340-H341)*100/I340</f>
        <v>1.86666666666667</v>
      </c>
      <c r="K340" s="361" t="s">
        <v>150</v>
      </c>
      <c r="L340" s="363">
        <f t="shared" ref="L340" si="359">H341-H340</f>
        <v>-1.12</v>
      </c>
    </row>
    <row r="341" spans="1:12">
      <c r="A341" s="336"/>
      <c r="B341" s="343"/>
      <c r="C341" s="362"/>
      <c r="D341" s="305">
        <v>11.3</v>
      </c>
      <c r="E341" s="303">
        <v>1.1963</v>
      </c>
      <c r="F341" s="305">
        <v>1</v>
      </c>
      <c r="G341" s="306">
        <v>7.95</v>
      </c>
      <c r="H341" s="306">
        <f t="shared" ref="H341:H342" si="360">ROUND(D341*100*F341*250*100/50/E341/G341/1000,2)</f>
        <v>59.41</v>
      </c>
      <c r="I341" s="358"/>
      <c r="J341" s="359"/>
      <c r="K341" s="360" t="s">
        <v>656</v>
      </c>
      <c r="L341" s="364"/>
    </row>
    <row r="342" spans="1:12">
      <c r="A342" s="334"/>
      <c r="B342" s="341" t="s">
        <v>819</v>
      </c>
      <c r="C342" s="344"/>
      <c r="D342" s="305">
        <v>11.3</v>
      </c>
      <c r="E342" s="303">
        <v>2.3808</v>
      </c>
      <c r="F342" s="305">
        <v>1</v>
      </c>
      <c r="G342" s="306">
        <v>11.35</v>
      </c>
      <c r="H342" s="306">
        <f t="shared" si="360"/>
        <v>20.91</v>
      </c>
      <c r="I342" s="353">
        <f t="shared" ref="I342" si="361">ROUND((H342+H343)/2,1)</f>
        <v>20.9</v>
      </c>
      <c r="J342" s="354">
        <f t="shared" ref="J342" si="362">(H342-H343)*100/I342</f>
        <v>0.287081339712913</v>
      </c>
      <c r="K342" s="361" t="s">
        <v>150</v>
      </c>
      <c r="L342" s="363">
        <f t="shared" ref="L342" si="363">H343-H342</f>
        <v>-0.0599999999999987</v>
      </c>
    </row>
    <row r="343" spans="1:12">
      <c r="A343" s="336"/>
      <c r="B343" s="343"/>
      <c r="C343" s="362"/>
      <c r="D343" s="305">
        <v>11.3</v>
      </c>
      <c r="E343" s="303">
        <v>2.5814</v>
      </c>
      <c r="F343" s="305">
        <v>1</v>
      </c>
      <c r="G343" s="306">
        <v>10.5</v>
      </c>
      <c r="H343" s="306">
        <f t="shared" ref="H343:H344" si="364">ROUND(D343*100*F343*250*100/50/E343/G343/1000,2)</f>
        <v>20.85</v>
      </c>
      <c r="I343" s="358"/>
      <c r="J343" s="359"/>
      <c r="K343" s="360" t="s">
        <v>656</v>
      </c>
      <c r="L343" s="364"/>
    </row>
    <row r="344" spans="1:12">
      <c r="A344" s="334"/>
      <c r="B344" s="341" t="s">
        <v>820</v>
      </c>
      <c r="C344" s="344"/>
      <c r="D344" s="305">
        <v>11.3</v>
      </c>
      <c r="E344" s="303">
        <v>2.3055</v>
      </c>
      <c r="F344" s="305">
        <v>1</v>
      </c>
      <c r="G344" s="306">
        <v>9.15</v>
      </c>
      <c r="H344" s="306">
        <f t="shared" si="364"/>
        <v>26.78</v>
      </c>
      <c r="I344" s="353">
        <f t="shared" ref="I344" si="365">ROUND((H344+H345)/2,1)</f>
        <v>26.7</v>
      </c>
      <c r="J344" s="354">
        <f t="shared" ref="J344" si="366">(H344-H345)*100/I344</f>
        <v>0.89887640449439</v>
      </c>
      <c r="K344" s="361" t="s">
        <v>150</v>
      </c>
      <c r="L344" s="363">
        <f t="shared" ref="L344" si="367">H345-H344</f>
        <v>-0.240000000000002</v>
      </c>
    </row>
    <row r="345" spans="1:12">
      <c r="A345" s="336"/>
      <c r="B345" s="343"/>
      <c r="C345" s="362"/>
      <c r="D345" s="305">
        <v>11.3</v>
      </c>
      <c r="E345" s="303">
        <v>2.4052</v>
      </c>
      <c r="F345" s="305">
        <v>1</v>
      </c>
      <c r="G345" s="306">
        <v>8.85</v>
      </c>
      <c r="H345" s="306">
        <f t="shared" ref="H345:H346" si="368">ROUND(D345*100*F345*250*100/50/E345/G345/1000,2)</f>
        <v>26.54</v>
      </c>
      <c r="I345" s="358"/>
      <c r="J345" s="359"/>
      <c r="K345" s="360" t="s">
        <v>656</v>
      </c>
      <c r="L345" s="364"/>
    </row>
    <row r="346" spans="1:12">
      <c r="A346" s="334"/>
      <c r="B346" s="341" t="s">
        <v>821</v>
      </c>
      <c r="C346" s="344"/>
      <c r="D346" s="305">
        <v>11.3</v>
      </c>
      <c r="E346" s="303">
        <v>2.0101</v>
      </c>
      <c r="F346" s="305">
        <v>1</v>
      </c>
      <c r="G346" s="306">
        <v>9.5</v>
      </c>
      <c r="H346" s="306">
        <f t="shared" si="368"/>
        <v>29.59</v>
      </c>
      <c r="I346" s="353">
        <f t="shared" ref="I346" si="369">ROUND((H346+H347)/2,1)</f>
        <v>29.4</v>
      </c>
      <c r="J346" s="354">
        <f t="shared" ref="J346" si="370">(H346-H347)*100/I346</f>
        <v>1.05442176870748</v>
      </c>
      <c r="K346" s="361" t="s">
        <v>150</v>
      </c>
      <c r="L346" s="363">
        <f t="shared" ref="L346" si="371">H347-H346</f>
        <v>-0.309999999999999</v>
      </c>
    </row>
    <row r="347" spans="1:12">
      <c r="A347" s="336"/>
      <c r="B347" s="343"/>
      <c r="C347" s="362"/>
      <c r="D347" s="305">
        <v>11.3</v>
      </c>
      <c r="E347" s="303">
        <v>2.2054</v>
      </c>
      <c r="F347" s="305">
        <v>1</v>
      </c>
      <c r="G347" s="306">
        <v>8.75</v>
      </c>
      <c r="H347" s="306">
        <f t="shared" ref="H347:H348" si="372">ROUND(D347*100*F347*250*100/50/E347/G347/1000,2)</f>
        <v>29.28</v>
      </c>
      <c r="I347" s="358"/>
      <c r="J347" s="359"/>
      <c r="K347" s="360" t="s">
        <v>656</v>
      </c>
      <c r="L347" s="364"/>
    </row>
    <row r="348" spans="1:12">
      <c r="A348" s="334"/>
      <c r="B348" s="341" t="s">
        <v>822</v>
      </c>
      <c r="C348" s="344"/>
      <c r="D348" s="305">
        <v>11.3</v>
      </c>
      <c r="E348" s="303">
        <v>1.5838</v>
      </c>
      <c r="F348" s="305">
        <v>2</v>
      </c>
      <c r="G348" s="306">
        <v>9.7</v>
      </c>
      <c r="H348" s="306">
        <f t="shared" si="372"/>
        <v>73.55</v>
      </c>
      <c r="I348" s="353">
        <f t="shared" ref="I348" si="373">ROUND((H348+H349)/2,1)</f>
        <v>73.4</v>
      </c>
      <c r="J348" s="354">
        <f t="shared" ref="J348" si="374">(H348-H349)*100/I348</f>
        <v>0.544959128065383</v>
      </c>
      <c r="K348" s="361" t="s">
        <v>150</v>
      </c>
      <c r="L348" s="363">
        <f t="shared" ref="L348" si="375">H349-H348</f>
        <v>-0.399999999999991</v>
      </c>
    </row>
    <row r="349" spans="1:12">
      <c r="A349" s="336"/>
      <c r="B349" s="343"/>
      <c r="C349" s="362"/>
      <c r="D349" s="305">
        <v>11.3</v>
      </c>
      <c r="E349" s="303">
        <v>1.6521</v>
      </c>
      <c r="F349" s="305">
        <v>2</v>
      </c>
      <c r="G349" s="306">
        <v>9.35</v>
      </c>
      <c r="H349" s="306">
        <f t="shared" ref="H349" si="376">ROUND(D349*100*F349*250*100/50/E349/G349/1000,2)</f>
        <v>73.15</v>
      </c>
      <c r="I349" s="358"/>
      <c r="J349" s="359"/>
      <c r="K349" s="360" t="s">
        <v>656</v>
      </c>
      <c r="L349" s="364"/>
    </row>
    <row r="350" spans="1:12">
      <c r="A350" s="334"/>
      <c r="B350" s="341" t="s">
        <v>823</v>
      </c>
      <c r="C350" s="344"/>
      <c r="D350" s="305">
        <v>11.3</v>
      </c>
      <c r="E350" s="303">
        <v>2.7639</v>
      </c>
      <c r="F350" s="305">
        <v>1</v>
      </c>
      <c r="G350" s="306">
        <v>7.7</v>
      </c>
      <c r="H350" s="306">
        <f t="shared" ref="H350:H351" si="377">ROUND(D350*100*F350*250*100/50/E350/G350/1000,2)</f>
        <v>26.55</v>
      </c>
      <c r="I350" s="353">
        <f t="shared" ref="I350" si="378">ROUND((H350+H351)/2,1)</f>
        <v>26.7</v>
      </c>
      <c r="J350" s="354">
        <f t="shared" ref="J350" si="379">(H350-H351)*100/I350</f>
        <v>-1.42322097378277</v>
      </c>
      <c r="K350" s="361" t="s">
        <v>150</v>
      </c>
      <c r="L350" s="363">
        <f t="shared" ref="L350" si="380">H351-H350</f>
        <v>0.379999999999999</v>
      </c>
    </row>
    <row r="351" spans="1:12">
      <c r="A351" s="336"/>
      <c r="B351" s="343"/>
      <c r="C351" s="362"/>
      <c r="D351" s="305">
        <v>11.3</v>
      </c>
      <c r="E351" s="303">
        <v>2.6899</v>
      </c>
      <c r="F351" s="305">
        <v>1</v>
      </c>
      <c r="G351" s="306">
        <v>7.8</v>
      </c>
      <c r="H351" s="306">
        <f t="shared" si="377"/>
        <v>26.93</v>
      </c>
      <c r="I351" s="358"/>
      <c r="J351" s="359"/>
      <c r="K351" s="360" t="s">
        <v>656</v>
      </c>
      <c r="L351" s="364"/>
    </row>
    <row r="352" spans="1:12">
      <c r="A352" s="334"/>
      <c r="B352" s="125" t="s">
        <v>538</v>
      </c>
      <c r="C352" s="344"/>
      <c r="D352" s="127">
        <v>11.3</v>
      </c>
      <c r="E352" s="128">
        <v>2.8765</v>
      </c>
      <c r="F352" s="127">
        <v>1</v>
      </c>
      <c r="G352" s="115">
        <v>14.8</v>
      </c>
      <c r="H352" s="115">
        <f t="shared" ref="H352:H359" si="381">ROUND(D352*100*F352*250*100/50/E352/G352/1000,2)</f>
        <v>13.27</v>
      </c>
      <c r="I352" s="129">
        <f t="shared" ref="I352" si="382">ROUND((H352+H353)/2,1)</f>
        <v>13.5</v>
      </c>
      <c r="J352" s="139">
        <f t="shared" ref="J352" si="383">(H352-H353)*100/I352</f>
        <v>-2.66666666666668</v>
      </c>
      <c r="K352" s="133" t="s">
        <v>150</v>
      </c>
      <c r="L352" s="366">
        <f t="shared" ref="L352" si="384">H353-H352</f>
        <v>0.360000000000001</v>
      </c>
    </row>
    <row r="353" spans="1:12">
      <c r="A353" s="336"/>
      <c r="B353" s="130"/>
      <c r="C353" s="362"/>
      <c r="D353" s="127">
        <v>11.3</v>
      </c>
      <c r="E353" s="128">
        <v>3.0258</v>
      </c>
      <c r="F353" s="127">
        <v>1</v>
      </c>
      <c r="G353" s="115">
        <v>13.7</v>
      </c>
      <c r="H353" s="115">
        <f t="shared" si="381"/>
        <v>13.63</v>
      </c>
      <c r="I353" s="132"/>
      <c r="J353" s="140"/>
      <c r="K353" s="134" t="s">
        <v>656</v>
      </c>
      <c r="L353" s="367"/>
    </row>
    <row r="354" ht="32.25" customHeight="1" spans="1:12">
      <c r="A354" s="334"/>
      <c r="B354" s="341" t="s">
        <v>824</v>
      </c>
      <c r="C354" s="344"/>
      <c r="D354" s="305">
        <v>11.3</v>
      </c>
      <c r="E354" s="303">
        <v>3.167</v>
      </c>
      <c r="F354" s="305">
        <v>1</v>
      </c>
      <c r="G354" s="306">
        <v>7.15</v>
      </c>
      <c r="H354" s="306">
        <f t="shared" si="381"/>
        <v>24.95</v>
      </c>
      <c r="I354" s="353">
        <f t="shared" ref="I354" si="385">ROUND((H354+H355)/2,1)</f>
        <v>24.8</v>
      </c>
      <c r="J354" s="354">
        <f t="shared" ref="J354" si="386">(H354-H355)*100/I354</f>
        <v>1.08870967741935</v>
      </c>
      <c r="K354" s="361" t="s">
        <v>150</v>
      </c>
      <c r="L354" s="363">
        <f t="shared" ref="L354" si="387">H355-H354</f>
        <v>-0.27</v>
      </c>
    </row>
    <row r="355" spans="1:12">
      <c r="A355" s="336"/>
      <c r="B355" s="343"/>
      <c r="C355" s="362"/>
      <c r="D355" s="305">
        <v>11.3</v>
      </c>
      <c r="E355" s="303">
        <v>2.9928</v>
      </c>
      <c r="F355" s="305">
        <v>1</v>
      </c>
      <c r="G355" s="306">
        <v>7.65</v>
      </c>
      <c r="H355" s="306">
        <f t="shared" si="381"/>
        <v>24.68</v>
      </c>
      <c r="I355" s="358"/>
      <c r="J355" s="359"/>
      <c r="K355" s="360" t="s">
        <v>656</v>
      </c>
      <c r="L355" s="364"/>
    </row>
    <row r="356" spans="1:12">
      <c r="A356" s="334"/>
      <c r="B356" s="341" t="s">
        <v>825</v>
      </c>
      <c r="C356" s="344"/>
      <c r="D356" s="305">
        <v>11.3</v>
      </c>
      <c r="E356" s="303">
        <v>1.5925</v>
      </c>
      <c r="F356" s="305">
        <v>1</v>
      </c>
      <c r="G356" s="306">
        <v>10.5</v>
      </c>
      <c r="H356" s="306">
        <f t="shared" si="381"/>
        <v>33.79</v>
      </c>
      <c r="I356" s="353">
        <f t="shared" ref="I356" si="388">ROUND((H356+H357)/2,1)</f>
        <v>33.7</v>
      </c>
      <c r="J356" s="354">
        <f t="shared" ref="J356" si="389">(H356-H357)*100/I356</f>
        <v>0.504451038575673</v>
      </c>
      <c r="K356" s="361" t="s">
        <v>150</v>
      </c>
      <c r="L356" s="363">
        <f t="shared" ref="L356" si="390">H357-H356</f>
        <v>-0.170000000000002</v>
      </c>
    </row>
    <row r="357" spans="1:12">
      <c r="A357" s="336"/>
      <c r="B357" s="343"/>
      <c r="C357" s="362"/>
      <c r="D357" s="305">
        <v>11.3</v>
      </c>
      <c r="E357" s="303">
        <v>1.7414</v>
      </c>
      <c r="F357" s="305">
        <v>1</v>
      </c>
      <c r="G357" s="306">
        <v>9.65</v>
      </c>
      <c r="H357" s="306">
        <f t="shared" si="381"/>
        <v>33.62</v>
      </c>
      <c r="I357" s="358"/>
      <c r="J357" s="359"/>
      <c r="K357" s="360" t="s">
        <v>656</v>
      </c>
      <c r="L357" s="364"/>
    </row>
    <row r="358" spans="1:12">
      <c r="A358" s="334"/>
      <c r="B358" s="341" t="s">
        <v>826</v>
      </c>
      <c r="C358" s="344"/>
      <c r="D358" s="305">
        <v>11.3</v>
      </c>
      <c r="E358" s="303">
        <v>2.4309</v>
      </c>
      <c r="F358" s="305">
        <v>1</v>
      </c>
      <c r="G358" s="306">
        <v>9.3</v>
      </c>
      <c r="H358" s="306">
        <f t="shared" si="381"/>
        <v>24.99</v>
      </c>
      <c r="I358" s="353">
        <f t="shared" ref="I358" si="391">ROUND((H358+H359)/2,1)</f>
        <v>25</v>
      </c>
      <c r="J358" s="354">
        <f t="shared" ref="J358" si="392">(H358-H359)*100/I358</f>
        <v>0.199999999999989</v>
      </c>
      <c r="K358" s="361" t="s">
        <v>150</v>
      </c>
      <c r="L358" s="363">
        <f t="shared" ref="L358" si="393">H359-H358</f>
        <v>-0.0499999999999972</v>
      </c>
    </row>
    <row r="359" spans="1:12">
      <c r="A359" s="336"/>
      <c r="B359" s="343"/>
      <c r="C359" s="362"/>
      <c r="D359" s="305">
        <v>11.3</v>
      </c>
      <c r="E359" s="303">
        <v>2.5028</v>
      </c>
      <c r="F359" s="305">
        <v>1</v>
      </c>
      <c r="G359" s="306">
        <v>9.05</v>
      </c>
      <c r="H359" s="306">
        <f t="shared" si="381"/>
        <v>24.94</v>
      </c>
      <c r="I359" s="358"/>
      <c r="J359" s="359"/>
      <c r="K359" s="360" t="s">
        <v>656</v>
      </c>
      <c r="L359" s="364"/>
    </row>
    <row r="360" spans="1:12">
      <c r="A360" s="334"/>
      <c r="B360" s="341" t="s">
        <v>542</v>
      </c>
      <c r="C360" s="344"/>
      <c r="D360" s="305">
        <v>11.3</v>
      </c>
      <c r="E360" s="303">
        <v>1.2585</v>
      </c>
      <c r="F360" s="305">
        <v>1</v>
      </c>
      <c r="G360" s="306">
        <v>7.5</v>
      </c>
      <c r="H360" s="306">
        <f t="shared" ref="H360:H361" si="394">ROUND(D360*100*F360*250*100/50/E360/G360/1000,2)</f>
        <v>59.86</v>
      </c>
      <c r="I360" s="353">
        <f t="shared" ref="I360" si="395">ROUND((H360+H361)/2,1)</f>
        <v>59.6</v>
      </c>
      <c r="J360" s="354">
        <f t="shared" ref="J360" si="396">(H360-H361)*100/I360</f>
        <v>1.00671140939598</v>
      </c>
      <c r="K360" s="361" t="s">
        <v>150</v>
      </c>
      <c r="L360" s="363">
        <f t="shared" ref="L360" si="397">H361-H360</f>
        <v>-0.600000000000001</v>
      </c>
    </row>
    <row r="361" spans="1:12">
      <c r="A361" s="336"/>
      <c r="B361" s="343"/>
      <c r="C361" s="362"/>
      <c r="D361" s="305">
        <v>11.3</v>
      </c>
      <c r="E361" s="303">
        <v>1.3524</v>
      </c>
      <c r="F361" s="305">
        <v>1</v>
      </c>
      <c r="G361" s="306">
        <v>7.05</v>
      </c>
      <c r="H361" s="306">
        <f t="shared" si="394"/>
        <v>59.26</v>
      </c>
      <c r="I361" s="358"/>
      <c r="J361" s="359"/>
      <c r="K361" s="360" t="s">
        <v>656</v>
      </c>
      <c r="L361" s="364"/>
    </row>
    <row r="363" spans="1:12">
      <c r="A363" s="334"/>
      <c r="B363" s="341" t="s">
        <v>538</v>
      </c>
      <c r="C363" s="344"/>
      <c r="D363" s="305">
        <v>11.3</v>
      </c>
      <c r="E363" s="303">
        <v>2.8765</v>
      </c>
      <c r="F363" s="305">
        <v>1</v>
      </c>
      <c r="G363" s="306">
        <v>7.3</v>
      </c>
      <c r="H363" s="306">
        <f t="shared" ref="H363:H368" si="398">ROUND(D363*100*F363*250*100/50/E363/G363/1000,2)</f>
        <v>26.91</v>
      </c>
      <c r="I363" s="353">
        <f t="shared" ref="I363" si="399">ROUND((H363+H364)/2,1)</f>
        <v>27</v>
      </c>
      <c r="J363" s="354">
        <f t="shared" ref="J363" si="400">(H363-H364)*100/I363</f>
        <v>-0.55555555555555</v>
      </c>
      <c r="K363" s="361" t="s">
        <v>150</v>
      </c>
      <c r="L363" s="363">
        <f t="shared" ref="L363" si="401">H364-H363</f>
        <v>0.149999999999999</v>
      </c>
    </row>
    <row r="364" spans="1:12">
      <c r="A364" s="336"/>
      <c r="B364" s="343"/>
      <c r="C364" s="362"/>
      <c r="D364" s="305">
        <v>11.3</v>
      </c>
      <c r="E364" s="303">
        <v>3.0258</v>
      </c>
      <c r="F364" s="305">
        <v>1</v>
      </c>
      <c r="G364" s="306">
        <v>6.9</v>
      </c>
      <c r="H364" s="306">
        <f t="shared" si="398"/>
        <v>27.06</v>
      </c>
      <c r="I364" s="358"/>
      <c r="J364" s="359"/>
      <c r="K364" s="360" t="s">
        <v>656</v>
      </c>
      <c r="L364" s="364"/>
    </row>
    <row r="365" spans="1:12">
      <c r="A365" s="334"/>
      <c r="B365" s="341" t="s">
        <v>539</v>
      </c>
      <c r="C365" s="344"/>
      <c r="D365" s="305">
        <v>11.3</v>
      </c>
      <c r="E365" s="303">
        <v>3.1521</v>
      </c>
      <c r="F365" s="305">
        <v>1</v>
      </c>
      <c r="G365" s="306">
        <v>6.85</v>
      </c>
      <c r="H365" s="306">
        <v>26.75</v>
      </c>
      <c r="I365" s="353">
        <f t="shared" ref="I365" si="402">ROUND((H365+H366)/2,1)</f>
        <v>26.9</v>
      </c>
      <c r="J365" s="354">
        <f t="shared" ref="J365" si="403">(H365-H366)*100/I365</f>
        <v>-1.41263940520446</v>
      </c>
      <c r="K365" s="361" t="s">
        <v>150</v>
      </c>
      <c r="L365" s="363">
        <f t="shared" ref="L365" si="404">H366-H365</f>
        <v>0.379999999999999</v>
      </c>
    </row>
    <row r="366" spans="1:12">
      <c r="A366" s="336"/>
      <c r="B366" s="343"/>
      <c r="C366" s="362"/>
      <c r="D366" s="305">
        <v>11.3</v>
      </c>
      <c r="E366" s="303">
        <v>2.9544</v>
      </c>
      <c r="F366" s="305">
        <v>1</v>
      </c>
      <c r="G366" s="306">
        <v>7.05</v>
      </c>
      <c r="H366" s="306">
        <f t="shared" si="398"/>
        <v>27.13</v>
      </c>
      <c r="I366" s="358"/>
      <c r="J366" s="359"/>
      <c r="K366" s="360" t="s">
        <v>656</v>
      </c>
      <c r="L366" s="364"/>
    </row>
    <row r="367" spans="1:12">
      <c r="A367" s="334"/>
      <c r="B367" s="341" t="s">
        <v>827</v>
      </c>
      <c r="C367" s="344"/>
      <c r="D367" s="305">
        <v>11.3</v>
      </c>
      <c r="E367" s="303">
        <v>2.7562</v>
      </c>
      <c r="F367" s="305">
        <v>1</v>
      </c>
      <c r="G367" s="306">
        <v>7.55</v>
      </c>
      <c r="H367" s="306">
        <f t="shared" si="398"/>
        <v>27.15</v>
      </c>
      <c r="I367" s="353">
        <f t="shared" ref="I367" si="405">ROUND((H367+H368)/2,1)</f>
        <v>27</v>
      </c>
      <c r="J367" s="354">
        <f t="shared" ref="J367" si="406">(H367-H368)*100/I367</f>
        <v>1.48148148148148</v>
      </c>
      <c r="K367" s="361" t="s">
        <v>150</v>
      </c>
      <c r="L367" s="363">
        <f t="shared" ref="L367" si="407">H368-H367</f>
        <v>-0.399999999999999</v>
      </c>
    </row>
    <row r="368" spans="1:12">
      <c r="A368" s="336"/>
      <c r="B368" s="343"/>
      <c r="C368" s="362"/>
      <c r="D368" s="305">
        <v>11.3</v>
      </c>
      <c r="E368" s="303">
        <v>2.6911</v>
      </c>
      <c r="F368" s="305">
        <v>1</v>
      </c>
      <c r="G368" s="306">
        <v>7.85</v>
      </c>
      <c r="H368" s="306">
        <f t="shared" si="398"/>
        <v>26.75</v>
      </c>
      <c r="I368" s="358"/>
      <c r="J368" s="359"/>
      <c r="K368" s="360" t="s">
        <v>656</v>
      </c>
      <c r="L368" s="364"/>
    </row>
    <row r="369" spans="1:12">
      <c r="A369" s="334"/>
      <c r="B369" s="341" t="s">
        <v>828</v>
      </c>
      <c r="C369" s="344"/>
      <c r="D369" s="305">
        <v>11.3</v>
      </c>
      <c r="E369" s="303">
        <v>4.2783</v>
      </c>
      <c r="F369" s="305">
        <v>1</v>
      </c>
      <c r="G369" s="306">
        <v>8.9</v>
      </c>
      <c r="H369" s="306">
        <f t="shared" ref="H369:H370" si="408">ROUND(D369*100*F369*250*100/50/E369/G369/1000,2)</f>
        <v>14.84</v>
      </c>
      <c r="I369" s="353">
        <f t="shared" ref="I369" si="409">ROUND((H369+H370)/2,1)</f>
        <v>14.7</v>
      </c>
      <c r="J369" s="354">
        <f t="shared" ref="J369" si="410">(H369-H370)*100/I369</f>
        <v>2.24489795918367</v>
      </c>
      <c r="K369" s="361" t="s">
        <v>150</v>
      </c>
      <c r="L369" s="363">
        <f t="shared" ref="L369" si="411">H370-H369</f>
        <v>-0.33</v>
      </c>
    </row>
    <row r="370" spans="1:12">
      <c r="A370" s="336"/>
      <c r="B370" s="343"/>
      <c r="C370" s="362"/>
      <c r="D370" s="305">
        <v>11.3</v>
      </c>
      <c r="E370" s="303">
        <v>4.3014</v>
      </c>
      <c r="F370" s="305">
        <v>1</v>
      </c>
      <c r="G370" s="306">
        <v>9.05</v>
      </c>
      <c r="H370" s="306">
        <f t="shared" si="408"/>
        <v>14.51</v>
      </c>
      <c r="I370" s="358"/>
      <c r="J370" s="359"/>
      <c r="K370" s="360" t="s">
        <v>656</v>
      </c>
      <c r="L370" s="364"/>
    </row>
    <row r="371" ht="20.25" customHeight="1" spans="1:12">
      <c r="A371" s="334"/>
      <c r="B371" s="341" t="s">
        <v>829</v>
      </c>
      <c r="C371" s="344"/>
      <c r="D371" s="305">
        <v>11.3</v>
      </c>
      <c r="E371" s="303">
        <v>2.7108</v>
      </c>
      <c r="F371" s="305">
        <v>1</v>
      </c>
      <c r="G371" s="306">
        <v>9.55</v>
      </c>
      <c r="H371" s="306">
        <f t="shared" ref="H371:H372" si="412">ROUND(D371*100*F371*250*100/50/E371/G371/1000,2)</f>
        <v>21.82</v>
      </c>
      <c r="I371" s="353">
        <f t="shared" ref="I371" si="413">ROUND((H371+H372)/2,1)</f>
        <v>21.6</v>
      </c>
      <c r="J371" s="354">
        <f t="shared" ref="J371" si="414">(H371-H372)*100/I371</f>
        <v>1.66666666666666</v>
      </c>
      <c r="K371" s="361" t="s">
        <v>150</v>
      </c>
      <c r="L371" s="363">
        <f t="shared" ref="L371" si="415">H372-H371</f>
        <v>-0.359999999999999</v>
      </c>
    </row>
    <row r="372" spans="1:12">
      <c r="A372" s="336"/>
      <c r="B372" s="343"/>
      <c r="C372" s="362"/>
      <c r="D372" s="305">
        <v>11.3</v>
      </c>
      <c r="E372" s="303">
        <v>2.8314</v>
      </c>
      <c r="F372" s="305">
        <v>1</v>
      </c>
      <c r="G372" s="306">
        <v>9.3</v>
      </c>
      <c r="H372" s="306">
        <f t="shared" si="412"/>
        <v>21.46</v>
      </c>
      <c r="I372" s="358"/>
      <c r="J372" s="359"/>
      <c r="K372" s="360" t="s">
        <v>656</v>
      </c>
      <c r="L372" s="364"/>
    </row>
    <row r="373" ht="15" customHeight="1" spans="1:12">
      <c r="A373" s="334"/>
      <c r="B373" s="341" t="s">
        <v>830</v>
      </c>
      <c r="C373" s="344"/>
      <c r="D373" s="305">
        <v>11.3</v>
      </c>
      <c r="E373" s="303">
        <v>2.5707</v>
      </c>
      <c r="F373" s="305">
        <v>1</v>
      </c>
      <c r="G373" s="306">
        <v>9.95</v>
      </c>
      <c r="H373" s="306">
        <f t="shared" ref="H373:H374" si="416">ROUND(D373*100*F373*250*100/50/E373/G373/1000,2)</f>
        <v>22.09</v>
      </c>
      <c r="I373" s="353">
        <f t="shared" ref="I373" si="417">ROUND((H373+H374)/2,1)</f>
        <v>22.1</v>
      </c>
      <c r="J373" s="354">
        <f t="shared" ref="J373" si="418">(H373-H374)*100/I373</f>
        <v>-0.452488687782812</v>
      </c>
      <c r="K373" s="361" t="s">
        <v>150</v>
      </c>
      <c r="L373" s="363">
        <f t="shared" ref="L373" si="419">H374-H373</f>
        <v>0.100000000000001</v>
      </c>
    </row>
    <row r="374" spans="1:12">
      <c r="A374" s="336"/>
      <c r="B374" s="343"/>
      <c r="C374" s="362"/>
      <c r="D374" s="305">
        <v>11.3</v>
      </c>
      <c r="E374" s="303">
        <v>2.534</v>
      </c>
      <c r="F374" s="305">
        <v>1</v>
      </c>
      <c r="G374" s="306">
        <v>10.05</v>
      </c>
      <c r="H374" s="306">
        <f t="shared" si="416"/>
        <v>22.19</v>
      </c>
      <c r="I374" s="358"/>
      <c r="J374" s="359"/>
      <c r="K374" s="360" t="s">
        <v>656</v>
      </c>
      <c r="L374" s="364"/>
    </row>
    <row r="376" spans="1:12">
      <c r="A376" s="334"/>
      <c r="B376" s="341" t="s">
        <v>831</v>
      </c>
      <c r="C376" s="344"/>
      <c r="D376" s="305">
        <v>11.3</v>
      </c>
      <c r="E376" s="303">
        <v>2.7948</v>
      </c>
      <c r="F376" s="305">
        <v>1</v>
      </c>
      <c r="G376" s="306">
        <v>10.85</v>
      </c>
      <c r="H376" s="306">
        <f t="shared" ref="H376:H381" si="420">ROUND(D376*100*F376*250*100/50/E376/G376/1000,2)</f>
        <v>18.63</v>
      </c>
      <c r="I376" s="353">
        <f t="shared" ref="I376" si="421">ROUND((H376+H377)/2,1)</f>
        <v>18.8</v>
      </c>
      <c r="J376" s="354">
        <f t="shared" ref="J376" si="422">(H376-H377)*100/I376</f>
        <v>-1.70212765957447</v>
      </c>
      <c r="K376" s="361" t="s">
        <v>150</v>
      </c>
      <c r="L376" s="363">
        <f t="shared" ref="L376" si="423">H377-H376</f>
        <v>0.32</v>
      </c>
    </row>
    <row r="377" spans="1:12">
      <c r="A377" s="336"/>
      <c r="B377" s="343"/>
      <c r="C377" s="362"/>
      <c r="D377" s="305">
        <v>11.3</v>
      </c>
      <c r="E377" s="303">
        <v>2.7474</v>
      </c>
      <c r="F377" s="305">
        <v>1</v>
      </c>
      <c r="G377" s="306">
        <v>10.85</v>
      </c>
      <c r="H377" s="306">
        <f t="shared" si="420"/>
        <v>18.95</v>
      </c>
      <c r="I377" s="358"/>
      <c r="J377" s="359"/>
      <c r="K377" s="360" t="s">
        <v>656</v>
      </c>
      <c r="L377" s="364"/>
    </row>
    <row r="378" spans="1:12">
      <c r="A378" s="334"/>
      <c r="B378" s="341" t="s">
        <v>832</v>
      </c>
      <c r="C378" s="344"/>
      <c r="D378" s="305">
        <v>11.3</v>
      </c>
      <c r="E378" s="303">
        <v>2.6088</v>
      </c>
      <c r="F378" s="305">
        <v>1</v>
      </c>
      <c r="G378" s="306">
        <v>13.8</v>
      </c>
      <c r="H378" s="306">
        <f t="shared" si="420"/>
        <v>15.69</v>
      </c>
      <c r="I378" s="353">
        <f t="shared" ref="I378" si="424">ROUND((H378+H379)/2,1)</f>
        <v>15.5</v>
      </c>
      <c r="J378" s="354">
        <f t="shared" ref="J378" si="425">(H378-H379)*100/I378</f>
        <v>2.12903225806452</v>
      </c>
      <c r="K378" s="361" t="s">
        <v>150</v>
      </c>
      <c r="L378" s="363">
        <f t="shared" ref="L378" si="426">H379-H378</f>
        <v>-0.33</v>
      </c>
    </row>
    <row r="379" spans="1:12">
      <c r="A379" s="336"/>
      <c r="B379" s="343"/>
      <c r="C379" s="362"/>
      <c r="D379" s="305">
        <v>11.3</v>
      </c>
      <c r="E379" s="303">
        <v>2.6658</v>
      </c>
      <c r="F379" s="305">
        <v>1</v>
      </c>
      <c r="G379" s="306">
        <v>13.8</v>
      </c>
      <c r="H379" s="306">
        <f t="shared" si="420"/>
        <v>15.36</v>
      </c>
      <c r="I379" s="358"/>
      <c r="J379" s="359"/>
      <c r="K379" s="360" t="s">
        <v>656</v>
      </c>
      <c r="L379" s="364"/>
    </row>
    <row r="380" spans="1:12">
      <c r="A380" s="334"/>
      <c r="B380" s="341" t="s">
        <v>833</v>
      </c>
      <c r="C380" s="344"/>
      <c r="D380" s="305">
        <v>11.3</v>
      </c>
      <c r="E380" s="303">
        <v>2.5726</v>
      </c>
      <c r="F380" s="305">
        <v>1</v>
      </c>
      <c r="G380" s="306">
        <v>10.75</v>
      </c>
      <c r="H380" s="306">
        <f t="shared" si="420"/>
        <v>20.43</v>
      </c>
      <c r="I380" s="353">
        <f t="shared" ref="I380" si="427">ROUND((H380+H381)/2,1)</f>
        <v>20.4</v>
      </c>
      <c r="J380" s="354">
        <f t="shared" ref="J380" si="428">(H380-H381)*100/I380</f>
        <v>0.0980392156862724</v>
      </c>
      <c r="K380" s="361" t="s">
        <v>150</v>
      </c>
      <c r="L380" s="363">
        <f t="shared" ref="L380" si="429">H381-H380</f>
        <v>-0.0199999999999996</v>
      </c>
    </row>
    <row r="381" spans="1:12">
      <c r="A381" s="336"/>
      <c r="B381" s="343"/>
      <c r="C381" s="362"/>
      <c r="D381" s="305">
        <v>11.3</v>
      </c>
      <c r="E381" s="303">
        <v>2.5512</v>
      </c>
      <c r="F381" s="305">
        <v>1</v>
      </c>
      <c r="G381" s="306">
        <v>10.85</v>
      </c>
      <c r="H381" s="306">
        <f t="shared" si="420"/>
        <v>20.41</v>
      </c>
      <c r="I381" s="358"/>
      <c r="J381" s="359"/>
      <c r="K381" s="360" t="s">
        <v>656</v>
      </c>
      <c r="L381" s="364"/>
    </row>
    <row r="382" spans="1:12">
      <c r="A382" s="334"/>
      <c r="B382" s="341" t="s">
        <v>834</v>
      </c>
      <c r="C382" s="344"/>
      <c r="D382" s="305">
        <v>11.3</v>
      </c>
      <c r="E382" s="303">
        <v>2.8509</v>
      </c>
      <c r="F382" s="305">
        <v>1</v>
      </c>
      <c r="G382" s="306">
        <v>7.82</v>
      </c>
      <c r="H382" s="306">
        <f t="shared" ref="H382:H383" si="430">ROUND(D382*100*F382*250*100/50/E382/G382/1000,2)</f>
        <v>25.34</v>
      </c>
      <c r="I382" s="353">
        <f t="shared" ref="I382" si="431">ROUND((H382+H383)/2,1)</f>
        <v>25.2</v>
      </c>
      <c r="J382" s="354">
        <f t="shared" ref="J382" si="432">(H382-H383)*100/I382</f>
        <v>0.912698412698414</v>
      </c>
      <c r="K382" s="361" t="s">
        <v>150</v>
      </c>
      <c r="L382" s="363">
        <f t="shared" ref="L382" si="433">H383-H382</f>
        <v>-0.23</v>
      </c>
    </row>
    <row r="383" spans="1:12">
      <c r="A383" s="336"/>
      <c r="B383" s="343"/>
      <c r="C383" s="362"/>
      <c r="D383" s="305">
        <v>11.3</v>
      </c>
      <c r="E383" s="303">
        <v>2.8851</v>
      </c>
      <c r="F383" s="305">
        <v>1</v>
      </c>
      <c r="G383" s="306">
        <v>7.8</v>
      </c>
      <c r="H383" s="306">
        <f t="shared" si="430"/>
        <v>25.11</v>
      </c>
      <c r="I383" s="358"/>
      <c r="J383" s="359"/>
      <c r="K383" s="360" t="s">
        <v>656</v>
      </c>
      <c r="L383" s="364"/>
    </row>
    <row r="384" spans="1:12">
      <c r="A384" s="334"/>
      <c r="B384" s="341" t="s">
        <v>835</v>
      </c>
      <c r="C384" s="344"/>
      <c r="D384" s="305">
        <v>11.3</v>
      </c>
      <c r="E384" s="303">
        <v>2.6585</v>
      </c>
      <c r="F384" s="305">
        <v>1</v>
      </c>
      <c r="G384" s="306">
        <v>5.35</v>
      </c>
      <c r="H384" s="306">
        <f t="shared" ref="H384:H385" si="434">ROUND(D384*100*F384*250*100/50/E384/G384/1000,2)</f>
        <v>39.72</v>
      </c>
      <c r="I384" s="353">
        <f t="shared" ref="I384" si="435">ROUND((H384+H385)/2,1)</f>
        <v>39.8</v>
      </c>
      <c r="J384" s="354">
        <f t="shared" ref="J384" si="436">(H384-H385)*100/I384</f>
        <v>-0.603015075376889</v>
      </c>
      <c r="K384" s="361" t="s">
        <v>150</v>
      </c>
      <c r="L384" s="363">
        <f t="shared" ref="L384" si="437">H385-H384</f>
        <v>0.240000000000002</v>
      </c>
    </row>
    <row r="385" spans="1:12">
      <c r="A385" s="336"/>
      <c r="B385" s="343"/>
      <c r="C385" s="362"/>
      <c r="D385" s="305">
        <v>11.3</v>
      </c>
      <c r="E385" s="303">
        <v>2.5475</v>
      </c>
      <c r="F385" s="305">
        <v>1</v>
      </c>
      <c r="G385" s="306">
        <v>5.55</v>
      </c>
      <c r="H385" s="306">
        <f t="shared" si="434"/>
        <v>39.96</v>
      </c>
      <c r="I385" s="358"/>
      <c r="J385" s="359"/>
      <c r="K385" s="360" t="s">
        <v>656</v>
      </c>
      <c r="L385" s="364"/>
    </row>
    <row r="386" spans="1:12">
      <c r="A386" s="334"/>
      <c r="B386" s="341" t="s">
        <v>836</v>
      </c>
      <c r="C386" s="344"/>
      <c r="D386" s="305">
        <v>11</v>
      </c>
      <c r="E386" s="303">
        <v>1.2637</v>
      </c>
      <c r="F386" s="305">
        <v>1</v>
      </c>
      <c r="G386" s="306">
        <v>11.1</v>
      </c>
      <c r="H386" s="306">
        <f t="shared" ref="H386:H387" si="438">ROUND(D386*100*F386*250*100/50/E386/G386/1000,2)</f>
        <v>39.21</v>
      </c>
      <c r="I386" s="353">
        <f t="shared" ref="I386" si="439">ROUND((H386+H387)/2,1)</f>
        <v>39.2</v>
      </c>
      <c r="J386" s="354">
        <f t="shared" ref="J386" si="440">(H386-H387)*100/I386</f>
        <v>0.25510204081633</v>
      </c>
      <c r="K386" s="361" t="s">
        <v>150</v>
      </c>
      <c r="L386" s="363">
        <f t="shared" ref="L386" si="441">H387-H386</f>
        <v>-0.100000000000001</v>
      </c>
    </row>
    <row r="387" spans="1:12">
      <c r="A387" s="336"/>
      <c r="B387" s="343"/>
      <c r="C387" s="362"/>
      <c r="D387" s="305">
        <v>11</v>
      </c>
      <c r="E387" s="303">
        <v>1.2669</v>
      </c>
      <c r="F387" s="305">
        <v>1</v>
      </c>
      <c r="G387" s="306">
        <v>11.1</v>
      </c>
      <c r="H387" s="306">
        <f t="shared" si="438"/>
        <v>39.11</v>
      </c>
      <c r="I387" s="358"/>
      <c r="J387" s="359"/>
      <c r="K387" s="360" t="s">
        <v>656</v>
      </c>
      <c r="L387" s="364"/>
    </row>
    <row r="388" spans="1:12">
      <c r="A388" s="334"/>
      <c r="B388" s="341" t="s">
        <v>837</v>
      </c>
      <c r="C388" s="344" t="s">
        <v>547</v>
      </c>
      <c r="D388" s="305">
        <v>11.1</v>
      </c>
      <c r="E388" s="303">
        <v>2.6803</v>
      </c>
      <c r="F388" s="305">
        <v>1</v>
      </c>
      <c r="G388" s="306">
        <v>14.7</v>
      </c>
      <c r="H388" s="306">
        <f t="shared" ref="H388:H389" si="442">ROUND(D388*100*F388*250*100/50/E388/G388/1000,2)</f>
        <v>14.09</v>
      </c>
      <c r="I388" s="353">
        <f t="shared" ref="I388" si="443">ROUND((H388+H389)/2,1)</f>
        <v>14.3</v>
      </c>
      <c r="J388" s="354">
        <f t="shared" ref="J388" si="444">(H388-H389)*100/I388</f>
        <v>-2.44755244755244</v>
      </c>
      <c r="K388" s="361" t="s">
        <v>150</v>
      </c>
      <c r="L388" s="363">
        <f t="shared" ref="L388" si="445">H389-H388</f>
        <v>0.35</v>
      </c>
    </row>
    <row r="389" spans="1:12">
      <c r="A389" s="336"/>
      <c r="B389" s="343"/>
      <c r="C389" s="362"/>
      <c r="D389" s="305">
        <v>11.1</v>
      </c>
      <c r="E389" s="303">
        <v>2.7458</v>
      </c>
      <c r="F389" s="305">
        <v>1</v>
      </c>
      <c r="G389" s="306">
        <v>14</v>
      </c>
      <c r="H389" s="306">
        <f t="shared" si="442"/>
        <v>14.44</v>
      </c>
      <c r="I389" s="358"/>
      <c r="J389" s="359"/>
      <c r="K389" s="360" t="s">
        <v>656</v>
      </c>
      <c r="L389" s="364"/>
    </row>
    <row r="391" spans="1:12">
      <c r="A391" s="334"/>
      <c r="B391" s="341" t="s">
        <v>190</v>
      </c>
      <c r="C391" s="344" t="s">
        <v>191</v>
      </c>
      <c r="D391" s="305">
        <v>11.1</v>
      </c>
      <c r="E391" s="303">
        <v>0.9046</v>
      </c>
      <c r="F391" s="305">
        <v>1</v>
      </c>
      <c r="G391" s="306">
        <v>8.4</v>
      </c>
      <c r="H391" s="306">
        <f t="shared" ref="H391:H398" si="446">ROUND(D391*100*F391*250*100/50/E391/G391/1000,2)</f>
        <v>73.04</v>
      </c>
      <c r="I391" s="353">
        <f t="shared" ref="I391" si="447">ROUND((H391+H392)/2,1)</f>
        <v>72.8</v>
      </c>
      <c r="J391" s="354">
        <f t="shared" ref="J391" si="448">(H391-H392)*100/I391</f>
        <v>0.796703296703314</v>
      </c>
      <c r="K391" s="361" t="s">
        <v>150</v>
      </c>
      <c r="L391" s="363">
        <f t="shared" ref="L391" si="449">H392-H391</f>
        <v>-0.580000000000013</v>
      </c>
    </row>
    <row r="392" spans="1:12">
      <c r="A392" s="336"/>
      <c r="B392" s="343"/>
      <c r="C392" s="362"/>
      <c r="D392" s="305">
        <v>11.1</v>
      </c>
      <c r="E392" s="303">
        <v>0.8655</v>
      </c>
      <c r="F392" s="305">
        <v>1</v>
      </c>
      <c r="G392" s="306">
        <v>8.85</v>
      </c>
      <c r="H392" s="306">
        <f t="shared" si="446"/>
        <v>72.46</v>
      </c>
      <c r="I392" s="358"/>
      <c r="J392" s="359"/>
      <c r="K392" s="360" t="s">
        <v>656</v>
      </c>
      <c r="L392" s="364"/>
    </row>
    <row r="393" spans="1:12">
      <c r="A393" s="334"/>
      <c r="B393" s="341" t="s">
        <v>192</v>
      </c>
      <c r="C393" s="344" t="s">
        <v>191</v>
      </c>
      <c r="D393" s="305">
        <v>11.1</v>
      </c>
      <c r="E393" s="303">
        <v>1.0262</v>
      </c>
      <c r="F393" s="305">
        <v>1</v>
      </c>
      <c r="G393" s="306">
        <v>7.3</v>
      </c>
      <c r="H393" s="306">
        <f t="shared" si="446"/>
        <v>74.09</v>
      </c>
      <c r="I393" s="353">
        <f t="shared" ref="I393" si="450">ROUND((H393+H394)/2,1)</f>
        <v>73.3</v>
      </c>
      <c r="J393" s="354">
        <f t="shared" ref="J393" si="451">(H393-H394)*100/I393</f>
        <v>2.26466575716234</v>
      </c>
      <c r="K393" s="361" t="s">
        <v>150</v>
      </c>
      <c r="L393" s="363">
        <f t="shared" ref="L393" si="452">H394-H393</f>
        <v>-1.66</v>
      </c>
    </row>
    <row r="394" spans="1:12">
      <c r="A394" s="336"/>
      <c r="B394" s="343"/>
      <c r="C394" s="362"/>
      <c r="D394" s="305">
        <v>11.1</v>
      </c>
      <c r="E394" s="303">
        <v>1.1025</v>
      </c>
      <c r="F394" s="305">
        <v>1</v>
      </c>
      <c r="G394" s="306">
        <v>6.95</v>
      </c>
      <c r="H394" s="306">
        <f t="shared" si="446"/>
        <v>72.43</v>
      </c>
      <c r="I394" s="358"/>
      <c r="J394" s="359"/>
      <c r="K394" s="360" t="s">
        <v>656</v>
      </c>
      <c r="L394" s="364"/>
    </row>
    <row r="395" spans="1:12">
      <c r="A395" s="334"/>
      <c r="B395" s="341" t="s">
        <v>193</v>
      </c>
      <c r="C395" s="344" t="s">
        <v>191</v>
      </c>
      <c r="D395" s="305">
        <v>11.1</v>
      </c>
      <c r="E395" s="303">
        <v>1.0607</v>
      </c>
      <c r="F395" s="305">
        <v>1</v>
      </c>
      <c r="G395" s="306">
        <v>7.35</v>
      </c>
      <c r="H395" s="306">
        <f t="shared" si="446"/>
        <v>71.19</v>
      </c>
      <c r="I395" s="353">
        <f t="shared" ref="I395" si="453">ROUND((H395+H396)/2,1)</f>
        <v>70.2</v>
      </c>
      <c r="J395" s="354">
        <f t="shared" ref="J395" si="454">(H395-H396)*100/I395</f>
        <v>2.84900284900285</v>
      </c>
      <c r="K395" s="361" t="s">
        <v>150</v>
      </c>
      <c r="L395" s="363">
        <f t="shared" ref="L395" si="455">H396-H395</f>
        <v>-2</v>
      </c>
    </row>
    <row r="396" spans="1:12">
      <c r="A396" s="336"/>
      <c r="B396" s="343"/>
      <c r="C396" s="362"/>
      <c r="D396" s="305">
        <v>11.1</v>
      </c>
      <c r="E396" s="303">
        <v>1.1541</v>
      </c>
      <c r="F396" s="305">
        <v>1</v>
      </c>
      <c r="G396" s="306">
        <v>6.95</v>
      </c>
      <c r="H396" s="306">
        <f t="shared" si="446"/>
        <v>69.19</v>
      </c>
      <c r="I396" s="358"/>
      <c r="J396" s="359"/>
      <c r="K396" s="360" t="s">
        <v>656</v>
      </c>
      <c r="L396" s="364"/>
    </row>
    <row r="397" spans="1:12">
      <c r="A397" s="334"/>
      <c r="B397" s="341" t="s">
        <v>194</v>
      </c>
      <c r="C397" s="344" t="s">
        <v>191</v>
      </c>
      <c r="D397" s="305">
        <v>11.1</v>
      </c>
      <c r="E397" s="303">
        <v>1.0127</v>
      </c>
      <c r="F397" s="305">
        <v>1</v>
      </c>
      <c r="G397" s="306">
        <v>7.4</v>
      </c>
      <c r="H397" s="306">
        <f t="shared" si="446"/>
        <v>74.06</v>
      </c>
      <c r="I397" s="353">
        <f t="shared" ref="I397" si="456">ROUND((H397+H398)/2,1)</f>
        <v>73.2</v>
      </c>
      <c r="J397" s="354">
        <f t="shared" ref="J397" si="457">(H397-H398)*100/I397</f>
        <v>2.3360655737705</v>
      </c>
      <c r="K397" s="361" t="s">
        <v>150</v>
      </c>
      <c r="L397" s="363">
        <f t="shared" ref="L397" si="458">H398-H397</f>
        <v>-1.71000000000001</v>
      </c>
    </row>
    <row r="398" spans="1:12">
      <c r="A398" s="336"/>
      <c r="B398" s="343"/>
      <c r="C398" s="362"/>
      <c r="D398" s="305">
        <v>11.1</v>
      </c>
      <c r="E398" s="303">
        <v>1.0958</v>
      </c>
      <c r="F398" s="305">
        <v>1</v>
      </c>
      <c r="G398" s="306">
        <v>7</v>
      </c>
      <c r="H398" s="306">
        <f t="shared" si="446"/>
        <v>72.35</v>
      </c>
      <c r="I398" s="358"/>
      <c r="J398" s="359"/>
      <c r="K398" s="360" t="s">
        <v>656</v>
      </c>
      <c r="L398" s="364"/>
    </row>
    <row r="399" spans="1:12">
      <c r="A399" s="334"/>
      <c r="B399" s="341" t="s">
        <v>838</v>
      </c>
      <c r="C399" s="344"/>
      <c r="D399" s="305">
        <v>11.1</v>
      </c>
      <c r="E399" s="303">
        <v>2.9317</v>
      </c>
      <c r="F399" s="305">
        <v>1</v>
      </c>
      <c r="G399" s="306">
        <v>6.8</v>
      </c>
      <c r="H399" s="306">
        <f t="shared" ref="H399:H400" si="459">ROUND(D399*100*F399*250*100/50/E399/G399/1000,2)</f>
        <v>27.84</v>
      </c>
      <c r="I399" s="353">
        <f t="shared" ref="I399" si="460">ROUND((H399+H400)/2,1)</f>
        <v>28</v>
      </c>
      <c r="J399" s="354">
        <f t="shared" ref="J399" si="461">(H399-H400)*100/I399</f>
        <v>-0.821428571428573</v>
      </c>
      <c r="K399" s="361" t="s">
        <v>150</v>
      </c>
      <c r="L399" s="363">
        <f t="shared" ref="L399" si="462">H400-H399</f>
        <v>0.23</v>
      </c>
    </row>
    <row r="400" spans="1:12">
      <c r="A400" s="336"/>
      <c r="B400" s="343"/>
      <c r="C400" s="362"/>
      <c r="D400" s="305">
        <v>11.1</v>
      </c>
      <c r="E400" s="303">
        <v>3.0188</v>
      </c>
      <c r="F400" s="305">
        <v>1</v>
      </c>
      <c r="G400" s="306">
        <v>6.55</v>
      </c>
      <c r="H400" s="306">
        <f t="shared" si="459"/>
        <v>28.07</v>
      </c>
      <c r="I400" s="358"/>
      <c r="J400" s="359"/>
      <c r="K400" s="360" t="s">
        <v>656</v>
      </c>
      <c r="L400" s="364"/>
    </row>
    <row r="401" spans="1:12">
      <c r="A401" s="334"/>
      <c r="B401" s="341" t="s">
        <v>839</v>
      </c>
      <c r="C401" s="344" t="s">
        <v>840</v>
      </c>
      <c r="D401" s="305">
        <v>11.1</v>
      </c>
      <c r="E401" s="303">
        <v>2.5896</v>
      </c>
      <c r="F401" s="305">
        <v>1</v>
      </c>
      <c r="G401" s="306">
        <v>7.75</v>
      </c>
      <c r="H401" s="306">
        <f t="shared" ref="H401:H402" si="463">ROUND(D401*100*F401*250*100/50/E401/G401/1000,2)</f>
        <v>27.65</v>
      </c>
      <c r="I401" s="353">
        <f t="shared" ref="I401" si="464">ROUND((H401+H402)/2,1)</f>
        <v>27.7</v>
      </c>
      <c r="J401" s="354">
        <f t="shared" ref="J401" si="465">(H401-H402)*100/I401</f>
        <v>-0.613718411552353</v>
      </c>
      <c r="K401" s="361" t="s">
        <v>150</v>
      </c>
      <c r="L401" s="363">
        <f t="shared" ref="L401" si="466">H402-H401</f>
        <v>0.170000000000002</v>
      </c>
    </row>
    <row r="402" spans="1:12">
      <c r="A402" s="336"/>
      <c r="B402" s="343"/>
      <c r="C402" s="362"/>
      <c r="D402" s="305">
        <v>11.1</v>
      </c>
      <c r="E402" s="303">
        <v>2.7514</v>
      </c>
      <c r="F402" s="305">
        <v>1</v>
      </c>
      <c r="G402" s="306">
        <v>7.25</v>
      </c>
      <c r="H402" s="306">
        <f t="shared" si="463"/>
        <v>27.82</v>
      </c>
      <c r="I402" s="358"/>
      <c r="J402" s="359"/>
      <c r="K402" s="360" t="s">
        <v>656</v>
      </c>
      <c r="L402" s="364"/>
    </row>
    <row r="403" spans="1:12">
      <c r="A403" s="334"/>
      <c r="B403" s="341" t="s">
        <v>841</v>
      </c>
      <c r="C403" s="344"/>
      <c r="D403" s="305">
        <v>11.1</v>
      </c>
      <c r="E403" s="303">
        <v>1.1491</v>
      </c>
      <c r="F403" s="305">
        <v>1</v>
      </c>
      <c r="G403" s="306">
        <v>9.5</v>
      </c>
      <c r="H403" s="306">
        <f t="shared" ref="H403:H408" si="467">ROUND(D403*100*F403*250*100/50/E403/G403/1000,2)</f>
        <v>50.84</v>
      </c>
      <c r="I403" s="353">
        <f t="shared" ref="I403" si="468">ROUND((H403+H404)/2,1)</f>
        <v>51.1</v>
      </c>
      <c r="J403" s="354">
        <f t="shared" ref="J403" si="469">(H403-H404)*100/I403</f>
        <v>-0.919765166340507</v>
      </c>
      <c r="K403" s="361" t="s">
        <v>150</v>
      </c>
      <c r="L403" s="363">
        <f>H404-H403</f>
        <v>0.469999999999999</v>
      </c>
    </row>
    <row r="404" spans="1:12">
      <c r="A404" s="336"/>
      <c r="B404" s="343"/>
      <c r="C404" s="362"/>
      <c r="D404" s="305">
        <v>11.1</v>
      </c>
      <c r="E404" s="303">
        <v>1.2154</v>
      </c>
      <c r="F404" s="305">
        <v>1</v>
      </c>
      <c r="G404" s="306">
        <v>8.9</v>
      </c>
      <c r="H404" s="306">
        <f t="shared" si="467"/>
        <v>51.31</v>
      </c>
      <c r="I404" s="358"/>
      <c r="J404" s="359"/>
      <c r="K404" s="360" t="s">
        <v>656</v>
      </c>
      <c r="L404" s="364"/>
    </row>
    <row r="405" spans="1:12">
      <c r="A405" s="334"/>
      <c r="B405" s="341" t="s">
        <v>842</v>
      </c>
      <c r="C405" s="344"/>
      <c r="D405" s="305">
        <v>11.1</v>
      </c>
      <c r="E405" s="303">
        <v>1.1221</v>
      </c>
      <c r="F405" s="305">
        <v>1</v>
      </c>
      <c r="G405" s="306">
        <v>9.45</v>
      </c>
      <c r="H405" s="306">
        <f t="shared" si="467"/>
        <v>52.34</v>
      </c>
      <c r="I405" s="353">
        <f t="shared" ref="I405" si="470">ROUND((H405+H406)/2,1)</f>
        <v>52.2</v>
      </c>
      <c r="J405" s="354">
        <f t="shared" ref="J405" si="471">(H405-H406)*100/I405</f>
        <v>0.536398467432952</v>
      </c>
      <c r="K405" s="361" t="s">
        <v>150</v>
      </c>
      <c r="L405" s="363">
        <f t="shared" ref="L405" si="472">H406-H405</f>
        <v>-0.280000000000001</v>
      </c>
    </row>
    <row r="406" spans="1:12">
      <c r="A406" s="336"/>
      <c r="B406" s="343"/>
      <c r="C406" s="362"/>
      <c r="D406" s="305">
        <v>11.1</v>
      </c>
      <c r="E406" s="303">
        <v>1.3325</v>
      </c>
      <c r="F406" s="305">
        <v>1</v>
      </c>
      <c r="G406" s="306">
        <v>8</v>
      </c>
      <c r="H406" s="306">
        <f t="shared" si="467"/>
        <v>52.06</v>
      </c>
      <c r="I406" s="358"/>
      <c r="J406" s="359"/>
      <c r="K406" s="360" t="s">
        <v>656</v>
      </c>
      <c r="L406" s="364"/>
    </row>
    <row r="407" spans="1:12">
      <c r="A407" s="334"/>
      <c r="B407" s="341" t="s">
        <v>843</v>
      </c>
      <c r="C407" s="344"/>
      <c r="D407" s="305">
        <v>11.1</v>
      </c>
      <c r="E407" s="303">
        <v>1.0796</v>
      </c>
      <c r="F407" s="305">
        <v>1</v>
      </c>
      <c r="G407" s="306">
        <v>9.3</v>
      </c>
      <c r="H407" s="306">
        <f t="shared" si="467"/>
        <v>55.28</v>
      </c>
      <c r="I407" s="353">
        <f t="shared" ref="I407" si="473">ROUND((H407+H408)/2,1)</f>
        <v>55</v>
      </c>
      <c r="J407" s="354">
        <f t="shared" ref="J407" si="474">(H407-H408)*100/I407</f>
        <v>0.890909090909095</v>
      </c>
      <c r="K407" s="361" t="s">
        <v>150</v>
      </c>
      <c r="L407" s="363">
        <f t="shared" ref="L407" si="475">H408-H407</f>
        <v>-0.490000000000002</v>
      </c>
    </row>
    <row r="408" spans="1:12">
      <c r="A408" s="336"/>
      <c r="B408" s="343"/>
      <c r="C408" s="362"/>
      <c r="D408" s="305">
        <v>11.1</v>
      </c>
      <c r="E408" s="303">
        <v>1.2987</v>
      </c>
      <c r="F408" s="305">
        <v>1</v>
      </c>
      <c r="G408" s="306">
        <v>7.8</v>
      </c>
      <c r="H408" s="306">
        <f t="shared" si="467"/>
        <v>54.79</v>
      </c>
      <c r="I408" s="358"/>
      <c r="J408" s="359"/>
      <c r="K408" s="360" t="s">
        <v>656</v>
      </c>
      <c r="L408" s="364"/>
    </row>
    <row r="409" spans="1:12">
      <c r="A409" s="334"/>
      <c r="B409" s="341" t="s">
        <v>844</v>
      </c>
      <c r="C409" s="344"/>
      <c r="D409" s="305">
        <v>11.1</v>
      </c>
      <c r="E409" s="303">
        <v>3.9211</v>
      </c>
      <c r="F409" s="305">
        <v>1</v>
      </c>
      <c r="G409" s="306">
        <v>9</v>
      </c>
      <c r="H409" s="306">
        <f t="shared" ref="H409:H412" si="476">ROUND(D409*100*F409*250*100/50/E409/G409/1000,2)</f>
        <v>15.73</v>
      </c>
      <c r="I409" s="353">
        <f t="shared" ref="I409" si="477">ROUND((H409+H410)/2,1)</f>
        <v>15.8</v>
      </c>
      <c r="J409" s="354">
        <f t="shared" ref="J409" si="478">(H409-H410)*100/I409</f>
        <v>-0.949367088607597</v>
      </c>
      <c r="K409" s="361" t="s">
        <v>150</v>
      </c>
      <c r="L409" s="363">
        <f t="shared" ref="L409" si="479">H410-H409</f>
        <v>0.15</v>
      </c>
    </row>
    <row r="410" spans="1:12">
      <c r="A410" s="336"/>
      <c r="B410" s="343"/>
      <c r="C410" s="362"/>
      <c r="D410" s="305">
        <v>11.1</v>
      </c>
      <c r="E410" s="303">
        <v>3.298</v>
      </c>
      <c r="F410" s="305">
        <v>1</v>
      </c>
      <c r="G410" s="306">
        <v>10.6</v>
      </c>
      <c r="H410" s="306">
        <f t="shared" si="476"/>
        <v>15.88</v>
      </c>
      <c r="I410" s="358"/>
      <c r="J410" s="359"/>
      <c r="K410" s="360" t="s">
        <v>656</v>
      </c>
      <c r="L410" s="364"/>
    </row>
    <row r="411" spans="1:12">
      <c r="A411" s="334"/>
      <c r="B411" s="341" t="s">
        <v>845</v>
      </c>
      <c r="C411" s="344"/>
      <c r="D411" s="305">
        <v>11.1</v>
      </c>
      <c r="E411" s="303">
        <v>4.0337</v>
      </c>
      <c r="F411" s="305">
        <v>1</v>
      </c>
      <c r="G411" s="306">
        <v>9.3</v>
      </c>
      <c r="H411" s="306">
        <f t="shared" si="476"/>
        <v>14.79</v>
      </c>
      <c r="I411" s="353">
        <f t="shared" ref="I411" si="480">ROUND((H411+H412)/2,1)</f>
        <v>14.9</v>
      </c>
      <c r="J411" s="354">
        <f t="shared" ref="J411" si="481">(H411-H412)*100/I411</f>
        <v>-1.67785234899329</v>
      </c>
      <c r="K411" s="361" t="s">
        <v>150</v>
      </c>
      <c r="L411" s="363">
        <f t="shared" ref="L411" si="482">H412-H411</f>
        <v>0.25</v>
      </c>
    </row>
    <row r="412" spans="1:12">
      <c r="A412" s="336"/>
      <c r="B412" s="343"/>
      <c r="C412" s="362"/>
      <c r="D412" s="305">
        <v>11.1</v>
      </c>
      <c r="E412" s="303">
        <v>3.5488</v>
      </c>
      <c r="F412" s="305">
        <v>1</v>
      </c>
      <c r="G412" s="306">
        <v>10.4</v>
      </c>
      <c r="H412" s="306">
        <f t="shared" si="476"/>
        <v>15.04</v>
      </c>
      <c r="I412" s="358"/>
      <c r="J412" s="359"/>
      <c r="K412" s="360" t="s">
        <v>656</v>
      </c>
      <c r="L412" s="364"/>
    </row>
    <row r="413" spans="1:12">
      <c r="A413" s="334"/>
      <c r="B413" s="341" t="s">
        <v>846</v>
      </c>
      <c r="C413" s="344"/>
      <c r="D413" s="305">
        <v>11.1</v>
      </c>
      <c r="E413" s="303">
        <v>2.0076</v>
      </c>
      <c r="F413" s="305">
        <v>2</v>
      </c>
      <c r="G413" s="306">
        <v>9.55</v>
      </c>
      <c r="H413" s="306">
        <f t="shared" ref="H413:H416" si="483">ROUND(D413*100*F413*250*100/50/E413/G413/1000,2)</f>
        <v>57.9</v>
      </c>
      <c r="I413" s="353">
        <f t="shared" ref="I413" si="484">ROUND((H413+H414)/2,1)</f>
        <v>57.6</v>
      </c>
      <c r="J413" s="354">
        <f t="shared" ref="J413" si="485">(H413-H414)*100/I413</f>
        <v>0.902777777777771</v>
      </c>
      <c r="K413" s="361" t="s">
        <v>150</v>
      </c>
      <c r="L413" s="363">
        <f t="shared" ref="L413" si="486">H414-H413</f>
        <v>-0.519999999999996</v>
      </c>
    </row>
    <row r="414" spans="1:12">
      <c r="A414" s="336"/>
      <c r="B414" s="343"/>
      <c r="C414" s="362"/>
      <c r="D414" s="305">
        <v>11.1</v>
      </c>
      <c r="E414" s="303">
        <v>2.0258</v>
      </c>
      <c r="F414" s="305">
        <v>2</v>
      </c>
      <c r="G414" s="306">
        <v>9.55</v>
      </c>
      <c r="H414" s="306">
        <f t="shared" si="483"/>
        <v>57.38</v>
      </c>
      <c r="I414" s="358"/>
      <c r="J414" s="359"/>
      <c r="K414" s="360" t="s">
        <v>656</v>
      </c>
      <c r="L414" s="364"/>
    </row>
    <row r="415" spans="1:12">
      <c r="A415" s="334"/>
      <c r="B415" s="341" t="s">
        <v>847</v>
      </c>
      <c r="C415" s="344"/>
      <c r="D415" s="305">
        <v>11.1</v>
      </c>
      <c r="E415" s="303">
        <v>1.7778</v>
      </c>
      <c r="F415" s="305">
        <v>1</v>
      </c>
      <c r="G415" s="306">
        <v>5.6</v>
      </c>
      <c r="H415" s="306">
        <f t="shared" si="483"/>
        <v>55.75</v>
      </c>
      <c r="I415" s="353">
        <f t="shared" ref="I415" si="487">ROUND((H415+H416)/2,1)</f>
        <v>55.3</v>
      </c>
      <c r="J415" s="354">
        <f t="shared" ref="J415" si="488">(H415-H416)*100/I415</f>
        <v>1.66365280289331</v>
      </c>
      <c r="K415" s="361" t="s">
        <v>150</v>
      </c>
      <c r="L415" s="363">
        <f t="shared" ref="L415" si="489">H416-H415</f>
        <v>-0.920000000000002</v>
      </c>
    </row>
    <row r="416" spans="1:12">
      <c r="A416" s="336"/>
      <c r="B416" s="343"/>
      <c r="C416" s="362"/>
      <c r="D416" s="305">
        <v>11.1</v>
      </c>
      <c r="E416" s="303">
        <v>1.6325</v>
      </c>
      <c r="F416" s="305">
        <v>1</v>
      </c>
      <c r="G416" s="306">
        <v>6.2</v>
      </c>
      <c r="H416" s="306">
        <f t="shared" si="483"/>
        <v>54.83</v>
      </c>
      <c r="I416" s="358"/>
      <c r="J416" s="359"/>
      <c r="K416" s="360" t="s">
        <v>656</v>
      </c>
      <c r="L416" s="364"/>
    </row>
    <row r="417" spans="1:12">
      <c r="A417" s="334"/>
      <c r="B417" s="341" t="s">
        <v>848</v>
      </c>
      <c r="C417" s="344"/>
      <c r="D417" s="305">
        <v>11.1</v>
      </c>
      <c r="E417" s="303">
        <v>3.7545</v>
      </c>
      <c r="F417" s="305">
        <v>1</v>
      </c>
      <c r="G417" s="306">
        <v>10.3</v>
      </c>
      <c r="H417" s="306">
        <f t="shared" ref="H417:H420" si="490">ROUND(D417*100*F417*250*100/50/E417/G417/1000,2)</f>
        <v>14.35</v>
      </c>
      <c r="I417" s="353">
        <f t="shared" ref="I417" si="491">ROUND((H417+H418)/2,1)</f>
        <v>14.2</v>
      </c>
      <c r="J417" s="354">
        <f t="shared" ref="J417" si="492">(H417-H418)*100/I417</f>
        <v>2.67605633802816</v>
      </c>
      <c r="K417" s="361" t="s">
        <v>150</v>
      </c>
      <c r="L417" s="363">
        <f t="shared" ref="L417" si="493">H418-H417</f>
        <v>-0.379999999999999</v>
      </c>
    </row>
    <row r="418" spans="1:12">
      <c r="A418" s="336"/>
      <c r="B418" s="343"/>
      <c r="C418" s="362"/>
      <c r="D418" s="305">
        <v>11.1</v>
      </c>
      <c r="E418" s="303">
        <v>3.8952</v>
      </c>
      <c r="F418" s="305">
        <v>1</v>
      </c>
      <c r="G418" s="306">
        <v>10.2</v>
      </c>
      <c r="H418" s="306">
        <f t="shared" si="490"/>
        <v>13.97</v>
      </c>
      <c r="I418" s="358"/>
      <c r="J418" s="359"/>
      <c r="K418" s="360" t="s">
        <v>656</v>
      </c>
      <c r="L418" s="364"/>
    </row>
    <row r="419" spans="1:12">
      <c r="A419" s="334"/>
      <c r="B419" s="341" t="s">
        <v>849</v>
      </c>
      <c r="C419" s="344"/>
      <c r="D419" s="305">
        <v>11.1</v>
      </c>
      <c r="E419" s="303">
        <v>3.8857</v>
      </c>
      <c r="F419" s="305">
        <v>1</v>
      </c>
      <c r="G419" s="306">
        <v>9.8</v>
      </c>
      <c r="H419" s="306">
        <f t="shared" si="490"/>
        <v>14.57</v>
      </c>
      <c r="I419" s="353">
        <f t="shared" ref="I419" si="494">ROUND((H419+H420)/2,1)</f>
        <v>14.4</v>
      </c>
      <c r="J419" s="354">
        <f t="shared" ref="J419" si="495">(H419-H420)*100/I419</f>
        <v>2.36111111111111</v>
      </c>
      <c r="K419" s="361" t="s">
        <v>150</v>
      </c>
      <c r="L419" s="363">
        <f t="shared" ref="L419" si="496">H420-H419</f>
        <v>-0.34</v>
      </c>
    </row>
    <row r="420" spans="1:12">
      <c r="A420" s="336"/>
      <c r="B420" s="343"/>
      <c r="C420" s="362"/>
      <c r="D420" s="305">
        <v>11.1</v>
      </c>
      <c r="E420" s="303">
        <v>4.0012</v>
      </c>
      <c r="F420" s="305">
        <v>1</v>
      </c>
      <c r="G420" s="306">
        <v>9.75</v>
      </c>
      <c r="H420" s="306">
        <f t="shared" si="490"/>
        <v>14.23</v>
      </c>
      <c r="I420" s="358"/>
      <c r="J420" s="359"/>
      <c r="K420" s="360" t="s">
        <v>656</v>
      </c>
      <c r="L420" s="364"/>
    </row>
    <row r="421" spans="1:12">
      <c r="A421" s="334"/>
      <c r="B421" s="341" t="s">
        <v>850</v>
      </c>
      <c r="C421" s="344"/>
      <c r="D421" s="305">
        <v>11.1</v>
      </c>
      <c r="E421" s="303">
        <v>2.0142</v>
      </c>
      <c r="F421" s="305">
        <v>1</v>
      </c>
      <c r="G421" s="306">
        <v>5.8</v>
      </c>
      <c r="H421" s="306">
        <f t="shared" ref="H421:H422" si="497">ROUND(D421*100*F421*250*100/50/E421/G421/1000,2)</f>
        <v>47.51</v>
      </c>
      <c r="I421" s="353">
        <f t="shared" ref="I421" si="498">ROUND((H421+H422)/2,1)</f>
        <v>47.8</v>
      </c>
      <c r="J421" s="354">
        <f t="shared" ref="J421" si="499">(H421-H422)*100/I421</f>
        <v>-1.40167364016737</v>
      </c>
      <c r="K421" s="361" t="s">
        <v>150</v>
      </c>
      <c r="L421" s="363">
        <f t="shared" ref="L421" si="500">H422-H421</f>
        <v>0.670000000000002</v>
      </c>
    </row>
    <row r="422" spans="1:12">
      <c r="A422" s="336"/>
      <c r="B422" s="343"/>
      <c r="C422" s="362"/>
      <c r="D422" s="305">
        <v>11.1</v>
      </c>
      <c r="E422" s="303">
        <v>1.7859</v>
      </c>
      <c r="F422" s="305">
        <v>1</v>
      </c>
      <c r="G422" s="306">
        <v>6.45</v>
      </c>
      <c r="H422" s="306">
        <f t="shared" si="497"/>
        <v>48.18</v>
      </c>
      <c r="I422" s="358"/>
      <c r="J422" s="359"/>
      <c r="K422" s="360" t="s">
        <v>656</v>
      </c>
      <c r="L422" s="364"/>
    </row>
    <row r="423" spans="1:12">
      <c r="A423" s="334"/>
      <c r="B423" s="341" t="s">
        <v>851</v>
      </c>
      <c r="C423" s="344"/>
      <c r="D423" s="305">
        <v>11.1</v>
      </c>
      <c r="E423" s="303">
        <v>2.5305</v>
      </c>
      <c r="F423" s="305">
        <v>2</v>
      </c>
      <c r="G423" s="306">
        <v>9.2</v>
      </c>
      <c r="H423" s="306">
        <f t="shared" ref="H423:H426" si="501">ROUND(D423*100*F423*250*100/50/E423/G423/1000,2)</f>
        <v>47.68</v>
      </c>
      <c r="I423" s="353">
        <f t="shared" ref="I423" si="502">ROUND((H423+H424)/2,1)</f>
        <v>48.3</v>
      </c>
      <c r="J423" s="354">
        <f t="shared" ref="J423" si="503">(H423-H424)*100/I423</f>
        <v>-2.62939958592133</v>
      </c>
      <c r="K423" s="361" t="s">
        <v>150</v>
      </c>
      <c r="L423" s="363">
        <f t="shared" ref="L423" si="504">H424-H423</f>
        <v>1.27</v>
      </c>
    </row>
    <row r="424" spans="1:12">
      <c r="A424" s="336"/>
      <c r="B424" s="343"/>
      <c r="C424" s="362"/>
      <c r="D424" s="305">
        <v>11.1</v>
      </c>
      <c r="E424" s="303">
        <v>2.4125</v>
      </c>
      <c r="F424" s="305">
        <v>2</v>
      </c>
      <c r="G424" s="306">
        <v>9.4</v>
      </c>
      <c r="H424" s="306">
        <f t="shared" si="501"/>
        <v>48.95</v>
      </c>
      <c r="I424" s="358"/>
      <c r="J424" s="359"/>
      <c r="K424" s="360" t="s">
        <v>656</v>
      </c>
      <c r="L424" s="364"/>
    </row>
    <row r="425" spans="1:12">
      <c r="A425" s="334"/>
      <c r="B425" s="341" t="s">
        <v>852</v>
      </c>
      <c r="C425" s="344"/>
      <c r="D425" s="305">
        <v>11.1</v>
      </c>
      <c r="E425" s="303">
        <v>2.1477</v>
      </c>
      <c r="F425" s="305">
        <v>2</v>
      </c>
      <c r="G425" s="306">
        <v>8.6</v>
      </c>
      <c r="H425" s="306">
        <f t="shared" si="501"/>
        <v>60.1</v>
      </c>
      <c r="I425" s="353">
        <f t="shared" ref="I425" si="505">ROUND((H425+H426)/2,1)</f>
        <v>59.6</v>
      </c>
      <c r="J425" s="354">
        <f t="shared" ref="J425" si="506">(H425-H426)*100/I425</f>
        <v>1.59395973154363</v>
      </c>
      <c r="K425" s="361" t="s">
        <v>150</v>
      </c>
      <c r="L425" s="363">
        <f t="shared" ref="L425" si="507">H426-H425</f>
        <v>-0.950000000000003</v>
      </c>
    </row>
    <row r="426" spans="1:12">
      <c r="A426" s="336"/>
      <c r="B426" s="343"/>
      <c r="C426" s="362"/>
      <c r="D426" s="305">
        <v>11.1</v>
      </c>
      <c r="E426" s="303">
        <v>2.1087</v>
      </c>
      <c r="F426" s="305">
        <v>2</v>
      </c>
      <c r="G426" s="306">
        <v>8.9</v>
      </c>
      <c r="H426" s="306">
        <f t="shared" si="501"/>
        <v>59.15</v>
      </c>
      <c r="I426" s="358"/>
      <c r="J426" s="359"/>
      <c r="K426" s="360" t="s">
        <v>656</v>
      </c>
      <c r="L426" s="364"/>
    </row>
    <row r="427" spans="1:12">
      <c r="A427" s="334"/>
      <c r="B427" s="341" t="s">
        <v>853</v>
      </c>
      <c r="C427" s="344"/>
      <c r="D427" s="305">
        <v>11.1</v>
      </c>
      <c r="E427" s="303">
        <v>1.0535</v>
      </c>
      <c r="F427" s="305">
        <v>1</v>
      </c>
      <c r="G427" s="306">
        <v>7.15</v>
      </c>
      <c r="H427" s="306">
        <f t="shared" ref="H427:H428" si="508">ROUND(D427*100*F427*250*100/50/E427/G427/1000,2)</f>
        <v>73.68</v>
      </c>
      <c r="I427" s="353">
        <f t="shared" ref="I427" si="509">ROUND((H427+H428)/2,1)</f>
        <v>73.1</v>
      </c>
      <c r="J427" s="354">
        <f t="shared" ref="J427" si="510">(H427-H428)*100/I427</f>
        <v>1.69630642954858</v>
      </c>
      <c r="K427" s="361" t="s">
        <v>150</v>
      </c>
      <c r="L427" s="363">
        <f t="shared" ref="L427" si="511">H428-H427</f>
        <v>-1.24000000000001</v>
      </c>
    </row>
    <row r="428" spans="1:12">
      <c r="A428" s="336"/>
      <c r="B428" s="343"/>
      <c r="C428" s="362"/>
      <c r="D428" s="305">
        <v>11.1</v>
      </c>
      <c r="E428" s="303">
        <v>1.0147</v>
      </c>
      <c r="F428" s="305">
        <v>1</v>
      </c>
      <c r="G428" s="306">
        <v>7.55</v>
      </c>
      <c r="H428" s="306">
        <f t="shared" si="508"/>
        <v>72.44</v>
      </c>
      <c r="I428" s="358"/>
      <c r="J428" s="359"/>
      <c r="K428" s="360" t="s">
        <v>656</v>
      </c>
      <c r="L428" s="364"/>
    </row>
    <row r="429" spans="1:12">
      <c r="A429" s="334"/>
      <c r="B429" s="341" t="s">
        <v>854</v>
      </c>
      <c r="C429" s="344"/>
      <c r="D429" s="305">
        <v>11.1</v>
      </c>
      <c r="E429" s="303">
        <v>2.5899</v>
      </c>
      <c r="F429" s="305">
        <v>1</v>
      </c>
      <c r="G429" s="306">
        <v>10.4</v>
      </c>
      <c r="H429" s="306">
        <f t="shared" ref="H429:H430" si="512">ROUND(D429*100*F429*250*100/50/E429/G429/1000,2)</f>
        <v>20.61</v>
      </c>
      <c r="I429" s="353">
        <f t="shared" ref="I429" si="513">ROUND((H429+H430)/2,1)</f>
        <v>20.6</v>
      </c>
      <c r="J429" s="354">
        <f t="shared" ref="J429" si="514">(H429-H430)*100/I429</f>
        <v>-0.145631067961171</v>
      </c>
      <c r="K429" s="361" t="s">
        <v>150</v>
      </c>
      <c r="L429" s="363">
        <f t="shared" ref="L429" si="515">H430-H429</f>
        <v>0.0300000000000011</v>
      </c>
    </row>
    <row r="430" spans="1:12">
      <c r="A430" s="336"/>
      <c r="B430" s="343"/>
      <c r="C430" s="362"/>
      <c r="D430" s="305">
        <v>11.1</v>
      </c>
      <c r="E430" s="303">
        <v>2.6358</v>
      </c>
      <c r="F430" s="305">
        <v>1</v>
      </c>
      <c r="G430" s="306">
        <v>10.2</v>
      </c>
      <c r="H430" s="306">
        <f t="shared" si="512"/>
        <v>20.64</v>
      </c>
      <c r="I430" s="358"/>
      <c r="J430" s="359"/>
      <c r="K430" s="360" t="s">
        <v>656</v>
      </c>
      <c r="L430" s="364"/>
    </row>
    <row r="431" spans="1:12">
      <c r="A431" s="334"/>
      <c r="B431" s="341" t="s">
        <v>855</v>
      </c>
      <c r="C431" s="344"/>
      <c r="D431" s="305">
        <v>11.2</v>
      </c>
      <c r="E431" s="303">
        <v>1.2313</v>
      </c>
      <c r="F431" s="305">
        <v>1</v>
      </c>
      <c r="G431" s="306">
        <v>6.6</v>
      </c>
      <c r="H431" s="306">
        <f t="shared" ref="H431:H432" si="516">ROUND(D431*100*F431*250*100/50/E431/G431/1000,2)</f>
        <v>68.91</v>
      </c>
      <c r="I431" s="353">
        <f t="shared" ref="I431" si="517">ROUND((H431+H432)/2,1)</f>
        <v>69</v>
      </c>
      <c r="J431" s="354">
        <f t="shared" ref="J431" si="518">(H431-H432)*100/I431</f>
        <v>-0.246376811594205</v>
      </c>
      <c r="K431" s="361" t="s">
        <v>150</v>
      </c>
      <c r="L431" s="363">
        <f t="shared" ref="L431" si="519">H432-H431</f>
        <v>0.170000000000002</v>
      </c>
    </row>
    <row r="432" ht="20.25" customHeight="1" spans="1:12">
      <c r="A432" s="336"/>
      <c r="B432" s="343"/>
      <c r="C432" s="362"/>
      <c r="D432" s="305">
        <v>11.2</v>
      </c>
      <c r="E432" s="303">
        <v>1.1749</v>
      </c>
      <c r="F432" s="305">
        <v>1</v>
      </c>
      <c r="G432" s="306">
        <v>6.9</v>
      </c>
      <c r="H432" s="306">
        <f t="shared" si="516"/>
        <v>69.08</v>
      </c>
      <c r="I432" s="358"/>
      <c r="J432" s="359"/>
      <c r="K432" s="360" t="s">
        <v>656</v>
      </c>
      <c r="L432" s="364"/>
    </row>
    <row r="433" spans="1:12">
      <c r="A433" s="334"/>
      <c r="B433" s="341" t="s">
        <v>856</v>
      </c>
      <c r="C433" s="344"/>
      <c r="D433" s="305">
        <v>11.2</v>
      </c>
      <c r="E433" s="303">
        <v>3.0101</v>
      </c>
      <c r="F433" s="305">
        <v>1</v>
      </c>
      <c r="G433" s="306">
        <v>8.1</v>
      </c>
      <c r="H433" s="306">
        <f t="shared" ref="H433:H434" si="520">ROUND(D433*100*F433*250*100/50/E433/G433/1000,2)</f>
        <v>22.97</v>
      </c>
      <c r="I433" s="353">
        <f t="shared" ref="I433" si="521">ROUND((H433+H434)/2,1)</f>
        <v>22.9</v>
      </c>
      <c r="J433" s="354">
        <f t="shared" ref="J433" si="522">(H433-H434)*100/I433</f>
        <v>0.698689956331878</v>
      </c>
      <c r="K433" s="361" t="s">
        <v>150</v>
      </c>
      <c r="L433" s="363">
        <f t="shared" ref="L433" si="523">H434-H433</f>
        <v>-0.16</v>
      </c>
    </row>
    <row r="434" spans="1:12">
      <c r="A434" s="336"/>
      <c r="B434" s="343"/>
      <c r="C434" s="362"/>
      <c r="D434" s="305">
        <v>11.2</v>
      </c>
      <c r="E434" s="303">
        <v>3.2514</v>
      </c>
      <c r="F434" s="305">
        <v>1</v>
      </c>
      <c r="G434" s="306">
        <v>7.55</v>
      </c>
      <c r="H434" s="306">
        <f t="shared" si="520"/>
        <v>22.81</v>
      </c>
      <c r="I434" s="358"/>
      <c r="J434" s="359"/>
      <c r="K434" s="360" t="s">
        <v>656</v>
      </c>
      <c r="L434" s="364"/>
    </row>
    <row r="435" spans="1:12">
      <c r="A435" s="334"/>
      <c r="B435" s="341" t="s">
        <v>857</v>
      </c>
      <c r="C435" s="344"/>
      <c r="D435" s="305">
        <v>11.1</v>
      </c>
      <c r="E435" s="303">
        <v>2.3807</v>
      </c>
      <c r="F435" s="305">
        <v>1</v>
      </c>
      <c r="G435" s="306">
        <v>10.2</v>
      </c>
      <c r="H435" s="306">
        <f t="shared" ref="H435:H436" si="524">ROUND(D435*100*F435*250*100/50/E435/G435/1000,2)</f>
        <v>22.86</v>
      </c>
      <c r="I435" s="353">
        <f t="shared" ref="I435" si="525">ROUND((H435+H436)/2,1)</f>
        <v>22.6</v>
      </c>
      <c r="J435" s="354">
        <f t="shared" ref="J435" si="526">(H435-H436)*100/I435</f>
        <v>1.90265486725664</v>
      </c>
      <c r="K435" s="361" t="s">
        <v>150</v>
      </c>
      <c r="L435" s="363">
        <f t="shared" ref="L435" si="527">H436-H435</f>
        <v>-0.43</v>
      </c>
    </row>
    <row r="436" spans="1:12">
      <c r="A436" s="336"/>
      <c r="B436" s="343"/>
      <c r="C436" s="362"/>
      <c r="D436" s="305">
        <v>11.1</v>
      </c>
      <c r="E436" s="303">
        <v>2.4025</v>
      </c>
      <c r="F436" s="305">
        <v>1</v>
      </c>
      <c r="G436" s="306">
        <v>10.3</v>
      </c>
      <c r="H436" s="306">
        <f t="shared" si="524"/>
        <v>22.43</v>
      </c>
      <c r="I436" s="358"/>
      <c r="J436" s="359"/>
      <c r="K436" s="360" t="s">
        <v>656</v>
      </c>
      <c r="L436" s="364"/>
    </row>
    <row r="437" spans="1:12">
      <c r="A437" s="334"/>
      <c r="B437" s="341" t="s">
        <v>858</v>
      </c>
      <c r="C437" s="344"/>
      <c r="D437" s="305">
        <v>11.1</v>
      </c>
      <c r="E437" s="303">
        <v>4.8674</v>
      </c>
      <c r="F437" s="305">
        <v>1</v>
      </c>
      <c r="G437" s="306">
        <v>10.7</v>
      </c>
      <c r="H437" s="306">
        <f t="shared" ref="H437:H438" si="528">ROUND(D437*100*F437*250*100/50/E437/G437/1000,2)</f>
        <v>10.66</v>
      </c>
      <c r="I437" s="353">
        <f t="shared" ref="I437" si="529">ROUND((H437+H438)/2,1)</f>
        <v>10.6</v>
      </c>
      <c r="J437" s="354">
        <f t="shared" ref="J437" si="530">(H437-H438)*100/I437</f>
        <v>1.60377358490566</v>
      </c>
      <c r="K437" s="361" t="s">
        <v>150</v>
      </c>
      <c r="L437" s="363">
        <f t="shared" ref="L437" si="531">H438-H437</f>
        <v>-0.17</v>
      </c>
    </row>
    <row r="438" spans="1:12">
      <c r="A438" s="336"/>
      <c r="B438" s="343"/>
      <c r="C438" s="362"/>
      <c r="D438" s="305">
        <v>11.1</v>
      </c>
      <c r="E438" s="303">
        <v>4.9688</v>
      </c>
      <c r="F438" s="305">
        <v>1</v>
      </c>
      <c r="G438" s="306">
        <v>10.65</v>
      </c>
      <c r="H438" s="306">
        <f t="shared" si="528"/>
        <v>10.49</v>
      </c>
      <c r="I438" s="358"/>
      <c r="J438" s="359"/>
      <c r="K438" s="360" t="s">
        <v>656</v>
      </c>
      <c r="L438" s="364"/>
    </row>
    <row r="439" spans="1:12">
      <c r="A439" s="334"/>
      <c r="B439" s="341" t="s">
        <v>859</v>
      </c>
      <c r="C439" s="344"/>
      <c r="D439" s="305">
        <v>11.1</v>
      </c>
      <c r="E439" s="303">
        <v>2.7405</v>
      </c>
      <c r="F439" s="305">
        <v>1</v>
      </c>
      <c r="G439" s="306">
        <v>8.55</v>
      </c>
      <c r="H439" s="306">
        <f t="shared" ref="H439:H440" si="532">ROUND(D439*100*F439*250*100/50/E439/G439/1000,2)</f>
        <v>23.69</v>
      </c>
      <c r="I439" s="353">
        <f t="shared" ref="I439" si="533">ROUND((H439+H440)/2,1)</f>
        <v>23.6</v>
      </c>
      <c r="J439" s="354">
        <f t="shared" ref="J439" si="534">(H439-H440)*100/I439</f>
        <v>0.932203389830519</v>
      </c>
      <c r="K439" s="361" t="s">
        <v>150</v>
      </c>
      <c r="L439" s="363">
        <f t="shared" ref="L439" si="535">H440-H439</f>
        <v>-0.220000000000002</v>
      </c>
    </row>
    <row r="440" spans="1:12">
      <c r="A440" s="336"/>
      <c r="B440" s="343"/>
      <c r="C440" s="362"/>
      <c r="D440" s="305">
        <v>11.1</v>
      </c>
      <c r="E440" s="303">
        <v>2.5847</v>
      </c>
      <c r="F440" s="305">
        <v>1</v>
      </c>
      <c r="G440" s="306">
        <v>9.15</v>
      </c>
      <c r="H440" s="306">
        <f t="shared" si="532"/>
        <v>23.47</v>
      </c>
      <c r="I440" s="358"/>
      <c r="J440" s="359"/>
      <c r="K440" s="360" t="s">
        <v>656</v>
      </c>
      <c r="L440" s="364"/>
    </row>
    <row r="442" spans="1:12">
      <c r="A442" s="334"/>
      <c r="B442" s="341" t="s">
        <v>860</v>
      </c>
      <c r="C442" s="344"/>
      <c r="D442" s="305">
        <v>11.1</v>
      </c>
      <c r="E442" s="303">
        <v>1.9833</v>
      </c>
      <c r="F442" s="305">
        <v>1</v>
      </c>
      <c r="G442" s="306">
        <v>13.15</v>
      </c>
      <c r="H442" s="306">
        <f t="shared" ref="H442:H447" si="536">ROUND(D442*100*F442*250*100/50/E442/G442/1000,2)</f>
        <v>21.28</v>
      </c>
      <c r="I442" s="353">
        <f t="shared" ref="I442" si="537">ROUND((H442+H443)/2,1)</f>
        <v>21.2</v>
      </c>
      <c r="J442" s="354">
        <f t="shared" ref="J442" si="538">(H442-H443)*100/I442</f>
        <v>0.990566037735853</v>
      </c>
      <c r="K442" s="361" t="s">
        <v>150</v>
      </c>
      <c r="L442" s="363">
        <f t="shared" ref="L442" si="539">H443-H442</f>
        <v>-0.210000000000001</v>
      </c>
    </row>
    <row r="443" spans="1:12">
      <c r="A443" s="336"/>
      <c r="B443" s="343"/>
      <c r="C443" s="362"/>
      <c r="D443" s="305">
        <v>11.1</v>
      </c>
      <c r="E443" s="303">
        <v>2.0336</v>
      </c>
      <c r="F443" s="305">
        <v>1</v>
      </c>
      <c r="G443" s="306">
        <v>12.95</v>
      </c>
      <c r="H443" s="306">
        <f t="shared" si="536"/>
        <v>21.07</v>
      </c>
      <c r="I443" s="358"/>
      <c r="J443" s="359"/>
      <c r="K443" s="360" t="s">
        <v>656</v>
      </c>
      <c r="L443" s="364"/>
    </row>
    <row r="444" spans="1:12">
      <c r="A444" s="334"/>
      <c r="B444" s="341" t="s">
        <v>861</v>
      </c>
      <c r="C444" s="344"/>
      <c r="D444" s="305">
        <v>11.1</v>
      </c>
      <c r="E444" s="303">
        <v>1.8675</v>
      </c>
      <c r="F444" s="305">
        <v>1</v>
      </c>
      <c r="G444" s="306">
        <v>12.8</v>
      </c>
      <c r="H444" s="306">
        <f t="shared" si="536"/>
        <v>23.22</v>
      </c>
      <c r="I444" s="353">
        <f t="shared" ref="I444" si="540">ROUND((H444+H445)/2,1)</f>
        <v>23.3</v>
      </c>
      <c r="J444" s="354">
        <f t="shared" ref="J444" si="541">(H444-H445)*100/I444</f>
        <v>-0.429184549356229</v>
      </c>
      <c r="K444" s="361" t="s">
        <v>150</v>
      </c>
      <c r="L444" s="363">
        <f t="shared" ref="L444" si="542">H445-H444</f>
        <v>0.100000000000001</v>
      </c>
    </row>
    <row r="445" spans="1:12">
      <c r="A445" s="336"/>
      <c r="B445" s="343"/>
      <c r="C445" s="362"/>
      <c r="D445" s="305">
        <v>11.1</v>
      </c>
      <c r="E445" s="303">
        <v>1.9588</v>
      </c>
      <c r="F445" s="305">
        <v>1</v>
      </c>
      <c r="G445" s="306">
        <v>12.15</v>
      </c>
      <c r="H445" s="306">
        <f t="shared" si="536"/>
        <v>23.32</v>
      </c>
      <c r="I445" s="358"/>
      <c r="J445" s="359"/>
      <c r="K445" s="360" t="s">
        <v>656</v>
      </c>
      <c r="L445" s="364"/>
    </row>
    <row r="446" spans="1:12">
      <c r="A446" s="334"/>
      <c r="B446" s="341" t="s">
        <v>862</v>
      </c>
      <c r="C446" s="344"/>
      <c r="D446" s="305">
        <v>11.1</v>
      </c>
      <c r="E446" s="303">
        <v>2.1078</v>
      </c>
      <c r="F446" s="305">
        <v>1</v>
      </c>
      <c r="G446" s="306">
        <v>11.95</v>
      </c>
      <c r="H446" s="306">
        <f t="shared" si="536"/>
        <v>22.03</v>
      </c>
      <c r="I446" s="353">
        <f t="shared" ref="I446" si="543">ROUND((H446+H447)/2,1)</f>
        <v>22.1</v>
      </c>
      <c r="J446" s="354">
        <f t="shared" ref="J446" si="544">(H446-H447)*100/I446</f>
        <v>-0.497737556561083</v>
      </c>
      <c r="K446" s="361" t="s">
        <v>150</v>
      </c>
      <c r="L446" s="363">
        <f t="shared" ref="L446" si="545">H447-H446</f>
        <v>0.109999999999999</v>
      </c>
    </row>
    <row r="447" spans="1:12">
      <c r="A447" s="336"/>
      <c r="B447" s="343"/>
      <c r="C447" s="362"/>
      <c r="D447" s="305">
        <v>11.1</v>
      </c>
      <c r="E447" s="303">
        <v>2.3214</v>
      </c>
      <c r="F447" s="305">
        <v>1</v>
      </c>
      <c r="G447" s="306">
        <v>10.8</v>
      </c>
      <c r="H447" s="306">
        <f t="shared" si="536"/>
        <v>22.14</v>
      </c>
      <c r="I447" s="358"/>
      <c r="J447" s="359"/>
      <c r="K447" s="360" t="s">
        <v>656</v>
      </c>
      <c r="L447" s="364"/>
    </row>
    <row r="448" spans="1:12">
      <c r="A448" s="334"/>
      <c r="B448" s="341" t="s">
        <v>863</v>
      </c>
      <c r="C448" s="344"/>
      <c r="D448" s="305">
        <v>11.1</v>
      </c>
      <c r="E448" s="303">
        <v>0.8836</v>
      </c>
      <c r="F448" s="305">
        <v>1</v>
      </c>
      <c r="G448" s="306">
        <v>10.15</v>
      </c>
      <c r="H448" s="306">
        <f t="shared" ref="H448:H451" si="546">ROUND(D448*100*F448*250*100/50/E448/G448/1000,2)</f>
        <v>61.88</v>
      </c>
      <c r="I448" s="353">
        <f t="shared" ref="I448" si="547">ROUND((H448+H449)/2,1)</f>
        <v>60.8</v>
      </c>
      <c r="J448" s="354">
        <f t="shared" ref="J448" si="548">(H448-H449)*100/I448</f>
        <v>3.63486842105263</v>
      </c>
      <c r="K448" s="361" t="s">
        <v>150</v>
      </c>
      <c r="L448" s="363">
        <f t="shared" ref="L448" si="549">H449-H448</f>
        <v>-2.21</v>
      </c>
    </row>
    <row r="449" spans="1:12">
      <c r="A449" s="336"/>
      <c r="B449" s="343"/>
      <c r="C449" s="362"/>
      <c r="D449" s="305">
        <v>11.1</v>
      </c>
      <c r="E449" s="303">
        <v>0.9075</v>
      </c>
      <c r="F449" s="305">
        <v>1</v>
      </c>
      <c r="G449" s="306">
        <v>10.25</v>
      </c>
      <c r="H449" s="306">
        <f t="shared" si="546"/>
        <v>59.67</v>
      </c>
      <c r="I449" s="358"/>
      <c r="J449" s="359"/>
      <c r="K449" s="360" t="s">
        <v>656</v>
      </c>
      <c r="L449" s="364"/>
    </row>
    <row r="450" spans="1:12">
      <c r="A450" s="334"/>
      <c r="B450" s="341" t="s">
        <v>864</v>
      </c>
      <c r="C450" s="344"/>
      <c r="D450" s="305">
        <v>11.1</v>
      </c>
      <c r="E450" s="303">
        <v>0.835</v>
      </c>
      <c r="F450" s="305">
        <v>1</v>
      </c>
      <c r="G450" s="306">
        <v>10.95</v>
      </c>
      <c r="H450" s="306">
        <f t="shared" si="546"/>
        <v>60.7</v>
      </c>
      <c r="I450" s="353">
        <f t="shared" ref="I450" si="550">ROUND((H450+H451)/2,1)</f>
        <v>60.5</v>
      </c>
      <c r="J450" s="354">
        <f t="shared" ref="J450" si="551">(H450-H451)*100/I450</f>
        <v>0.578512396694217</v>
      </c>
      <c r="K450" s="361" t="s">
        <v>150</v>
      </c>
      <c r="L450" s="363">
        <f t="shared" ref="L450" si="552">H451-H450</f>
        <v>-0.350000000000001</v>
      </c>
    </row>
    <row r="451" spans="1:12">
      <c r="A451" s="336"/>
      <c r="B451" s="343"/>
      <c r="C451" s="362"/>
      <c r="D451" s="305">
        <v>11.1</v>
      </c>
      <c r="E451" s="303">
        <v>0.8399</v>
      </c>
      <c r="F451" s="305">
        <v>1</v>
      </c>
      <c r="G451" s="306">
        <v>10.95</v>
      </c>
      <c r="H451" s="306">
        <f t="shared" si="546"/>
        <v>60.35</v>
      </c>
      <c r="I451" s="358"/>
      <c r="J451" s="359"/>
      <c r="K451" s="360" t="s">
        <v>656</v>
      </c>
      <c r="L451" s="364"/>
    </row>
    <row r="452" s="321" customFormat="1" spans="1:14">
      <c r="A452" s="368"/>
      <c r="B452" s="116" t="s">
        <v>865</v>
      </c>
      <c r="C452" s="344"/>
      <c r="D452" s="118">
        <v>10.8</v>
      </c>
      <c r="E452" s="119">
        <v>0.90967</v>
      </c>
      <c r="F452" s="118">
        <v>1</v>
      </c>
      <c r="G452" s="120">
        <v>6.95</v>
      </c>
      <c r="H452" s="120">
        <f t="shared" ref="H452:H455" si="553">ROUND(D452*100*F452*250*100/50/E452/G452/1000,2)</f>
        <v>85.41</v>
      </c>
      <c r="I452" s="121">
        <f t="shared" ref="I452" si="554">ROUND((H452+H453)/2,1)</f>
        <v>85.4</v>
      </c>
      <c r="J452" s="135">
        <f t="shared" ref="J452" si="555">(H452-H453)*100/I452</f>
        <v>0</v>
      </c>
      <c r="K452" s="136" t="s">
        <v>150</v>
      </c>
      <c r="L452" s="373">
        <f t="shared" ref="L452" si="556">H453-H452</f>
        <v>0</v>
      </c>
      <c r="M452" s="374"/>
      <c r="N452" s="375"/>
    </row>
    <row r="453" s="321" customFormat="1" spans="1:14">
      <c r="A453" s="369"/>
      <c r="B453" s="122"/>
      <c r="C453" s="362"/>
      <c r="D453" s="118">
        <v>10.8</v>
      </c>
      <c r="E453" s="119">
        <v>0.90967</v>
      </c>
      <c r="F453" s="118">
        <v>1</v>
      </c>
      <c r="G453" s="120">
        <v>6.95</v>
      </c>
      <c r="H453" s="120">
        <f t="shared" si="553"/>
        <v>85.41</v>
      </c>
      <c r="I453" s="124"/>
      <c r="J453" s="137"/>
      <c r="K453" s="138" t="s">
        <v>656</v>
      </c>
      <c r="L453" s="376"/>
      <c r="M453" s="374"/>
      <c r="N453" s="375"/>
    </row>
    <row r="454" spans="1:12">
      <c r="A454" s="334"/>
      <c r="B454" s="341" t="s">
        <v>866</v>
      </c>
      <c r="C454" s="344"/>
      <c r="D454" s="305">
        <v>11.1</v>
      </c>
      <c r="E454" s="303">
        <v>2.9053</v>
      </c>
      <c r="F454" s="305">
        <v>1</v>
      </c>
      <c r="G454" s="306">
        <v>13.8</v>
      </c>
      <c r="H454" s="306">
        <f t="shared" si="553"/>
        <v>13.84</v>
      </c>
      <c r="I454" s="353">
        <f t="shared" ref="I454" si="557">ROUND((H454+H455)/2,1)</f>
        <v>13.8</v>
      </c>
      <c r="J454" s="354">
        <f t="shared" ref="J454" si="558">(H454-H455)*100/I454</f>
        <v>0.144927536231881</v>
      </c>
      <c r="K454" s="361" t="s">
        <v>150</v>
      </c>
      <c r="L454" s="363">
        <f t="shared" ref="L454" si="559">H455-H454</f>
        <v>-0.0199999999999996</v>
      </c>
    </row>
    <row r="455" spans="1:12">
      <c r="A455" s="336"/>
      <c r="B455" s="343"/>
      <c r="C455" s="362"/>
      <c r="D455" s="305">
        <v>11.1</v>
      </c>
      <c r="E455" s="303">
        <v>2.9102</v>
      </c>
      <c r="F455" s="305">
        <v>1</v>
      </c>
      <c r="G455" s="306">
        <v>13.8</v>
      </c>
      <c r="H455" s="306">
        <f t="shared" si="553"/>
        <v>13.82</v>
      </c>
      <c r="I455" s="358"/>
      <c r="J455" s="359"/>
      <c r="K455" s="360" t="s">
        <v>656</v>
      </c>
      <c r="L455" s="364"/>
    </row>
    <row r="456" spans="1:12">
      <c r="A456" s="334"/>
      <c r="B456" s="341" t="s">
        <v>867</v>
      </c>
      <c r="C456" s="344"/>
      <c r="D456" s="305">
        <v>11.1</v>
      </c>
      <c r="E456" s="303">
        <v>2.093</v>
      </c>
      <c r="F456" s="305">
        <v>1</v>
      </c>
      <c r="G456" s="306">
        <v>7.4</v>
      </c>
      <c r="H456" s="306">
        <f t="shared" ref="H456:H459" si="560">ROUND(D456*100*F456*250*100/50/E456/G456/1000,2)</f>
        <v>35.83</v>
      </c>
      <c r="I456" s="353">
        <f t="shared" ref="I456" si="561">ROUND((H456+H457)/2,1)</f>
        <v>35.8</v>
      </c>
      <c r="J456" s="354">
        <f t="shared" ref="J456" si="562">(H456-H457)*100/I456</f>
        <v>0.446927374301667</v>
      </c>
      <c r="K456" s="361" t="s">
        <v>150</v>
      </c>
      <c r="L456" s="363">
        <f t="shared" ref="L456" si="563">H457-H456</f>
        <v>-0.159999999999997</v>
      </c>
    </row>
    <row r="457" spans="1:12">
      <c r="A457" s="336"/>
      <c r="B457" s="343"/>
      <c r="C457" s="362"/>
      <c r="D457" s="305">
        <v>11.1</v>
      </c>
      <c r="E457" s="303">
        <v>2.1025</v>
      </c>
      <c r="F457" s="305">
        <v>1</v>
      </c>
      <c r="G457" s="306">
        <v>7.4</v>
      </c>
      <c r="H457" s="306">
        <f t="shared" si="560"/>
        <v>35.67</v>
      </c>
      <c r="I457" s="358"/>
      <c r="J457" s="359"/>
      <c r="K457" s="360" t="s">
        <v>656</v>
      </c>
      <c r="L457" s="364"/>
    </row>
    <row r="458" spans="1:12">
      <c r="A458" s="334"/>
      <c r="B458" s="341" t="s">
        <v>868</v>
      </c>
      <c r="C458" s="344"/>
      <c r="D458" s="305">
        <v>11.1</v>
      </c>
      <c r="E458" s="303">
        <v>3.0865</v>
      </c>
      <c r="F458" s="305">
        <v>1</v>
      </c>
      <c r="G458" s="306">
        <v>5.3</v>
      </c>
      <c r="H458" s="306">
        <f t="shared" si="560"/>
        <v>33.93</v>
      </c>
      <c r="I458" s="353">
        <f t="shared" ref="I458" si="564">ROUND((H458+H459)/2,1)</f>
        <v>34.1</v>
      </c>
      <c r="J458" s="354">
        <f t="shared" ref="J458" si="565">(H458-H459)*100/I458</f>
        <v>-1.02639296187684</v>
      </c>
      <c r="K458" s="361" t="s">
        <v>150</v>
      </c>
      <c r="L458" s="363">
        <f t="shared" ref="L458" si="566">H459-H458</f>
        <v>0.350000000000001</v>
      </c>
    </row>
    <row r="459" spans="1:12">
      <c r="A459" s="336"/>
      <c r="B459" s="343"/>
      <c r="C459" s="362"/>
      <c r="D459" s="305">
        <v>11.1</v>
      </c>
      <c r="E459" s="303">
        <v>3.0547</v>
      </c>
      <c r="F459" s="305">
        <v>1</v>
      </c>
      <c r="G459" s="306">
        <v>5.3</v>
      </c>
      <c r="H459" s="306">
        <f t="shared" si="560"/>
        <v>34.28</v>
      </c>
      <c r="I459" s="358"/>
      <c r="J459" s="359"/>
      <c r="K459" s="360" t="s">
        <v>656</v>
      </c>
      <c r="L459" s="364"/>
    </row>
    <row r="460" spans="1:12">
      <c r="A460" s="334"/>
      <c r="B460" s="341" t="s">
        <v>869</v>
      </c>
      <c r="C460" s="344"/>
      <c r="D460" s="305">
        <v>11.1</v>
      </c>
      <c r="E460" s="303">
        <v>2.5133</v>
      </c>
      <c r="F460" s="305">
        <v>1</v>
      </c>
      <c r="G460" s="306">
        <v>11.3</v>
      </c>
      <c r="H460" s="306">
        <f t="shared" ref="H460:H461" si="567">ROUND(D460*100*F460*250*100/50/E460/G460/1000,2)</f>
        <v>19.54</v>
      </c>
      <c r="I460" s="353">
        <f t="shared" ref="I460" si="568">ROUND((H460+H461)/2,1)</f>
        <v>19.4</v>
      </c>
      <c r="J460" s="354">
        <f t="shared" ref="J460" si="569">(H460-H461)*100/I460</f>
        <v>1.18556701030928</v>
      </c>
      <c r="K460" s="361" t="s">
        <v>150</v>
      </c>
      <c r="L460" s="363">
        <f t="shared" ref="L460" si="570">H461-H460</f>
        <v>-0.23</v>
      </c>
    </row>
    <row r="461" spans="1:12">
      <c r="A461" s="336"/>
      <c r="B461" s="343"/>
      <c r="C461" s="362"/>
      <c r="D461" s="305">
        <v>11.1</v>
      </c>
      <c r="E461" s="303">
        <v>2.5215</v>
      </c>
      <c r="F461" s="305">
        <v>1</v>
      </c>
      <c r="G461" s="306">
        <v>11.4</v>
      </c>
      <c r="H461" s="306">
        <f t="shared" si="567"/>
        <v>19.31</v>
      </c>
      <c r="I461" s="358"/>
      <c r="J461" s="359"/>
      <c r="K461" s="360" t="s">
        <v>656</v>
      </c>
      <c r="L461" s="364"/>
    </row>
    <row r="462" spans="1:12">
      <c r="A462" s="334"/>
      <c r="B462" s="341" t="s">
        <v>870</v>
      </c>
      <c r="C462" s="344"/>
      <c r="D462" s="305">
        <v>11.1</v>
      </c>
      <c r="E462" s="303">
        <v>1.4598</v>
      </c>
      <c r="F462" s="305">
        <v>1</v>
      </c>
      <c r="G462" s="306">
        <v>5.75</v>
      </c>
      <c r="H462" s="306">
        <f t="shared" ref="H462:H465" si="571">ROUND(D462*100*F462*250*100/50/E462/G462/1000,2)</f>
        <v>66.12</v>
      </c>
      <c r="I462" s="353">
        <f t="shared" ref="I462" si="572">ROUND((H462+H463)/2,1)</f>
        <v>66.3</v>
      </c>
      <c r="J462" s="354">
        <f t="shared" ref="J462" si="573">(H462-H463)*100/I462</f>
        <v>-0.482654600301649</v>
      </c>
      <c r="K462" s="361" t="s">
        <v>150</v>
      </c>
      <c r="L462" s="363">
        <f t="shared" ref="L462" si="574">H463-H462</f>
        <v>0.319999999999993</v>
      </c>
    </row>
    <row r="463" spans="1:12">
      <c r="A463" s="336"/>
      <c r="B463" s="343"/>
      <c r="C463" s="362"/>
      <c r="D463" s="305">
        <v>11.1</v>
      </c>
      <c r="E463" s="303">
        <v>1.3052</v>
      </c>
      <c r="F463" s="305">
        <v>1</v>
      </c>
      <c r="G463" s="306">
        <v>6.4</v>
      </c>
      <c r="H463" s="306">
        <f t="shared" si="571"/>
        <v>66.44</v>
      </c>
      <c r="I463" s="358"/>
      <c r="J463" s="359"/>
      <c r="K463" s="360" t="s">
        <v>656</v>
      </c>
      <c r="L463" s="364"/>
    </row>
    <row r="464" spans="1:12">
      <c r="A464" s="334"/>
      <c r="B464" s="341" t="s">
        <v>865</v>
      </c>
      <c r="C464" s="344" t="s">
        <v>222</v>
      </c>
      <c r="D464" s="305">
        <v>10.8</v>
      </c>
      <c r="E464" s="303">
        <v>0.8971</v>
      </c>
      <c r="F464" s="305">
        <v>1</v>
      </c>
      <c r="G464" s="306">
        <v>7.3</v>
      </c>
      <c r="H464" s="306">
        <f t="shared" si="571"/>
        <v>82.46</v>
      </c>
      <c r="I464" s="353">
        <f t="shared" ref="I464" si="575">ROUND((H464+H465)/2,1)</f>
        <v>82</v>
      </c>
      <c r="J464" s="353">
        <f t="shared" ref="J464" si="576">(H464-H465)*100/I464</f>
        <v>1.04878048780488</v>
      </c>
      <c r="K464" s="361" t="s">
        <v>150</v>
      </c>
      <c r="L464" s="363">
        <f t="shared" ref="L464" si="577">H465-H464</f>
        <v>-0.859999999999999</v>
      </c>
    </row>
    <row r="465" spans="1:12">
      <c r="A465" s="336"/>
      <c r="B465" s="343"/>
      <c r="C465" s="362"/>
      <c r="D465" s="305">
        <v>10.8</v>
      </c>
      <c r="E465" s="303">
        <v>0.865</v>
      </c>
      <c r="F465" s="305">
        <v>1</v>
      </c>
      <c r="G465" s="306">
        <v>7.65</v>
      </c>
      <c r="H465" s="306">
        <f t="shared" si="571"/>
        <v>81.6</v>
      </c>
      <c r="I465" s="358"/>
      <c r="J465" s="358"/>
      <c r="K465" s="360" t="s">
        <v>656</v>
      </c>
      <c r="L465" s="364"/>
    </row>
    <row r="466" spans="1:12">
      <c r="A466" s="334"/>
      <c r="B466" s="341" t="s">
        <v>871</v>
      </c>
      <c r="C466" s="344"/>
      <c r="D466" s="305">
        <v>10.8</v>
      </c>
      <c r="E466" s="303">
        <v>0.9405</v>
      </c>
      <c r="F466" s="305">
        <v>1</v>
      </c>
      <c r="G466" s="306">
        <v>8.35</v>
      </c>
      <c r="H466" s="306">
        <f t="shared" ref="H466:H467" si="578">ROUND(D466*100*F466*250*100/50/E466/G466/1000,2)</f>
        <v>68.76</v>
      </c>
      <c r="I466" s="353">
        <f t="shared" ref="I466" si="579">ROUND((H466+H467)/2,1)</f>
        <v>68.4</v>
      </c>
      <c r="J466" s="354">
        <f t="shared" ref="J466" si="580">(H466-H467)*100/I466</f>
        <v>0.935672514619884</v>
      </c>
      <c r="K466" s="361" t="s">
        <v>150</v>
      </c>
      <c r="L466" s="363">
        <f t="shared" ref="L466" si="581">H467-H466</f>
        <v>-0.640000000000001</v>
      </c>
    </row>
    <row r="467" spans="1:12">
      <c r="A467" s="336"/>
      <c r="B467" s="343"/>
      <c r="C467" s="362"/>
      <c r="D467" s="305">
        <v>10.8</v>
      </c>
      <c r="E467" s="303">
        <v>0.9326</v>
      </c>
      <c r="F467" s="305">
        <v>1</v>
      </c>
      <c r="G467" s="306">
        <v>8.5</v>
      </c>
      <c r="H467" s="306">
        <f t="shared" si="578"/>
        <v>68.12</v>
      </c>
      <c r="I467" s="358"/>
      <c r="J467" s="359"/>
      <c r="K467" s="360" t="s">
        <v>656</v>
      </c>
      <c r="L467" s="364"/>
    </row>
    <row r="468" spans="1:12">
      <c r="A468" s="334"/>
      <c r="B468" s="341" t="s">
        <v>872</v>
      </c>
      <c r="C468" s="344"/>
      <c r="D468" s="305">
        <v>10.8</v>
      </c>
      <c r="E468" s="303">
        <v>1.1823</v>
      </c>
      <c r="F468" s="305">
        <v>1</v>
      </c>
      <c r="G468" s="306">
        <v>6.4</v>
      </c>
      <c r="H468" s="306">
        <f t="shared" ref="H468:H469" si="582">ROUND(D468*100*F468*250*100/50/E468/G468/1000,2)</f>
        <v>71.37</v>
      </c>
      <c r="I468" s="353">
        <f t="shared" ref="I468" si="583">ROUND((H468+H469)/2,1)</f>
        <v>71.7</v>
      </c>
      <c r="J468" s="354">
        <f t="shared" ref="J468" si="584">(H468-H469)*100/I468</f>
        <v>-0.808926080892606</v>
      </c>
      <c r="K468" s="361" t="s">
        <v>150</v>
      </c>
      <c r="L468" s="363">
        <f t="shared" ref="L468" si="585">H469-H468</f>
        <v>0.579999999999998</v>
      </c>
    </row>
    <row r="469" spans="1:12">
      <c r="A469" s="336"/>
      <c r="B469" s="343"/>
      <c r="C469" s="362"/>
      <c r="D469" s="305">
        <v>10.8</v>
      </c>
      <c r="E469" s="303">
        <v>1.1547</v>
      </c>
      <c r="F469" s="305">
        <v>1</v>
      </c>
      <c r="G469" s="306">
        <v>6.5</v>
      </c>
      <c r="H469" s="306">
        <f t="shared" si="582"/>
        <v>71.95</v>
      </c>
      <c r="I469" s="358"/>
      <c r="J469" s="359"/>
      <c r="K469" s="360" t="s">
        <v>656</v>
      </c>
      <c r="L469" s="364"/>
    </row>
    <row r="470" spans="1:12">
      <c r="A470" s="334"/>
      <c r="B470" s="341" t="s">
        <v>873</v>
      </c>
      <c r="C470" s="344"/>
      <c r="D470" s="305">
        <v>10.8</v>
      </c>
      <c r="E470" s="303">
        <v>3.0895</v>
      </c>
      <c r="F470" s="305">
        <v>1</v>
      </c>
      <c r="G470" s="306">
        <v>10.6</v>
      </c>
      <c r="H470" s="306">
        <f t="shared" ref="H470:H471" si="586">ROUND(D470*100*F470*250*100/50/E470/G470/1000,2)</f>
        <v>16.49</v>
      </c>
      <c r="I470" s="353">
        <f t="shared" ref="I470" si="587">ROUND((H470+H471)/2,1)</f>
        <v>16.4</v>
      </c>
      <c r="J470" s="354">
        <f t="shared" ref="J470" si="588">(H470-H471)*100/I470</f>
        <v>0.792682926829262</v>
      </c>
      <c r="K470" s="361" t="s">
        <v>150</v>
      </c>
      <c r="L470" s="363">
        <f t="shared" ref="L470" si="589">H471-H470</f>
        <v>-0.129999999999999</v>
      </c>
    </row>
    <row r="471" spans="1:12">
      <c r="A471" s="336"/>
      <c r="B471" s="343"/>
      <c r="C471" s="362"/>
      <c r="D471" s="305">
        <v>10.8</v>
      </c>
      <c r="E471" s="303">
        <v>3.1147</v>
      </c>
      <c r="F471" s="305">
        <v>1</v>
      </c>
      <c r="G471" s="306">
        <v>10.6</v>
      </c>
      <c r="H471" s="306">
        <f t="shared" si="586"/>
        <v>16.36</v>
      </c>
      <c r="I471" s="358"/>
      <c r="J471" s="359"/>
      <c r="K471" s="360" t="s">
        <v>656</v>
      </c>
      <c r="L471" s="364"/>
    </row>
    <row r="472" spans="1:12">
      <c r="A472" s="334"/>
      <c r="B472" s="341" t="s">
        <v>874</v>
      </c>
      <c r="C472" s="344"/>
      <c r="D472" s="305">
        <v>10.8</v>
      </c>
      <c r="E472" s="303">
        <v>3.2614</v>
      </c>
      <c r="F472" s="305">
        <v>1</v>
      </c>
      <c r="G472" s="306">
        <v>9.9</v>
      </c>
      <c r="H472" s="306">
        <f t="shared" ref="H472:H473" si="590">ROUND(D472*100*F472*250*100/50/E472/G472/1000,2)</f>
        <v>16.72</v>
      </c>
      <c r="I472" s="353">
        <f t="shared" ref="I472" si="591">ROUND((H472+H473)/2,1)</f>
        <v>16.6</v>
      </c>
      <c r="J472" s="354">
        <f t="shared" ref="J472" si="592">(H472-H473)*100/I472</f>
        <v>1.62650602409638</v>
      </c>
      <c r="K472" s="361" t="s">
        <v>150</v>
      </c>
      <c r="L472" s="363">
        <f t="shared" ref="L472" si="593">H473-H472</f>
        <v>-0.27</v>
      </c>
    </row>
    <row r="473" spans="1:12">
      <c r="A473" s="336"/>
      <c r="B473" s="343"/>
      <c r="C473" s="362"/>
      <c r="D473" s="305">
        <v>10.8</v>
      </c>
      <c r="E473" s="303">
        <v>3.2985</v>
      </c>
      <c r="F473" s="305">
        <v>1</v>
      </c>
      <c r="G473" s="306">
        <v>9.95</v>
      </c>
      <c r="H473" s="306">
        <f t="shared" si="590"/>
        <v>16.45</v>
      </c>
      <c r="I473" s="358"/>
      <c r="J473" s="359"/>
      <c r="K473" s="360" t="s">
        <v>656</v>
      </c>
      <c r="L473" s="364"/>
    </row>
    <row r="474" spans="1:12">
      <c r="A474" s="334"/>
      <c r="B474" s="341" t="s">
        <v>875</v>
      </c>
      <c r="C474" s="344"/>
      <c r="D474" s="305">
        <v>10.8</v>
      </c>
      <c r="E474" s="303">
        <v>3.4516</v>
      </c>
      <c r="F474" s="305">
        <v>1</v>
      </c>
      <c r="G474" s="306">
        <v>6.9</v>
      </c>
      <c r="H474" s="306">
        <f t="shared" ref="H474:H475" si="594">ROUND(D474*100*F474*250*100/50/E474/G474/1000,2)</f>
        <v>22.67</v>
      </c>
      <c r="I474" s="353">
        <f t="shared" ref="I474" si="595">ROUND((H474+H475)/2,1)</f>
        <v>22.8</v>
      </c>
      <c r="J474" s="354">
        <f t="shared" ref="J474" si="596">(H474-H475)*100/I474</f>
        <v>-0.964912280701749</v>
      </c>
      <c r="K474" s="361" t="s">
        <v>150</v>
      </c>
      <c r="L474" s="363">
        <f t="shared" ref="L474" si="597">H475-H474</f>
        <v>0.219999999999999</v>
      </c>
    </row>
    <row r="475" spans="1:12">
      <c r="A475" s="336"/>
      <c r="B475" s="343"/>
      <c r="C475" s="362"/>
      <c r="D475" s="305">
        <v>10.8</v>
      </c>
      <c r="E475" s="303">
        <v>3.3698</v>
      </c>
      <c r="F475" s="305">
        <v>1</v>
      </c>
      <c r="G475" s="306">
        <v>7</v>
      </c>
      <c r="H475" s="306">
        <f t="shared" si="594"/>
        <v>22.89</v>
      </c>
      <c r="I475" s="358"/>
      <c r="J475" s="359"/>
      <c r="K475" s="360" t="s">
        <v>656</v>
      </c>
      <c r="L475" s="364"/>
    </row>
    <row r="476" spans="1:12">
      <c r="A476" s="334"/>
      <c r="B476" s="341" t="s">
        <v>876</v>
      </c>
      <c r="C476" s="344"/>
      <c r="D476" s="305">
        <v>10.8</v>
      </c>
      <c r="E476" s="303">
        <v>2.1271</v>
      </c>
      <c r="F476" s="305">
        <v>1</v>
      </c>
      <c r="G476" s="306">
        <v>11.2</v>
      </c>
      <c r="H476" s="306">
        <f>ROUND(D476*100*F476*200*100/50/E476/G476/1000,2)</f>
        <v>18.13</v>
      </c>
      <c r="I476" s="353">
        <f>ROUND((H476+H477)/2,1)</f>
        <v>18.1</v>
      </c>
      <c r="J476" s="354">
        <f t="shared" ref="J476" si="598">(H476-H477)*100/I476</f>
        <v>0.552486187845292</v>
      </c>
      <c r="K476" s="133" t="s">
        <v>877</v>
      </c>
      <c r="L476" s="363">
        <f t="shared" ref="L476" si="599">H477-H476</f>
        <v>-0.0999999999999979</v>
      </c>
    </row>
    <row r="477" spans="1:12">
      <c r="A477" s="336"/>
      <c r="B477" s="343"/>
      <c r="C477" s="362"/>
      <c r="D477" s="305">
        <v>10.8</v>
      </c>
      <c r="E477" s="303">
        <v>2.2398</v>
      </c>
      <c r="F477" s="305">
        <v>1</v>
      </c>
      <c r="G477" s="306">
        <v>10.7</v>
      </c>
      <c r="H477" s="306">
        <f>ROUND(D477*100*F477*200*100/50/E477/G477/1000,2)</f>
        <v>18.03</v>
      </c>
      <c r="I477" s="358"/>
      <c r="J477" s="359"/>
      <c r="K477" s="134" t="s">
        <v>656</v>
      </c>
      <c r="L477" s="364"/>
    </row>
    <row r="478" spans="1:12">
      <c r="A478" s="334"/>
      <c r="B478" s="341" t="s">
        <v>878</v>
      </c>
      <c r="C478" s="344"/>
      <c r="D478" s="305">
        <v>10.8</v>
      </c>
      <c r="E478" s="303">
        <v>2.2595</v>
      </c>
      <c r="F478" s="305">
        <v>1</v>
      </c>
      <c r="G478" s="306">
        <v>10.5</v>
      </c>
      <c r="H478" s="306">
        <f t="shared" ref="H478:H479" si="600">ROUND(D478*100*F478*200*100/50/E478/G478/1000,2)</f>
        <v>18.21</v>
      </c>
      <c r="I478" s="353">
        <f t="shared" ref="I478" si="601">ROUND((H478+H479)/2,1)</f>
        <v>18.3</v>
      </c>
      <c r="J478" s="354">
        <f t="shared" ref="J478" si="602">(H478-H479)*100/I478</f>
        <v>-1.47540983606557</v>
      </c>
      <c r="K478" s="133" t="s">
        <v>877</v>
      </c>
      <c r="L478" s="363">
        <f t="shared" ref="L478" si="603">H479-H478</f>
        <v>0.27</v>
      </c>
    </row>
    <row r="479" spans="1:12">
      <c r="A479" s="336"/>
      <c r="B479" s="343"/>
      <c r="C479" s="362"/>
      <c r="D479" s="305">
        <v>10.8</v>
      </c>
      <c r="E479" s="303">
        <v>2.3858</v>
      </c>
      <c r="F479" s="305">
        <v>1</v>
      </c>
      <c r="G479" s="306">
        <v>9.8</v>
      </c>
      <c r="H479" s="306">
        <f t="shared" si="600"/>
        <v>18.48</v>
      </c>
      <c r="I479" s="358"/>
      <c r="J479" s="359"/>
      <c r="K479" s="134" t="s">
        <v>656</v>
      </c>
      <c r="L479" s="364"/>
    </row>
    <row r="480" spans="1:12">
      <c r="A480" s="334"/>
      <c r="B480" s="341" t="s">
        <v>879</v>
      </c>
      <c r="C480" s="344"/>
      <c r="D480" s="305">
        <v>11</v>
      </c>
      <c r="E480" s="303">
        <v>1.1291</v>
      </c>
      <c r="F480" s="305">
        <v>1</v>
      </c>
      <c r="G480" s="306">
        <v>7.85</v>
      </c>
      <c r="H480" s="306">
        <f t="shared" ref="H480:H486" si="604">ROUND(D480*100*F480*250*100/50/E480/G480/1000,2)</f>
        <v>62.05</v>
      </c>
      <c r="I480" s="353">
        <f t="shared" ref="I480" si="605">ROUND((H480+H481)/2,1)</f>
        <v>62.1</v>
      </c>
      <c r="J480" s="354">
        <f t="shared" ref="J480" si="606">(H480-H481)*100/I480</f>
        <v>0</v>
      </c>
      <c r="K480" s="361" t="s">
        <v>150</v>
      </c>
      <c r="L480" s="363">
        <f t="shared" ref="L480" si="607">H481-H480</f>
        <v>0</v>
      </c>
    </row>
    <row r="481" spans="1:12">
      <c r="A481" s="336"/>
      <c r="B481" s="343"/>
      <c r="C481" s="362"/>
      <c r="D481" s="305">
        <v>11</v>
      </c>
      <c r="E481" s="303">
        <v>1.1291</v>
      </c>
      <c r="F481" s="305">
        <v>1</v>
      </c>
      <c r="G481" s="306">
        <v>7.85</v>
      </c>
      <c r="H481" s="306">
        <f t="shared" si="604"/>
        <v>62.05</v>
      </c>
      <c r="I481" s="358"/>
      <c r="J481" s="359"/>
      <c r="K481" s="360" t="s">
        <v>656</v>
      </c>
      <c r="L481" s="364"/>
    </row>
    <row r="482" spans="1:12">
      <c r="A482" s="370"/>
      <c r="B482" s="371"/>
      <c r="C482" s="372"/>
      <c r="D482" s="305"/>
      <c r="E482" s="303"/>
      <c r="F482" s="305"/>
      <c r="G482" s="306"/>
      <c r="H482" s="306"/>
      <c r="I482" s="377"/>
      <c r="J482" s="378"/>
      <c r="K482" s="365"/>
      <c r="L482" s="379"/>
    </row>
    <row r="483" spans="1:12">
      <c r="A483" s="334"/>
      <c r="B483" s="341" t="s">
        <v>880</v>
      </c>
      <c r="C483" s="344"/>
      <c r="D483" s="305">
        <v>10.7</v>
      </c>
      <c r="E483" s="303">
        <v>4.1674</v>
      </c>
      <c r="F483" s="305">
        <v>1</v>
      </c>
      <c r="G483" s="306">
        <v>6.7</v>
      </c>
      <c r="H483" s="306">
        <f t="shared" si="604"/>
        <v>19.16</v>
      </c>
      <c r="I483" s="353">
        <f t="shared" ref="I483" si="608">ROUND((H483+H484)/2,1)</f>
        <v>19</v>
      </c>
      <c r="J483" s="354">
        <f t="shared" ref="J483" si="609">(H483-H484)*100/I483</f>
        <v>2.05263157894737</v>
      </c>
      <c r="K483" s="361" t="s">
        <v>150</v>
      </c>
      <c r="L483" s="363">
        <f t="shared" ref="L483" si="610">H484-H483</f>
        <v>-0.390000000000001</v>
      </c>
    </row>
    <row r="484" spans="1:12">
      <c r="A484" s="336"/>
      <c r="B484" s="343"/>
      <c r="C484" s="362"/>
      <c r="D484" s="305">
        <v>10.7</v>
      </c>
      <c r="E484" s="303">
        <v>4.2531</v>
      </c>
      <c r="F484" s="305">
        <v>1</v>
      </c>
      <c r="G484" s="306">
        <v>6.7</v>
      </c>
      <c r="H484" s="306">
        <f t="shared" si="604"/>
        <v>18.77</v>
      </c>
      <c r="I484" s="358"/>
      <c r="J484" s="359"/>
      <c r="K484" s="360" t="s">
        <v>656</v>
      </c>
      <c r="L484" s="364"/>
    </row>
    <row r="485" spans="1:12">
      <c r="A485" s="334"/>
      <c r="B485" s="341" t="s">
        <v>881</v>
      </c>
      <c r="C485" s="344"/>
      <c r="D485" s="305">
        <v>10.7</v>
      </c>
      <c r="E485" s="303">
        <v>2.9377</v>
      </c>
      <c r="F485" s="305">
        <v>1</v>
      </c>
      <c r="G485" s="306">
        <v>6</v>
      </c>
      <c r="H485" s="306">
        <f t="shared" si="604"/>
        <v>30.35</v>
      </c>
      <c r="I485" s="353">
        <f t="shared" ref="I485" si="611">ROUND((H485+H486)/2,1)</f>
        <v>30.2</v>
      </c>
      <c r="J485" s="354">
        <f t="shared" ref="J485" si="612">(H485-H486)*100/I485</f>
        <v>0.827814569536424</v>
      </c>
      <c r="K485" s="361" t="s">
        <v>150</v>
      </c>
      <c r="L485" s="363">
        <f t="shared" ref="L485" si="613">H486-H485</f>
        <v>-0.25</v>
      </c>
    </row>
    <row r="486" spans="1:12">
      <c r="A486" s="336"/>
      <c r="B486" s="343"/>
      <c r="C486" s="362"/>
      <c r="D486" s="305">
        <v>10.7</v>
      </c>
      <c r="E486" s="303">
        <v>3.0125</v>
      </c>
      <c r="F486" s="305">
        <v>1</v>
      </c>
      <c r="G486" s="306">
        <v>5.9</v>
      </c>
      <c r="H486" s="306">
        <f t="shared" si="604"/>
        <v>30.1</v>
      </c>
      <c r="I486" s="358"/>
      <c r="J486" s="359"/>
      <c r="K486" s="360" t="s">
        <v>656</v>
      </c>
      <c r="L486" s="364"/>
    </row>
    <row r="487" spans="1:12">
      <c r="A487" s="334"/>
      <c r="B487" s="341" t="s">
        <v>882</v>
      </c>
      <c r="C487" s="344"/>
      <c r="D487" s="305">
        <v>10.7</v>
      </c>
      <c r="E487" s="303">
        <v>4.0501</v>
      </c>
      <c r="F487" s="305">
        <v>2</v>
      </c>
      <c r="G487" s="306">
        <v>9.1</v>
      </c>
      <c r="H487" s="306">
        <f t="shared" ref="H487:H502" si="614">ROUND(D487*100*F487*250*100/50/E487/G487/1000,2)</f>
        <v>29.03</v>
      </c>
      <c r="I487" s="353">
        <f t="shared" ref="I487" si="615">ROUND((H487+H488)/2,1)</f>
        <v>29</v>
      </c>
      <c r="J487" s="354">
        <f t="shared" ref="J487" si="616">(H487-H488)*100/I487</f>
        <v>0.551724137931035</v>
      </c>
      <c r="K487" s="361" t="s">
        <v>883</v>
      </c>
      <c r="L487" s="363">
        <f t="shared" ref="L487" si="617">H488-H487</f>
        <v>-0.16</v>
      </c>
    </row>
    <row r="488" spans="1:12">
      <c r="A488" s="336"/>
      <c r="B488" s="343"/>
      <c r="C488" s="362"/>
      <c r="D488" s="305">
        <v>10.7</v>
      </c>
      <c r="E488" s="303">
        <v>3.5988</v>
      </c>
      <c r="F488" s="305">
        <v>2</v>
      </c>
      <c r="G488" s="306">
        <v>10.3</v>
      </c>
      <c r="H488" s="306">
        <f t="shared" si="614"/>
        <v>28.87</v>
      </c>
      <c r="I488" s="358"/>
      <c r="J488" s="359"/>
      <c r="K488" s="360" t="s">
        <v>656</v>
      </c>
      <c r="L488" s="364"/>
    </row>
    <row r="489" spans="1:12">
      <c r="A489" s="334"/>
      <c r="B489" s="341" t="s">
        <v>884</v>
      </c>
      <c r="C489" s="344"/>
      <c r="D489" s="305">
        <v>10.7</v>
      </c>
      <c r="E489" s="303">
        <v>3.8145</v>
      </c>
      <c r="F489" s="305">
        <v>1</v>
      </c>
      <c r="G489" s="306">
        <v>6</v>
      </c>
      <c r="H489" s="306">
        <f t="shared" si="614"/>
        <v>23.38</v>
      </c>
      <c r="I489" s="353">
        <f t="shared" ref="I489" si="618">ROUND((H489+H490)/2,1)</f>
        <v>23.5</v>
      </c>
      <c r="J489" s="354">
        <f t="shared" ref="J489" si="619">(H489-H490)*100/I489</f>
        <v>-0.680851063829788</v>
      </c>
      <c r="K489" s="361" t="s">
        <v>885</v>
      </c>
      <c r="L489" s="363">
        <f t="shared" ref="L489" si="620">H490-H489</f>
        <v>0.16</v>
      </c>
    </row>
    <row r="490" spans="1:12">
      <c r="A490" s="336"/>
      <c r="B490" s="343"/>
      <c r="C490" s="362"/>
      <c r="D490" s="305">
        <v>10.7</v>
      </c>
      <c r="E490" s="303">
        <v>3.0298</v>
      </c>
      <c r="F490" s="305">
        <v>1</v>
      </c>
      <c r="G490" s="306">
        <v>7.5</v>
      </c>
      <c r="H490" s="306">
        <f t="shared" si="614"/>
        <v>23.54</v>
      </c>
      <c r="I490" s="358"/>
      <c r="J490" s="359"/>
      <c r="K490" s="360" t="s">
        <v>656</v>
      </c>
      <c r="L490" s="364"/>
    </row>
    <row r="491" spans="1:12">
      <c r="A491" s="334"/>
      <c r="B491" s="341" t="s">
        <v>886</v>
      </c>
      <c r="C491" s="344"/>
      <c r="D491" s="305">
        <v>10.7</v>
      </c>
      <c r="E491" s="303">
        <v>3.5424</v>
      </c>
      <c r="F491" s="305">
        <v>2</v>
      </c>
      <c r="G491" s="306">
        <v>9</v>
      </c>
      <c r="H491" s="306">
        <f t="shared" si="614"/>
        <v>33.56</v>
      </c>
      <c r="I491" s="353">
        <f t="shared" ref="I491" si="621">ROUND((H491+H492)/2,1)</f>
        <v>33.7</v>
      </c>
      <c r="J491" s="354">
        <f t="shared" ref="J491" si="622">(H491-H492)*100/I491</f>
        <v>-0.682492581602365</v>
      </c>
      <c r="K491" s="361" t="s">
        <v>887</v>
      </c>
      <c r="L491" s="363">
        <f t="shared" ref="L491" si="623">H492-H491</f>
        <v>0.229999999999997</v>
      </c>
    </row>
    <row r="492" spans="1:12">
      <c r="A492" s="336"/>
      <c r="B492" s="343"/>
      <c r="C492" s="362"/>
      <c r="D492" s="305">
        <v>10.7</v>
      </c>
      <c r="E492" s="303">
        <v>3.2988</v>
      </c>
      <c r="F492" s="305">
        <v>2</v>
      </c>
      <c r="G492" s="306">
        <v>9.6</v>
      </c>
      <c r="H492" s="306">
        <f t="shared" si="614"/>
        <v>33.79</v>
      </c>
      <c r="I492" s="358"/>
      <c r="J492" s="359"/>
      <c r="K492" s="360" t="s">
        <v>656</v>
      </c>
      <c r="L492" s="364"/>
    </row>
    <row r="493" spans="1:12">
      <c r="A493" s="334"/>
      <c r="B493" s="341" t="s">
        <v>888</v>
      </c>
      <c r="C493" s="344"/>
      <c r="D493" s="305">
        <v>10.7</v>
      </c>
      <c r="E493" s="303">
        <v>2.6098</v>
      </c>
      <c r="F493" s="305">
        <v>1</v>
      </c>
      <c r="G493" s="306">
        <v>10</v>
      </c>
      <c r="H493" s="306">
        <f t="shared" ref="H493:H494" si="624">ROUND(D493*100*F493*250*100/50/E493/G493/1000,2)</f>
        <v>20.5</v>
      </c>
      <c r="I493" s="353">
        <f t="shared" ref="I493" si="625">ROUND((H493+H494)/2,1)</f>
        <v>20.3</v>
      </c>
      <c r="J493" s="354">
        <f t="shared" ref="J493" si="626">(H493-H494)*100/I493</f>
        <v>1.62561576354679</v>
      </c>
      <c r="K493" s="361" t="s">
        <v>887</v>
      </c>
      <c r="L493" s="363">
        <f t="shared" ref="L493" si="627">H494-H493</f>
        <v>-0.329999999999998</v>
      </c>
    </row>
    <row r="494" spans="1:12">
      <c r="A494" s="336"/>
      <c r="B494" s="343"/>
      <c r="C494" s="362"/>
      <c r="D494" s="305">
        <v>10.7</v>
      </c>
      <c r="E494" s="303">
        <v>2.8522</v>
      </c>
      <c r="F494" s="305">
        <v>1</v>
      </c>
      <c r="G494" s="306">
        <v>9.3</v>
      </c>
      <c r="H494" s="306">
        <f t="shared" si="624"/>
        <v>20.17</v>
      </c>
      <c r="I494" s="358"/>
      <c r="J494" s="359"/>
      <c r="K494" s="360" t="s">
        <v>656</v>
      </c>
      <c r="L494" s="364"/>
    </row>
    <row r="495" spans="1:12">
      <c r="A495" s="334"/>
      <c r="B495" s="341" t="s">
        <v>889</v>
      </c>
      <c r="C495" s="344"/>
      <c r="D495" s="305">
        <v>10.7</v>
      </c>
      <c r="E495" s="303">
        <v>3.5424</v>
      </c>
      <c r="F495" s="305">
        <v>1</v>
      </c>
      <c r="G495" s="306">
        <v>6.7</v>
      </c>
      <c r="H495" s="306">
        <f t="shared" ref="H495:H496" si="628">ROUND(D495*100*F495*250*100/50/E495/G495/1000,2)</f>
        <v>22.54</v>
      </c>
      <c r="I495" s="353">
        <f t="shared" ref="I495" si="629">ROUND((H495+H496)/2,1)</f>
        <v>22.6</v>
      </c>
      <c r="J495" s="354">
        <f t="shared" ref="J495" si="630">(H495-H496)*100/I495</f>
        <v>-0.884955752212386</v>
      </c>
      <c r="K495" s="361" t="s">
        <v>887</v>
      </c>
      <c r="L495" s="363">
        <f t="shared" ref="L495" si="631">H496-H495</f>
        <v>0.199999999999999</v>
      </c>
    </row>
    <row r="496" spans="1:12">
      <c r="A496" s="336"/>
      <c r="B496" s="343"/>
      <c r="C496" s="362"/>
      <c r="D496" s="305">
        <v>10.7</v>
      </c>
      <c r="E496" s="303">
        <v>3.5107</v>
      </c>
      <c r="F496" s="305">
        <v>1</v>
      </c>
      <c r="G496" s="306">
        <v>6.7</v>
      </c>
      <c r="H496" s="306">
        <f t="shared" si="628"/>
        <v>22.74</v>
      </c>
      <c r="I496" s="358"/>
      <c r="J496" s="359"/>
      <c r="K496" s="360" t="s">
        <v>656</v>
      </c>
      <c r="L496" s="364"/>
    </row>
    <row r="497" spans="1:12">
      <c r="A497" s="334"/>
      <c r="B497" s="341" t="s">
        <v>890</v>
      </c>
      <c r="C497" s="344"/>
      <c r="D497" s="305">
        <v>10.7</v>
      </c>
      <c r="E497" s="303">
        <v>2.4304</v>
      </c>
      <c r="F497" s="305">
        <v>1</v>
      </c>
      <c r="G497" s="306">
        <v>7.35</v>
      </c>
      <c r="H497" s="306">
        <f t="shared" si="614"/>
        <v>29.95</v>
      </c>
      <c r="I497" s="353">
        <f t="shared" ref="I497" si="632">ROUND((H497+H498)/2,1)</f>
        <v>30.1</v>
      </c>
      <c r="J497" s="354">
        <f t="shared" ref="J497" si="633">(H497-H498)*100/I497</f>
        <v>-1.12956810631229</v>
      </c>
      <c r="K497" s="361" t="s">
        <v>891</v>
      </c>
      <c r="L497" s="363">
        <f t="shared" ref="L497" si="634">H498-H497</f>
        <v>0.34</v>
      </c>
    </row>
    <row r="498" spans="1:12">
      <c r="A498" s="336"/>
      <c r="B498" s="343"/>
      <c r="C498" s="362"/>
      <c r="D498" s="305">
        <v>10.7</v>
      </c>
      <c r="E498" s="303">
        <v>2.5602</v>
      </c>
      <c r="F498" s="305">
        <v>1</v>
      </c>
      <c r="G498" s="306">
        <v>6.9</v>
      </c>
      <c r="H498" s="306">
        <f t="shared" si="614"/>
        <v>30.29</v>
      </c>
      <c r="I498" s="358"/>
      <c r="J498" s="359"/>
      <c r="K498" s="360" t="s">
        <v>656</v>
      </c>
      <c r="L498" s="364"/>
    </row>
    <row r="499" spans="1:12">
      <c r="A499" s="334"/>
      <c r="B499" s="341" t="s">
        <v>892</v>
      </c>
      <c r="C499" s="344"/>
      <c r="D499" s="305">
        <v>10.7</v>
      </c>
      <c r="E499" s="303">
        <v>1.4409</v>
      </c>
      <c r="F499" s="305">
        <v>1</v>
      </c>
      <c r="G499" s="306">
        <v>16.7</v>
      </c>
      <c r="H499" s="306">
        <f t="shared" si="614"/>
        <v>22.23</v>
      </c>
      <c r="I499" s="353">
        <f t="shared" ref="I499" si="635">ROUND((H499+H500)/2,1)</f>
        <v>22.1</v>
      </c>
      <c r="J499" s="354">
        <f t="shared" ref="J499" si="636">(H499-H500)*100/I499</f>
        <v>1.1764705882353</v>
      </c>
      <c r="K499" s="361" t="s">
        <v>893</v>
      </c>
      <c r="L499" s="363">
        <f t="shared" ref="L499" si="637">H500-H499</f>
        <v>-0.260000000000002</v>
      </c>
    </row>
    <row r="500" spans="1:12">
      <c r="A500" s="336"/>
      <c r="B500" s="343"/>
      <c r="C500" s="362"/>
      <c r="D500" s="305">
        <v>10.7</v>
      </c>
      <c r="E500" s="303">
        <v>1.5029</v>
      </c>
      <c r="F500" s="305">
        <v>1</v>
      </c>
      <c r="G500" s="306">
        <v>16.2</v>
      </c>
      <c r="H500" s="306">
        <f t="shared" si="614"/>
        <v>21.97</v>
      </c>
      <c r="I500" s="358"/>
      <c r="J500" s="359"/>
      <c r="K500" s="360" t="s">
        <v>656</v>
      </c>
      <c r="L500" s="364"/>
    </row>
    <row r="501" ht="21.75" customHeight="1" spans="1:12">
      <c r="A501" s="334"/>
      <c r="B501" s="341" t="s">
        <v>894</v>
      </c>
      <c r="C501" s="344"/>
      <c r="D501" s="305">
        <v>10.7</v>
      </c>
      <c r="E501" s="303">
        <v>1.933</v>
      </c>
      <c r="F501" s="305">
        <v>1</v>
      </c>
      <c r="G501" s="306">
        <v>11.5</v>
      </c>
      <c r="H501" s="306">
        <f t="shared" si="614"/>
        <v>24.07</v>
      </c>
      <c r="I501" s="353">
        <f t="shared" ref="I501" si="638">ROUND((H501+H502)/2,1)</f>
        <v>24.1</v>
      </c>
      <c r="J501" s="354">
        <f t="shared" ref="J501" si="639">(H501-H502)*100/I501</f>
        <v>-0.497925311203324</v>
      </c>
      <c r="K501" s="361" t="s">
        <v>895</v>
      </c>
      <c r="L501" s="363">
        <f t="shared" ref="L501" si="640">H502-H501</f>
        <v>0.120000000000001</v>
      </c>
    </row>
    <row r="502" spans="1:12">
      <c r="A502" s="336"/>
      <c r="B502" s="343"/>
      <c r="C502" s="362"/>
      <c r="D502" s="305">
        <v>10.7</v>
      </c>
      <c r="E502" s="303">
        <v>1.8589</v>
      </c>
      <c r="F502" s="305">
        <v>1</v>
      </c>
      <c r="G502" s="306">
        <v>11.9</v>
      </c>
      <c r="H502" s="306">
        <f t="shared" si="614"/>
        <v>24.19</v>
      </c>
      <c r="I502" s="358"/>
      <c r="J502" s="359"/>
      <c r="K502" s="360" t="s">
        <v>656</v>
      </c>
      <c r="L502" s="364"/>
    </row>
    <row r="503" spans="1:12">
      <c r="A503" s="334"/>
      <c r="B503" s="341" t="s">
        <v>896</v>
      </c>
      <c r="C503" s="344"/>
      <c r="D503" s="305">
        <v>10.7</v>
      </c>
      <c r="E503" s="303">
        <v>2.0565</v>
      </c>
      <c r="F503" s="305">
        <v>1</v>
      </c>
      <c r="G503" s="306">
        <v>10</v>
      </c>
      <c r="H503" s="306">
        <f t="shared" ref="H503:H504" si="641">ROUND(D503*100*F503*250*100/50/E503/G503/1000,2)</f>
        <v>26.02</v>
      </c>
      <c r="I503" s="353">
        <f t="shared" ref="I503:I505" si="642">ROUND((H503+H504)/2,1)</f>
        <v>21.7</v>
      </c>
      <c r="J503" s="354">
        <f t="shared" ref="J503:J505" si="643">(H503-H504)*100/I503</f>
        <v>39.6313364055299</v>
      </c>
      <c r="K503" s="361" t="s">
        <v>895</v>
      </c>
      <c r="L503" s="363">
        <f t="shared" ref="L503:L505" si="644">H504-H503</f>
        <v>-8.6</v>
      </c>
    </row>
    <row r="504" spans="1:12">
      <c r="A504" s="336"/>
      <c r="B504" s="343"/>
      <c r="C504" s="362"/>
      <c r="D504" s="305">
        <v>10.7</v>
      </c>
      <c r="E504" s="303">
        <v>2.5812</v>
      </c>
      <c r="F504" s="305">
        <v>1</v>
      </c>
      <c r="G504" s="306">
        <v>11.9</v>
      </c>
      <c r="H504" s="306">
        <f t="shared" si="641"/>
        <v>17.42</v>
      </c>
      <c r="I504" s="358"/>
      <c r="J504" s="359"/>
      <c r="K504" s="360" t="s">
        <v>656</v>
      </c>
      <c r="L504" s="364"/>
    </row>
    <row r="505" spans="1:12">
      <c r="A505" s="334"/>
      <c r="B505" s="341" t="s">
        <v>897</v>
      </c>
      <c r="C505" s="344"/>
      <c r="D505" s="305">
        <v>10.9</v>
      </c>
      <c r="E505" s="303">
        <v>1.7211</v>
      </c>
      <c r="F505" s="305">
        <v>2</v>
      </c>
      <c r="G505" s="306">
        <v>10.6</v>
      </c>
      <c r="H505" s="306">
        <f t="shared" ref="H505:H506" si="645">ROUND(D505*100*F505*250*100/50/E505/G505/1000,2)</f>
        <v>59.75</v>
      </c>
      <c r="I505" s="353">
        <f t="shared" si="642"/>
        <v>59</v>
      </c>
      <c r="J505" s="354">
        <f t="shared" si="643"/>
        <v>2.52542372881356</v>
      </c>
      <c r="K505" s="361" t="s">
        <v>150</v>
      </c>
      <c r="L505" s="363">
        <f t="shared" si="644"/>
        <v>-1.49</v>
      </c>
    </row>
    <row r="506" spans="1:12">
      <c r="A506" s="336"/>
      <c r="B506" s="343"/>
      <c r="C506" s="362"/>
      <c r="D506" s="305">
        <v>10.9</v>
      </c>
      <c r="E506" s="303">
        <v>1.8709</v>
      </c>
      <c r="F506" s="305">
        <v>2</v>
      </c>
      <c r="G506" s="306">
        <v>10</v>
      </c>
      <c r="H506" s="306">
        <f t="shared" si="645"/>
        <v>58.26</v>
      </c>
      <c r="I506" s="358"/>
      <c r="J506" s="359"/>
      <c r="K506" s="360"/>
      <c r="L506" s="364"/>
    </row>
    <row r="507" spans="1:12">
      <c r="A507" s="334"/>
      <c r="B507" s="341" t="s">
        <v>898</v>
      </c>
      <c r="C507" s="344"/>
      <c r="D507" s="305">
        <v>10.9</v>
      </c>
      <c r="E507" s="303">
        <v>3.6289</v>
      </c>
      <c r="F507" s="305">
        <v>1</v>
      </c>
      <c r="G507" s="306">
        <v>10.7</v>
      </c>
      <c r="H507" s="306">
        <f t="shared" ref="H507:H508" si="646">ROUND(D507*100*F507*250*100/50/E507/G507/1000,2)</f>
        <v>14.04</v>
      </c>
      <c r="I507" s="353">
        <f t="shared" ref="I507" si="647">ROUND((H507+H508)/2,1)</f>
        <v>14</v>
      </c>
      <c r="J507" s="354">
        <f t="shared" ref="J507" si="648">(H507-H508)*100/I507</f>
        <v>1.07142857142856</v>
      </c>
      <c r="K507" s="361" t="s">
        <v>150</v>
      </c>
      <c r="L507" s="363">
        <f t="shared" ref="L507" si="649">H508-H507</f>
        <v>-0.149999999999999</v>
      </c>
    </row>
    <row r="508" spans="1:12">
      <c r="A508" s="336"/>
      <c r="B508" s="343"/>
      <c r="C508" s="362"/>
      <c r="D508" s="305">
        <v>10.9</v>
      </c>
      <c r="E508" s="303">
        <v>3.6851</v>
      </c>
      <c r="F508" s="305">
        <v>1</v>
      </c>
      <c r="G508" s="306">
        <v>10.65</v>
      </c>
      <c r="H508" s="306">
        <f t="shared" si="646"/>
        <v>13.89</v>
      </c>
      <c r="I508" s="358"/>
      <c r="J508" s="359"/>
      <c r="K508" s="360"/>
      <c r="L508" s="364"/>
    </row>
    <row r="510" spans="1:12">
      <c r="A510" s="334"/>
      <c r="B510" s="341" t="s">
        <v>896</v>
      </c>
      <c r="C510" s="344"/>
      <c r="D510" s="305">
        <v>11.3</v>
      </c>
      <c r="E510" s="303">
        <v>2.9282</v>
      </c>
      <c r="F510" s="305">
        <v>1</v>
      </c>
      <c r="G510" s="306">
        <v>11.1</v>
      </c>
      <c r="H510" s="306">
        <f t="shared" ref="H510:H515" si="650">ROUND(D510*100*F510*250*100/50/E510/G510/1000,2)</f>
        <v>17.38</v>
      </c>
      <c r="I510" s="353">
        <f t="shared" ref="I510" si="651">ROUND((H510+H511)/2,1)</f>
        <v>17.4</v>
      </c>
      <c r="J510" s="354">
        <f t="shared" ref="J510" si="652">(H510-H511)*100/I510</f>
        <v>0.0574712643678047</v>
      </c>
      <c r="K510" s="361" t="s">
        <v>895</v>
      </c>
      <c r="L510" s="363">
        <f t="shared" ref="L510" si="653">H511-H510</f>
        <v>-0.00999999999999801</v>
      </c>
    </row>
    <row r="511" spans="1:12">
      <c r="A511" s="336"/>
      <c r="B511" s="343"/>
      <c r="C511" s="362"/>
      <c r="D511" s="305">
        <v>11.3</v>
      </c>
      <c r="E511" s="303">
        <v>2.9301</v>
      </c>
      <c r="F511" s="305">
        <v>1</v>
      </c>
      <c r="G511" s="306">
        <v>11.1</v>
      </c>
      <c r="H511" s="306">
        <f t="shared" si="650"/>
        <v>17.37</v>
      </c>
      <c r="I511" s="358"/>
      <c r="J511" s="359"/>
      <c r="K511" s="360" t="s">
        <v>656</v>
      </c>
      <c r="L511" s="364"/>
    </row>
    <row r="512" spans="1:12">
      <c r="A512" s="334"/>
      <c r="B512" s="341" t="s">
        <v>897</v>
      </c>
      <c r="C512" s="344"/>
      <c r="D512" s="305">
        <v>11.3</v>
      </c>
      <c r="E512" s="303">
        <v>3.1257</v>
      </c>
      <c r="F512" s="305">
        <v>1</v>
      </c>
      <c r="G512" s="306">
        <v>14.8</v>
      </c>
      <c r="H512" s="306">
        <f t="shared" si="650"/>
        <v>12.21</v>
      </c>
      <c r="I512" s="353">
        <f t="shared" ref="I512" si="654">ROUND((H512+H513)/2,1)</f>
        <v>12.3</v>
      </c>
      <c r="J512" s="354">
        <f t="shared" ref="J512" si="655">(H512-H513)*100/I512</f>
        <v>-0.650406504065027</v>
      </c>
      <c r="K512" s="361" t="s">
        <v>150</v>
      </c>
      <c r="L512" s="363">
        <f t="shared" ref="L512" si="656">H513-H512</f>
        <v>0.0799999999999983</v>
      </c>
    </row>
    <row r="513" spans="1:12">
      <c r="A513" s="336"/>
      <c r="B513" s="343"/>
      <c r="C513" s="362"/>
      <c r="D513" s="305">
        <v>11.3</v>
      </c>
      <c r="E513" s="303">
        <v>3.1054</v>
      </c>
      <c r="F513" s="305">
        <v>1</v>
      </c>
      <c r="G513" s="306">
        <v>14.8</v>
      </c>
      <c r="H513" s="306">
        <f t="shared" si="650"/>
        <v>12.29</v>
      </c>
      <c r="I513" s="358"/>
      <c r="J513" s="359"/>
      <c r="K513" s="360"/>
      <c r="L513" s="364"/>
    </row>
    <row r="514" spans="1:12">
      <c r="A514" s="334"/>
      <c r="B514" s="341" t="s">
        <v>898</v>
      </c>
      <c r="C514" s="344"/>
      <c r="D514" s="305">
        <v>11.3</v>
      </c>
      <c r="E514" s="303">
        <v>2.6495</v>
      </c>
      <c r="F514" s="305">
        <v>1</v>
      </c>
      <c r="G514" s="306">
        <v>14.4</v>
      </c>
      <c r="H514" s="306">
        <f t="shared" si="650"/>
        <v>14.81</v>
      </c>
      <c r="I514" s="353">
        <f t="shared" ref="I514" si="657">ROUND((H514+H515)/2,1)</f>
        <v>14.8</v>
      </c>
      <c r="J514" s="354">
        <f t="shared" ref="J514" si="658">(H514-H515)*100/I514</f>
        <v>0.540540540540541</v>
      </c>
      <c r="K514" s="361" t="s">
        <v>150</v>
      </c>
      <c r="L514" s="363">
        <f t="shared" ref="L514" si="659">H515-H514</f>
        <v>-0.0800000000000001</v>
      </c>
    </row>
    <row r="515" spans="1:12">
      <c r="A515" s="336"/>
      <c r="B515" s="343"/>
      <c r="C515" s="362"/>
      <c r="D515" s="305">
        <v>11.3</v>
      </c>
      <c r="E515" s="303">
        <v>2.6632</v>
      </c>
      <c r="F515" s="305">
        <v>1</v>
      </c>
      <c r="G515" s="306">
        <v>14.4</v>
      </c>
      <c r="H515" s="306">
        <f t="shared" si="650"/>
        <v>14.73</v>
      </c>
      <c r="I515" s="358"/>
      <c r="J515" s="359"/>
      <c r="K515" s="360"/>
      <c r="L515" s="364"/>
    </row>
    <row r="516" spans="1:12">
      <c r="A516" s="334"/>
      <c r="B516" s="341" t="s">
        <v>898</v>
      </c>
      <c r="C516" s="344"/>
      <c r="D516" s="305">
        <v>11.3</v>
      </c>
      <c r="E516" s="303">
        <v>2.3958</v>
      </c>
      <c r="F516" s="305">
        <v>2</v>
      </c>
      <c r="G516" s="306">
        <v>10.4</v>
      </c>
      <c r="H516" s="306">
        <f t="shared" ref="H516:H517" si="660">ROUND(D516*100*F516*250*100/50/E516/G516/1000,2)</f>
        <v>45.35</v>
      </c>
      <c r="I516" s="353">
        <f t="shared" ref="I516" si="661">ROUND((H516+H517)/2,1)</f>
        <v>45.3</v>
      </c>
      <c r="J516" s="354">
        <f t="shared" ref="J516" si="662">(H516-H517)*100/I516</f>
        <v>0.220750551876383</v>
      </c>
      <c r="K516" s="361" t="s">
        <v>150</v>
      </c>
      <c r="L516" s="363">
        <f t="shared" ref="L516" si="663">H517-H516</f>
        <v>-0.100000000000001</v>
      </c>
    </row>
    <row r="517" spans="1:12">
      <c r="A517" s="336"/>
      <c r="B517" s="343"/>
      <c r="C517" s="362"/>
      <c r="D517" s="305">
        <v>11.3</v>
      </c>
      <c r="E517" s="303">
        <v>2.4011</v>
      </c>
      <c r="F517" s="305">
        <v>2</v>
      </c>
      <c r="G517" s="306">
        <v>10.4</v>
      </c>
      <c r="H517" s="306">
        <f t="shared" si="660"/>
        <v>45.25</v>
      </c>
      <c r="I517" s="358"/>
      <c r="J517" s="359"/>
      <c r="K517" s="360"/>
      <c r="L517" s="364"/>
    </row>
    <row r="518" spans="4:12">
      <c r="D518" s="305">
        <v>11.3</v>
      </c>
      <c r="E518" s="303">
        <v>2.4182</v>
      </c>
      <c r="F518" s="305">
        <v>2</v>
      </c>
      <c r="G518" s="306">
        <v>6.8</v>
      </c>
      <c r="H518" s="306">
        <f t="shared" ref="H518:H527" si="664">ROUND(D518*100*F518*250*100/50/E518/G518/1000,2)</f>
        <v>68.72</v>
      </c>
      <c r="I518" s="353">
        <f t="shared" ref="I518" si="665">ROUND((H518+H519)/2,1)</f>
        <v>69</v>
      </c>
      <c r="J518" s="354">
        <f t="shared" ref="J518" si="666">(H518-H519)*100/I518</f>
        <v>-0.666666666666678</v>
      </c>
      <c r="K518" s="361" t="s">
        <v>150</v>
      </c>
      <c r="L518" s="363">
        <f t="shared" ref="L518" si="667">H519-H518</f>
        <v>0.460000000000008</v>
      </c>
    </row>
    <row r="519" spans="4:12">
      <c r="D519" s="305">
        <v>11.3</v>
      </c>
      <c r="E519" s="303">
        <v>2.4022</v>
      </c>
      <c r="F519" s="305">
        <v>2</v>
      </c>
      <c r="G519" s="306">
        <v>6.8</v>
      </c>
      <c r="H519" s="306">
        <f t="shared" si="664"/>
        <v>69.18</v>
      </c>
      <c r="I519" s="358"/>
      <c r="J519" s="359"/>
      <c r="K519" s="360"/>
      <c r="L519" s="364"/>
    </row>
    <row r="520" spans="4:12">
      <c r="D520" s="305">
        <v>11.3</v>
      </c>
      <c r="E520" s="303">
        <v>2.6606</v>
      </c>
      <c r="F520" s="305">
        <v>2</v>
      </c>
      <c r="G520" s="306">
        <v>6.4</v>
      </c>
      <c r="H520" s="306">
        <f t="shared" si="664"/>
        <v>66.36</v>
      </c>
      <c r="I520" s="353">
        <f t="shared" ref="I520" si="668">ROUND((H520+H521)/2,1)</f>
        <v>66.2</v>
      </c>
      <c r="J520" s="354">
        <f t="shared" ref="J520" si="669">(H520-H521)*100/I520</f>
        <v>0.42296072507553</v>
      </c>
      <c r="K520" s="361" t="s">
        <v>150</v>
      </c>
      <c r="L520" s="363">
        <f t="shared" ref="L520" si="670">H521-H520</f>
        <v>-0.280000000000001</v>
      </c>
    </row>
    <row r="521" spans="4:12">
      <c r="D521" s="305">
        <v>11.3</v>
      </c>
      <c r="E521" s="303">
        <v>2.6721</v>
      </c>
      <c r="F521" s="305">
        <v>2</v>
      </c>
      <c r="G521" s="306">
        <v>6.4</v>
      </c>
      <c r="H521" s="306">
        <f t="shared" si="664"/>
        <v>66.08</v>
      </c>
      <c r="I521" s="358"/>
      <c r="J521" s="359"/>
      <c r="K521" s="360"/>
      <c r="L521" s="364"/>
    </row>
    <row r="522" spans="4:12">
      <c r="D522" s="305">
        <v>11.3</v>
      </c>
      <c r="E522" s="303">
        <v>4.1516</v>
      </c>
      <c r="F522" s="305">
        <v>1</v>
      </c>
      <c r="G522" s="306">
        <v>14.4</v>
      </c>
      <c r="H522" s="306">
        <f t="shared" si="664"/>
        <v>9.45</v>
      </c>
      <c r="I522" s="353">
        <f t="shared" ref="I522" si="671">ROUND((H522+H523)/2,1)</f>
        <v>27.4</v>
      </c>
      <c r="J522" s="354">
        <f t="shared" ref="J522" si="672">(H522-H523)*100/I522</f>
        <v>-130.656934306569</v>
      </c>
      <c r="K522" s="361" t="s">
        <v>150</v>
      </c>
      <c r="L522" s="363">
        <f t="shared" ref="L522" si="673">H523-H522</f>
        <v>35.8</v>
      </c>
    </row>
    <row r="523" spans="4:12">
      <c r="D523" s="305">
        <v>11.3</v>
      </c>
      <c r="E523" s="303">
        <v>2.4011</v>
      </c>
      <c r="F523" s="305">
        <v>2</v>
      </c>
      <c r="G523" s="306">
        <v>10.4</v>
      </c>
      <c r="H523" s="306">
        <f t="shared" si="664"/>
        <v>45.25</v>
      </c>
      <c r="I523" s="358"/>
      <c r="J523" s="359"/>
      <c r="K523" s="360"/>
      <c r="L523" s="364"/>
    </row>
    <row r="524" spans="1:12">
      <c r="A524" s="334"/>
      <c r="B524" s="341" t="s">
        <v>899</v>
      </c>
      <c r="C524" s="344"/>
      <c r="D524" s="305">
        <v>11</v>
      </c>
      <c r="E524" s="303">
        <v>2.5301</v>
      </c>
      <c r="F524" s="305">
        <v>1</v>
      </c>
      <c r="G524" s="306">
        <v>7.95</v>
      </c>
      <c r="H524" s="306">
        <f t="shared" si="664"/>
        <v>27.34</v>
      </c>
      <c r="I524" s="353">
        <f>ROUND((H524+H525)/2,1)</f>
        <v>26.8</v>
      </c>
      <c r="J524" s="354">
        <f>(H524-H525)*100/I524</f>
        <v>3.69402985074626</v>
      </c>
      <c r="K524" s="361" t="s">
        <v>150</v>
      </c>
      <c r="L524" s="363">
        <f>H525-H524</f>
        <v>-0.989999999999998</v>
      </c>
    </row>
    <row r="525" spans="1:12">
      <c r="A525" s="336"/>
      <c r="B525" s="343"/>
      <c r="C525" s="362"/>
      <c r="D525" s="305">
        <v>11</v>
      </c>
      <c r="E525" s="303">
        <v>2.5148</v>
      </c>
      <c r="F525" s="305">
        <v>1</v>
      </c>
      <c r="G525" s="306">
        <v>8.3</v>
      </c>
      <c r="H525" s="306">
        <f t="shared" si="664"/>
        <v>26.35</v>
      </c>
      <c r="I525" s="358"/>
      <c r="J525" s="359"/>
      <c r="K525" s="360"/>
      <c r="L525" s="364"/>
    </row>
    <row r="526" spans="1:12">
      <c r="A526" s="334"/>
      <c r="B526" s="341" t="s">
        <v>900</v>
      </c>
      <c r="C526" s="344"/>
      <c r="D526" s="305">
        <v>11</v>
      </c>
      <c r="E526" s="303">
        <v>2.5933</v>
      </c>
      <c r="F526" s="305">
        <v>1</v>
      </c>
      <c r="G526" s="306">
        <v>8</v>
      </c>
      <c r="H526" s="306">
        <f t="shared" si="664"/>
        <v>26.51</v>
      </c>
      <c r="I526" s="353">
        <f>ROUND((H526+H527)/2,1)</f>
        <v>26.6</v>
      </c>
      <c r="J526" s="354">
        <f>(H526-H527)*100/I526</f>
        <v>-0.601503759398497</v>
      </c>
      <c r="K526" s="361" t="s">
        <v>150</v>
      </c>
      <c r="L526" s="363">
        <f>H527-H526</f>
        <v>0.16</v>
      </c>
    </row>
    <row r="527" spans="1:12">
      <c r="A527" s="336"/>
      <c r="B527" s="343"/>
      <c r="C527" s="362"/>
      <c r="D527" s="305">
        <v>11</v>
      </c>
      <c r="E527" s="303">
        <v>2.4843</v>
      </c>
      <c r="F527" s="305">
        <v>1</v>
      </c>
      <c r="G527" s="306">
        <v>8.3</v>
      </c>
      <c r="H527" s="306">
        <f t="shared" si="664"/>
        <v>26.67</v>
      </c>
      <c r="I527" s="358"/>
      <c r="J527" s="359"/>
      <c r="K527" s="360"/>
      <c r="L527" s="364"/>
    </row>
    <row r="529" spans="1:14">
      <c r="A529" s="380"/>
      <c r="B529" s="227" t="s">
        <v>418</v>
      </c>
      <c r="C529" s="344"/>
      <c r="D529" s="305">
        <v>10.55</v>
      </c>
      <c r="E529" s="65">
        <v>2.6414</v>
      </c>
      <c r="F529" s="305">
        <v>2.5</v>
      </c>
      <c r="G529" s="306">
        <v>9.95</v>
      </c>
      <c r="H529" s="306">
        <f t="shared" ref="H529:H534" si="674">ROUND(D529*100*F529*250*100/50/E529/G529/1000,2)</f>
        <v>50.18</v>
      </c>
      <c r="I529" s="353">
        <f t="shared" ref="I529" si="675">ROUND((H529+H530)/2,1)</f>
        <v>50.2</v>
      </c>
      <c r="J529" s="354">
        <f t="shared" ref="J529" si="676">(H529-H530)*100/I529</f>
        <v>0.119521912350602</v>
      </c>
      <c r="K529" s="361" t="s">
        <v>150</v>
      </c>
      <c r="L529" s="363">
        <f t="shared" ref="L529" si="677">H530-H529</f>
        <v>-0.0600000000000023</v>
      </c>
      <c r="M529" s="329">
        <v>0.5</v>
      </c>
      <c r="N529" s="397">
        <f>(I529-M529)*0.95</f>
        <v>47.215</v>
      </c>
    </row>
    <row r="530" spans="1:14">
      <c r="A530" s="380"/>
      <c r="B530" s="227"/>
      <c r="C530" s="362"/>
      <c r="D530" s="305">
        <v>10.55</v>
      </c>
      <c r="E530" s="65">
        <v>2.6179</v>
      </c>
      <c r="F530" s="305">
        <v>2.5</v>
      </c>
      <c r="G530" s="306">
        <v>10.05</v>
      </c>
      <c r="H530" s="306">
        <f t="shared" si="674"/>
        <v>50.12</v>
      </c>
      <c r="I530" s="358"/>
      <c r="J530" s="359"/>
      <c r="K530" s="360"/>
      <c r="L530" s="364"/>
      <c r="M530" s="329">
        <v>0.5</v>
      </c>
      <c r="N530" s="397">
        <f>(I530-M530)*0.95</f>
        <v>-0.475</v>
      </c>
    </row>
    <row r="531" spans="1:14">
      <c r="A531" s="380"/>
      <c r="B531" s="227" t="s">
        <v>419</v>
      </c>
      <c r="C531" s="344"/>
      <c r="D531" s="305">
        <v>10.55</v>
      </c>
      <c r="E531" s="65">
        <v>2.493</v>
      </c>
      <c r="F531" s="305">
        <v>2.5</v>
      </c>
      <c r="G531" s="306">
        <v>10.55</v>
      </c>
      <c r="H531" s="306">
        <f t="shared" si="674"/>
        <v>50.14</v>
      </c>
      <c r="I531" s="353">
        <f t="shared" ref="I531" si="678">ROUND((H531+H532)/2,1)</f>
        <v>50.2</v>
      </c>
      <c r="J531" s="354">
        <f t="shared" ref="J531" si="679">(H531-H532)*100/I531</f>
        <v>-0.2589641434263</v>
      </c>
      <c r="K531" s="361" t="s">
        <v>150</v>
      </c>
      <c r="L531" s="363">
        <f t="shared" ref="L531" si="680">H532-H531</f>
        <v>0.130000000000003</v>
      </c>
      <c r="M531" s="329">
        <v>0.5</v>
      </c>
      <c r="N531" s="397">
        <f t="shared" ref="N531:N533" si="681">(I531-M531)*0.95</f>
        <v>47.215</v>
      </c>
    </row>
    <row r="532" spans="1:14">
      <c r="A532" s="380"/>
      <c r="B532" s="227"/>
      <c r="C532" s="362"/>
      <c r="D532" s="305">
        <v>10.55</v>
      </c>
      <c r="E532" s="65">
        <v>2.4982</v>
      </c>
      <c r="F532" s="305">
        <v>2.5</v>
      </c>
      <c r="G532" s="306">
        <v>10.5</v>
      </c>
      <c r="H532" s="306">
        <f t="shared" si="674"/>
        <v>50.27</v>
      </c>
      <c r="I532" s="358"/>
      <c r="J532" s="359"/>
      <c r="K532" s="360"/>
      <c r="L532" s="364"/>
      <c r="M532" s="329"/>
      <c r="N532" s="397">
        <f t="shared" si="681"/>
        <v>0</v>
      </c>
    </row>
    <row r="533" spans="1:14">
      <c r="A533" s="380"/>
      <c r="B533" s="227" t="s">
        <v>420</v>
      </c>
      <c r="C533" s="344"/>
      <c r="D533" s="305">
        <v>10.55</v>
      </c>
      <c r="E533" s="65">
        <v>2.6523</v>
      </c>
      <c r="F533" s="305">
        <v>2.5</v>
      </c>
      <c r="G533" s="306">
        <v>9.8</v>
      </c>
      <c r="H533" s="306">
        <f t="shared" si="674"/>
        <v>50.74</v>
      </c>
      <c r="I533" s="353">
        <f t="shared" ref="I533" si="682">ROUND((H533+H534)/2,1)</f>
        <v>50.2</v>
      </c>
      <c r="J533" s="354">
        <f t="shared" ref="J533" si="683">(H533-H534)*100/I533</f>
        <v>2.11155378486056</v>
      </c>
      <c r="K533" s="361" t="s">
        <v>150</v>
      </c>
      <c r="L533" s="363">
        <f t="shared" ref="L533" si="684">H534-H533</f>
        <v>-1.06</v>
      </c>
      <c r="M533" s="329">
        <v>0.4</v>
      </c>
      <c r="N533" s="397">
        <f t="shared" si="681"/>
        <v>47.31</v>
      </c>
    </row>
    <row r="534" spans="1:13">
      <c r="A534" s="380"/>
      <c r="B534" s="227"/>
      <c r="C534" s="362"/>
      <c r="D534" s="305">
        <v>10.55</v>
      </c>
      <c r="E534" s="65">
        <v>2.6411</v>
      </c>
      <c r="F534" s="305">
        <v>2.5</v>
      </c>
      <c r="G534" s="306">
        <v>10.05</v>
      </c>
      <c r="H534" s="306">
        <f t="shared" si="674"/>
        <v>49.68</v>
      </c>
      <c r="I534" s="358"/>
      <c r="J534" s="359"/>
      <c r="K534" s="360"/>
      <c r="L534" s="364"/>
      <c r="M534" s="329"/>
    </row>
    <row r="535" spans="1:13">
      <c r="A535" s="380"/>
      <c r="B535" s="227"/>
      <c r="C535" s="372"/>
      <c r="D535" s="305"/>
      <c r="E535" s="65"/>
      <c r="F535" s="305"/>
      <c r="G535" s="306"/>
      <c r="H535" s="306"/>
      <c r="I535" s="377"/>
      <c r="J535" s="378"/>
      <c r="K535" s="365"/>
      <c r="L535" s="379"/>
      <c r="M535" s="329"/>
    </row>
    <row r="536" s="320" customFormat="1" spans="1:14">
      <c r="A536" s="381"/>
      <c r="B536" s="382" t="s">
        <v>901</v>
      </c>
      <c r="C536" s="344"/>
      <c r="D536" s="305">
        <v>10.8</v>
      </c>
      <c r="E536" s="99">
        <v>1.5027</v>
      </c>
      <c r="F536" s="305">
        <v>2</v>
      </c>
      <c r="G536" s="306">
        <v>9.4</v>
      </c>
      <c r="H536" s="306">
        <f t="shared" ref="H536:H541" si="685">ROUND(D536*100*F536*250*100/50/E536/G536/1000,2)</f>
        <v>76.46</v>
      </c>
      <c r="I536" s="353">
        <f t="shared" ref="I536" si="686">ROUND((H536+H537)/2,1)</f>
        <v>76.5</v>
      </c>
      <c r="J536" s="354">
        <f t="shared" ref="J536" si="687">(H536-H537)*100/I536</f>
        <v>0</v>
      </c>
      <c r="K536" s="361" t="s">
        <v>150</v>
      </c>
      <c r="L536" s="398">
        <f t="shared" ref="L536" si="688">H537-H536</f>
        <v>0</v>
      </c>
      <c r="M536" s="357">
        <v>0.5</v>
      </c>
      <c r="N536" s="399">
        <f>(I536-M536)*0.95</f>
        <v>72.2</v>
      </c>
    </row>
    <row r="537" s="320" customFormat="1" spans="1:14">
      <c r="A537" s="381"/>
      <c r="B537" s="382"/>
      <c r="C537" s="362"/>
      <c r="D537" s="305">
        <v>10.8</v>
      </c>
      <c r="E537" s="99">
        <v>1.5027</v>
      </c>
      <c r="F537" s="305">
        <v>2</v>
      </c>
      <c r="G537" s="306">
        <v>9.4</v>
      </c>
      <c r="H537" s="306">
        <f t="shared" si="685"/>
        <v>76.46</v>
      </c>
      <c r="I537" s="358"/>
      <c r="J537" s="359"/>
      <c r="K537" s="360"/>
      <c r="L537" s="400"/>
      <c r="M537" s="357">
        <v>0.5</v>
      </c>
      <c r="N537" s="399">
        <f>(I537-M537)*0.95</f>
        <v>-0.475</v>
      </c>
    </row>
    <row r="538" spans="1:14">
      <c r="A538" s="380"/>
      <c r="B538" s="227" t="s">
        <v>902</v>
      </c>
      <c r="C538" s="344"/>
      <c r="D538" s="305">
        <v>10.8</v>
      </c>
      <c r="E538" s="65">
        <v>1.2563</v>
      </c>
      <c r="F538" s="305">
        <v>2</v>
      </c>
      <c r="G538" s="306">
        <v>12.4</v>
      </c>
      <c r="H538" s="306">
        <f t="shared" si="685"/>
        <v>69.33</v>
      </c>
      <c r="I538" s="353">
        <f t="shared" ref="I538" si="689">ROUND((H538+H539)/2,1)</f>
        <v>69.2</v>
      </c>
      <c r="J538" s="354">
        <f t="shared" ref="J538" si="690">(H538-H539)*100/I538</f>
        <v>0.260115606936406</v>
      </c>
      <c r="K538" s="361" t="s">
        <v>150</v>
      </c>
      <c r="L538" s="363">
        <f t="shared" ref="L538" si="691">H539-H538</f>
        <v>-0.179999999999993</v>
      </c>
      <c r="M538" s="329">
        <v>0.5</v>
      </c>
      <c r="N538" s="397">
        <f t="shared" ref="N538:N540" si="692">(I538-M538)*0.95</f>
        <v>65.265</v>
      </c>
    </row>
    <row r="539" spans="1:14">
      <c r="A539" s="380"/>
      <c r="B539" s="227"/>
      <c r="C539" s="362"/>
      <c r="D539" s="305">
        <v>10.8</v>
      </c>
      <c r="E539" s="65">
        <v>1.2698</v>
      </c>
      <c r="F539" s="305">
        <v>2</v>
      </c>
      <c r="G539" s="306">
        <v>12.3</v>
      </c>
      <c r="H539" s="306">
        <f t="shared" si="685"/>
        <v>69.15</v>
      </c>
      <c r="I539" s="358"/>
      <c r="J539" s="359"/>
      <c r="K539" s="360"/>
      <c r="L539" s="364"/>
      <c r="M539" s="329"/>
      <c r="N539" s="397">
        <f t="shared" si="692"/>
        <v>0</v>
      </c>
    </row>
    <row r="540" s="319" customFormat="1" spans="1:14">
      <c r="A540" s="383"/>
      <c r="B540" s="384" t="s">
        <v>223</v>
      </c>
      <c r="C540" s="344"/>
      <c r="D540" s="127">
        <v>10.8</v>
      </c>
      <c r="E540" s="97">
        <v>7.0022</v>
      </c>
      <c r="F540" s="127">
        <v>1</v>
      </c>
      <c r="G540" s="115">
        <v>11.9</v>
      </c>
      <c r="H540" s="115">
        <f t="shared" si="685"/>
        <v>6.48</v>
      </c>
      <c r="I540" s="129">
        <f t="shared" ref="I540" si="693">ROUND((H540+H541)/2,1)</f>
        <v>6.5</v>
      </c>
      <c r="J540" s="139">
        <f t="shared" ref="J540" si="694">(H540-H541)*100/I540</f>
        <v>-0.615384615384602</v>
      </c>
      <c r="K540" s="133" t="s">
        <v>150</v>
      </c>
      <c r="L540" s="366">
        <f t="shared" ref="L540" si="695">H541-H540</f>
        <v>0.0399999999999991</v>
      </c>
      <c r="M540" s="352">
        <v>0.4</v>
      </c>
      <c r="N540" s="401">
        <f t="shared" si="692"/>
        <v>5.795</v>
      </c>
    </row>
    <row r="541" s="319" customFormat="1" spans="1:14">
      <c r="A541" s="383"/>
      <c r="B541" s="384"/>
      <c r="C541" s="362"/>
      <c r="D541" s="127">
        <v>10.8</v>
      </c>
      <c r="E541" s="97">
        <v>6.9588</v>
      </c>
      <c r="F541" s="127">
        <v>1</v>
      </c>
      <c r="G541" s="115">
        <v>11.9</v>
      </c>
      <c r="H541" s="115">
        <f t="shared" si="685"/>
        <v>6.52</v>
      </c>
      <c r="I541" s="132"/>
      <c r="J541" s="140"/>
      <c r="K541" s="134"/>
      <c r="L541" s="367"/>
      <c r="M541" s="352"/>
      <c r="N541" s="352"/>
    </row>
    <row r="542" spans="1:14">
      <c r="A542" s="380"/>
      <c r="B542" s="227" t="s">
        <v>903</v>
      </c>
      <c r="C542" s="344"/>
      <c r="D542" s="305">
        <v>10.8</v>
      </c>
      <c r="E542" s="65">
        <v>4.0236</v>
      </c>
      <c r="F542" s="305">
        <v>2.5</v>
      </c>
      <c r="G542" s="306">
        <v>8.85</v>
      </c>
      <c r="H542" s="306">
        <f t="shared" ref="H542:H548" si="696">ROUND(D542*100*F542*250*100/50/E542/G542/1000,2)</f>
        <v>37.91</v>
      </c>
      <c r="I542" s="353">
        <f t="shared" ref="I542" si="697">ROUND((H542+H543)/2,1)</f>
        <v>38.2</v>
      </c>
      <c r="J542" s="354">
        <f t="shared" ref="J542" si="698">(H542-H543)*100/I542</f>
        <v>-1.51832460732986</v>
      </c>
      <c r="K542" s="361" t="s">
        <v>150</v>
      </c>
      <c r="L542" s="363">
        <f t="shared" ref="L542" si="699">H543-H542</f>
        <v>0.580000000000005</v>
      </c>
      <c r="M542" s="329">
        <v>0.5</v>
      </c>
      <c r="N542" s="397">
        <f>(I542-M542)*0.95</f>
        <v>35.815</v>
      </c>
    </row>
    <row r="543" spans="1:14">
      <c r="A543" s="380"/>
      <c r="B543" s="227"/>
      <c r="C543" s="362"/>
      <c r="D543" s="305">
        <v>10.8</v>
      </c>
      <c r="E543" s="65">
        <v>3.9409</v>
      </c>
      <c r="F543" s="305">
        <v>2.5</v>
      </c>
      <c r="G543" s="306">
        <v>8.9</v>
      </c>
      <c r="H543" s="306">
        <f t="shared" si="696"/>
        <v>38.49</v>
      </c>
      <c r="I543" s="358"/>
      <c r="J543" s="359"/>
      <c r="K543" s="360"/>
      <c r="L543" s="364"/>
      <c r="M543" s="329">
        <v>0.5</v>
      </c>
      <c r="N543" s="397">
        <f>(I543-M543)*0.95</f>
        <v>-0.475</v>
      </c>
    </row>
    <row r="544" spans="1:14">
      <c r="A544" s="380"/>
      <c r="B544" s="227" t="s">
        <v>904</v>
      </c>
      <c r="C544" s="344"/>
      <c r="D544" s="305">
        <v>10.8</v>
      </c>
      <c r="E544" s="65">
        <v>3.8017</v>
      </c>
      <c r="F544" s="305">
        <v>2.5</v>
      </c>
      <c r="G544" s="306">
        <v>10.4</v>
      </c>
      <c r="H544" s="306">
        <f t="shared" si="696"/>
        <v>34.14</v>
      </c>
      <c r="I544" s="353">
        <f t="shared" ref="I544" si="700">ROUND((H544+H545)/2,1)</f>
        <v>34.3</v>
      </c>
      <c r="J544" s="354">
        <f t="shared" ref="J544" si="701">(H544-H545)*100/I544</f>
        <v>-1.07871720116617</v>
      </c>
      <c r="K544" s="361" t="s">
        <v>150</v>
      </c>
      <c r="L544" s="363">
        <f t="shared" ref="L544" si="702">H545-H544</f>
        <v>0.369999999999997</v>
      </c>
      <c r="M544" s="329">
        <v>0.5</v>
      </c>
      <c r="N544" s="397">
        <f t="shared" ref="N544:N545" si="703">(I544-M544)*0.95</f>
        <v>32.11</v>
      </c>
    </row>
    <row r="545" spans="1:14">
      <c r="A545" s="380"/>
      <c r="B545" s="227"/>
      <c r="C545" s="362"/>
      <c r="D545" s="305">
        <v>10.8</v>
      </c>
      <c r="E545" s="65">
        <v>3.8728</v>
      </c>
      <c r="F545" s="305">
        <v>2.5</v>
      </c>
      <c r="G545" s="306">
        <v>10.1</v>
      </c>
      <c r="H545" s="306">
        <f t="shared" si="696"/>
        <v>34.51</v>
      </c>
      <c r="I545" s="358"/>
      <c r="J545" s="359"/>
      <c r="K545" s="360"/>
      <c r="L545" s="364"/>
      <c r="M545" s="329"/>
      <c r="N545" s="397">
        <f t="shared" si="703"/>
        <v>0</v>
      </c>
    </row>
    <row r="547" spans="1:12">
      <c r="A547" s="334"/>
      <c r="B547" s="341" t="s">
        <v>905</v>
      </c>
      <c r="C547" s="344"/>
      <c r="D547" s="305">
        <v>10.8</v>
      </c>
      <c r="E547" s="303">
        <v>1.463</v>
      </c>
      <c r="F547" s="305">
        <v>2</v>
      </c>
      <c r="G547" s="306">
        <v>11.1</v>
      </c>
      <c r="H547" s="306">
        <f t="shared" si="696"/>
        <v>66.51</v>
      </c>
      <c r="I547" s="353">
        <f t="shared" ref="I547" si="704">ROUND((H547+H548)/2,1)</f>
        <v>66.2</v>
      </c>
      <c r="J547" s="354">
        <f t="shared" ref="J547" si="705">(H547-H548)*100/I547</f>
        <v>0.861027190332337</v>
      </c>
      <c r="K547" s="361" t="s">
        <v>150</v>
      </c>
      <c r="L547" s="363">
        <f t="shared" ref="L547" si="706">H548-H547</f>
        <v>-0.570000000000007</v>
      </c>
    </row>
    <row r="548" spans="1:12">
      <c r="A548" s="336"/>
      <c r="B548" s="343"/>
      <c r="C548" s="362"/>
      <c r="D548" s="305">
        <v>10.8</v>
      </c>
      <c r="E548" s="303">
        <v>1.5026</v>
      </c>
      <c r="F548" s="305">
        <v>2</v>
      </c>
      <c r="G548" s="306">
        <v>10.9</v>
      </c>
      <c r="H548" s="306">
        <f t="shared" si="696"/>
        <v>65.94</v>
      </c>
      <c r="I548" s="358"/>
      <c r="J548" s="359"/>
      <c r="K548" s="360"/>
      <c r="L548" s="364"/>
    </row>
    <row r="549" ht="19.5" customHeight="1" spans="1:12">
      <c r="A549" s="334"/>
      <c r="B549" s="341" t="s">
        <v>906</v>
      </c>
      <c r="C549" s="344" t="s">
        <v>907</v>
      </c>
      <c r="D549" s="305">
        <v>10.8</v>
      </c>
      <c r="E549" s="303">
        <v>0.9786</v>
      </c>
      <c r="F549" s="305">
        <v>2</v>
      </c>
      <c r="G549" s="306">
        <v>11.1</v>
      </c>
      <c r="H549" s="306">
        <f t="shared" ref="H549:H558" si="707">ROUND(D549*100*F549*200*100/50/E549/G549/1000,2)</f>
        <v>79.54</v>
      </c>
      <c r="I549" s="353">
        <f t="shared" ref="I549" si="708">ROUND((H549+H550)/2,1)</f>
        <v>79.2</v>
      </c>
      <c r="J549" s="354">
        <f t="shared" ref="J549" si="709">(H549-H550)*100/I549</f>
        <v>0.858585858585867</v>
      </c>
      <c r="K549" s="133" t="s">
        <v>877</v>
      </c>
      <c r="L549" s="363">
        <f t="shared" ref="L549" si="710">H550-H549</f>
        <v>-0.680000000000007</v>
      </c>
    </row>
    <row r="550" spans="1:12">
      <c r="A550" s="336"/>
      <c r="B550" s="343"/>
      <c r="C550" s="362"/>
      <c r="D550" s="305">
        <v>10.8</v>
      </c>
      <c r="E550" s="303">
        <v>1.3868</v>
      </c>
      <c r="F550" s="305">
        <v>2</v>
      </c>
      <c r="G550" s="306">
        <v>7.9</v>
      </c>
      <c r="H550" s="306">
        <f t="shared" si="707"/>
        <v>78.86</v>
      </c>
      <c r="I550" s="358"/>
      <c r="J550" s="359"/>
      <c r="K550" s="134"/>
      <c r="L550" s="364"/>
    </row>
    <row r="551" spans="1:12">
      <c r="A551" s="334"/>
      <c r="B551" s="341" t="s">
        <v>908</v>
      </c>
      <c r="C551" s="344"/>
      <c r="D551" s="305">
        <v>10.8</v>
      </c>
      <c r="E551" s="303">
        <v>0.8751</v>
      </c>
      <c r="F551" s="305">
        <v>1</v>
      </c>
      <c r="G551" s="306">
        <v>7</v>
      </c>
      <c r="H551" s="306">
        <f t="shared" si="707"/>
        <v>70.52</v>
      </c>
      <c r="I551" s="353">
        <f t="shared" ref="I551" si="711">ROUND((H551+H552)/2,1)</f>
        <v>71.1</v>
      </c>
      <c r="J551" s="354">
        <f t="shared" ref="J551" si="712">(H551-H552)*100/I551</f>
        <v>-1.71589310829817</v>
      </c>
      <c r="K551" s="133" t="s">
        <v>877</v>
      </c>
      <c r="L551" s="363">
        <f t="shared" ref="L551" si="713">H552-H551</f>
        <v>1.22</v>
      </c>
    </row>
    <row r="552" spans="1:12">
      <c r="A552" s="336"/>
      <c r="B552" s="343"/>
      <c r="C552" s="362"/>
      <c r="D552" s="305">
        <v>10.8</v>
      </c>
      <c r="E552" s="303">
        <v>0.8602</v>
      </c>
      <c r="F552" s="305">
        <v>1</v>
      </c>
      <c r="G552" s="306">
        <v>7</v>
      </c>
      <c r="H552" s="306">
        <f t="shared" si="707"/>
        <v>71.74</v>
      </c>
      <c r="I552" s="358"/>
      <c r="J552" s="359"/>
      <c r="K552" s="134"/>
      <c r="L552" s="364"/>
    </row>
    <row r="553" spans="1:12">
      <c r="A553" s="334"/>
      <c r="B553" s="341" t="s">
        <v>909</v>
      </c>
      <c r="C553" s="344"/>
      <c r="D553" s="305">
        <v>10.8</v>
      </c>
      <c r="E553" s="303">
        <v>2.2374</v>
      </c>
      <c r="F553" s="305">
        <v>2</v>
      </c>
      <c r="G553" s="306">
        <v>11.4</v>
      </c>
      <c r="H553" s="306">
        <f t="shared" si="707"/>
        <v>33.87</v>
      </c>
      <c r="I553" s="353">
        <f t="shared" ref="I553" si="714">ROUND((H553+H554)/2,1)</f>
        <v>33.7</v>
      </c>
      <c r="J553" s="354">
        <f t="shared" ref="J553" si="715">(H553-H554)*100/I553</f>
        <v>1.09792284866468</v>
      </c>
      <c r="K553" s="133" t="s">
        <v>877</v>
      </c>
      <c r="L553" s="363">
        <f t="shared" ref="L553" si="716">H554-H553</f>
        <v>-0.369999999999997</v>
      </c>
    </row>
    <row r="554" spans="1:12">
      <c r="A554" s="336"/>
      <c r="B554" s="343"/>
      <c r="C554" s="362"/>
      <c r="D554" s="305">
        <v>10.8</v>
      </c>
      <c r="E554" s="303">
        <v>2.3029</v>
      </c>
      <c r="F554" s="305">
        <v>2</v>
      </c>
      <c r="G554" s="306">
        <v>11.2</v>
      </c>
      <c r="H554" s="306">
        <f t="shared" si="707"/>
        <v>33.5</v>
      </c>
      <c r="I554" s="358"/>
      <c r="J554" s="359"/>
      <c r="K554" s="134"/>
      <c r="L554" s="364"/>
    </row>
    <row r="555" spans="1:12">
      <c r="A555" s="334"/>
      <c r="B555" s="341" t="s">
        <v>910</v>
      </c>
      <c r="C555" s="344"/>
      <c r="D555" s="305">
        <v>10.8</v>
      </c>
      <c r="E555" s="303">
        <v>2.6959</v>
      </c>
      <c r="F555" s="305">
        <v>1</v>
      </c>
      <c r="G555" s="306">
        <v>8.5</v>
      </c>
      <c r="H555" s="306">
        <f t="shared" si="707"/>
        <v>18.85</v>
      </c>
      <c r="I555" s="353">
        <f t="shared" ref="I555" si="717">ROUND((H555+H556)/2,1)</f>
        <v>18.8</v>
      </c>
      <c r="J555" s="354">
        <f t="shared" ref="J555" si="718">(H555-H556)*100/I555</f>
        <v>0.319148936170225</v>
      </c>
      <c r="K555" s="133" t="s">
        <v>877</v>
      </c>
      <c r="L555" s="363">
        <f t="shared" ref="L555" si="719">H556-H555</f>
        <v>-0.0600000000000023</v>
      </c>
    </row>
    <row r="556" spans="1:12">
      <c r="A556" s="336"/>
      <c r="B556" s="343"/>
      <c r="C556" s="362"/>
      <c r="D556" s="305">
        <v>10.8</v>
      </c>
      <c r="E556" s="303">
        <v>2.8045</v>
      </c>
      <c r="F556" s="305">
        <v>1</v>
      </c>
      <c r="G556" s="306">
        <v>8.2</v>
      </c>
      <c r="H556" s="306">
        <f t="shared" si="707"/>
        <v>18.79</v>
      </c>
      <c r="I556" s="358"/>
      <c r="J556" s="359"/>
      <c r="K556" s="134"/>
      <c r="L556" s="364"/>
    </row>
    <row r="557" ht="21" customHeight="1" spans="1:12">
      <c r="A557" s="334"/>
      <c r="B557" s="341" t="s">
        <v>901</v>
      </c>
      <c r="C557" s="344"/>
      <c r="D557" s="305">
        <v>10.8</v>
      </c>
      <c r="E557" s="303">
        <v>0.7504</v>
      </c>
      <c r="F557" s="305">
        <v>1</v>
      </c>
      <c r="G557" s="306">
        <v>8.25</v>
      </c>
      <c r="H557" s="306">
        <f t="shared" si="707"/>
        <v>69.78</v>
      </c>
      <c r="I557" s="353">
        <f t="shared" ref="I557" si="720">ROUND((H557+H558)/2,1)</f>
        <v>69.7</v>
      </c>
      <c r="J557" s="354">
        <f t="shared" ref="J557" si="721">(H557-H558)*100/I557</f>
        <v>0.172166427546635</v>
      </c>
      <c r="K557" s="133" t="s">
        <v>877</v>
      </c>
      <c r="L557" s="363">
        <f t="shared" ref="L557" si="722">H558-H557</f>
        <v>-0.120000000000005</v>
      </c>
    </row>
    <row r="558" spans="1:12">
      <c r="A558" s="336"/>
      <c r="B558" s="343"/>
      <c r="C558" s="362"/>
      <c r="D558" s="305">
        <v>10.8</v>
      </c>
      <c r="E558" s="303">
        <v>0.7427</v>
      </c>
      <c r="F558" s="305">
        <v>1</v>
      </c>
      <c r="G558" s="306">
        <v>8.35</v>
      </c>
      <c r="H558" s="306">
        <f t="shared" si="707"/>
        <v>69.66</v>
      </c>
      <c r="I558" s="358"/>
      <c r="J558" s="359"/>
      <c r="K558" s="134"/>
      <c r="L558" s="364"/>
    </row>
    <row r="559" s="322" customFormat="1" ht="20.25" spans="1:14">
      <c r="A559" s="385"/>
      <c r="B559" s="386" t="s">
        <v>905</v>
      </c>
      <c r="C559" s="387"/>
      <c r="D559" s="388">
        <v>10.8</v>
      </c>
      <c r="E559" s="389">
        <v>0.7416</v>
      </c>
      <c r="F559" s="390">
        <v>1</v>
      </c>
      <c r="G559" s="391">
        <v>10.95</v>
      </c>
      <c r="H559" s="391">
        <f>ROUND(D559*100*F559*250*100/50/E559/G559/1000,2)</f>
        <v>66.5</v>
      </c>
      <c r="I559" s="402">
        <f t="shared" ref="I559" si="723">ROUND((H559+H560)/2,1)</f>
        <v>66.7</v>
      </c>
      <c r="J559" s="403">
        <f t="shared" ref="J559" si="724">(H559-H560)*100/I559</f>
        <v>-0.629685157421292</v>
      </c>
      <c r="K559" s="404" t="s">
        <v>150</v>
      </c>
      <c r="L559" s="405">
        <f t="shared" ref="L559" si="725">H560-H559</f>
        <v>0.420000000000002</v>
      </c>
      <c r="M559" s="406"/>
      <c r="N559" s="407"/>
    </row>
    <row r="560" s="322" customFormat="1" ht="20.25" spans="1:14">
      <c r="A560" s="392"/>
      <c r="B560" s="393"/>
      <c r="C560" s="394"/>
      <c r="D560" s="388">
        <v>10.8</v>
      </c>
      <c r="E560" s="389">
        <v>0.7989</v>
      </c>
      <c r="F560" s="390">
        <v>1</v>
      </c>
      <c r="G560" s="391">
        <v>10.1</v>
      </c>
      <c r="H560" s="391">
        <f t="shared" ref="H560:H562" si="726">ROUND(D560*100*F560*250*100/50/E560/G560/1000,2)</f>
        <v>66.92</v>
      </c>
      <c r="I560" s="408"/>
      <c r="J560" s="409"/>
      <c r="K560" s="410"/>
      <c r="L560" s="411"/>
      <c r="M560" s="406"/>
      <c r="N560" s="407"/>
    </row>
    <row r="561" ht="20.25" spans="1:12">
      <c r="A561" s="334"/>
      <c r="B561" s="26" t="s">
        <v>909</v>
      </c>
      <c r="C561" s="395"/>
      <c r="D561" s="282">
        <v>10.8</v>
      </c>
      <c r="E561" s="29">
        <v>1.9154</v>
      </c>
      <c r="F561" s="305">
        <v>1</v>
      </c>
      <c r="G561" s="306">
        <v>8.1</v>
      </c>
      <c r="H561" s="306">
        <f t="shared" si="726"/>
        <v>34.81</v>
      </c>
      <c r="I561" s="353">
        <f t="shared" ref="I561" si="727">ROUND((H561+H562)/2,1)</f>
        <v>35</v>
      </c>
      <c r="J561" s="354">
        <f t="shared" ref="J561" si="728">(H561-H562)*100/I561</f>
        <v>-1.22857142857143</v>
      </c>
      <c r="K561" s="361" t="s">
        <v>150</v>
      </c>
      <c r="L561" s="363">
        <f t="shared" ref="L561" si="729">H562-H561</f>
        <v>0.43</v>
      </c>
    </row>
    <row r="562" ht="20.25" spans="1:12">
      <c r="A562" s="336"/>
      <c r="B562" s="33"/>
      <c r="C562" s="396"/>
      <c r="D562" s="282">
        <v>10.8</v>
      </c>
      <c r="E562" s="29">
        <v>1.9154</v>
      </c>
      <c r="F562" s="305">
        <v>1</v>
      </c>
      <c r="G562" s="306">
        <v>8</v>
      </c>
      <c r="H562" s="306">
        <f t="shared" si="726"/>
        <v>35.24</v>
      </c>
      <c r="I562" s="358"/>
      <c r="J562" s="359"/>
      <c r="K562" s="360"/>
      <c r="L562" s="364"/>
    </row>
    <row r="564" ht="20.25" spans="1:12">
      <c r="A564" s="334"/>
      <c r="B564" s="26" t="s">
        <v>911</v>
      </c>
      <c r="C564" s="395"/>
      <c r="D564" s="282">
        <v>10.8</v>
      </c>
      <c r="E564" s="29">
        <v>2.4989</v>
      </c>
      <c r="F564" s="305">
        <v>1</v>
      </c>
      <c r="G564" s="306">
        <v>11</v>
      </c>
      <c r="H564" s="306">
        <f>ROUND(D564*100*F564*250*100/50/E564/G564/1000,2)</f>
        <v>19.65</v>
      </c>
      <c r="I564" s="353">
        <f t="shared" ref="I564" si="730">ROUND((H564+H565)/2,1)</f>
        <v>19.7</v>
      </c>
      <c r="J564" s="354">
        <f t="shared" ref="J564" si="731">(H564-H565)*100/I564</f>
        <v>-0.659898477157373</v>
      </c>
      <c r="K564" s="361" t="s">
        <v>150</v>
      </c>
      <c r="L564" s="363">
        <f t="shared" ref="L564" si="732">H565-H564</f>
        <v>0.130000000000003</v>
      </c>
    </row>
    <row r="565" ht="20.25" spans="1:12">
      <c r="A565" s="336"/>
      <c r="B565" s="33"/>
      <c r="C565" s="396"/>
      <c r="D565" s="282">
        <v>10.8</v>
      </c>
      <c r="E565" s="29">
        <v>2.505</v>
      </c>
      <c r="F565" s="305">
        <v>1</v>
      </c>
      <c r="G565" s="306">
        <v>10.9</v>
      </c>
      <c r="H565" s="306">
        <f>ROUND(D565*100*F565*250*100/50/E565/G565/1000,2)</f>
        <v>19.78</v>
      </c>
      <c r="I565" s="358"/>
      <c r="J565" s="359"/>
      <c r="K565" s="360"/>
      <c r="L565" s="364"/>
    </row>
    <row r="566" ht="30" customHeight="1" spans="1:12">
      <c r="A566" s="334"/>
      <c r="B566" s="26" t="s">
        <v>912</v>
      </c>
      <c r="C566" s="395"/>
      <c r="D566" s="282">
        <v>10.8</v>
      </c>
      <c r="E566" s="29">
        <v>1.8087</v>
      </c>
      <c r="F566" s="305">
        <v>1</v>
      </c>
      <c r="G566" s="306">
        <v>6.5</v>
      </c>
      <c r="H566" s="306">
        <f t="shared" ref="H566:H575" si="733">ROUND(D566*100*F566*250*100/50/E566/G566/1000,2)</f>
        <v>45.93</v>
      </c>
      <c r="I566" s="353">
        <f t="shared" ref="I566" si="734">ROUND((H566+H567)/2,1)</f>
        <v>46.3</v>
      </c>
      <c r="J566" s="354">
        <f t="shared" ref="J566" si="735">(H566-H567)*100/I566</f>
        <v>-1.55507559395248</v>
      </c>
      <c r="K566" s="361" t="s">
        <v>883</v>
      </c>
      <c r="L566" s="363">
        <f t="shared" ref="L566" si="736">H567-H566</f>
        <v>0.719999999999999</v>
      </c>
    </row>
    <row r="567" ht="20.25" spans="1:12">
      <c r="A567" s="336"/>
      <c r="B567" s="33"/>
      <c r="C567" s="396"/>
      <c r="D567" s="282">
        <v>10.8</v>
      </c>
      <c r="E567" s="29">
        <v>1.8087</v>
      </c>
      <c r="F567" s="305">
        <v>1</v>
      </c>
      <c r="G567" s="306">
        <v>6.4</v>
      </c>
      <c r="H567" s="306">
        <f t="shared" si="733"/>
        <v>46.65</v>
      </c>
      <c r="I567" s="358"/>
      <c r="J567" s="359"/>
      <c r="K567" s="360"/>
      <c r="L567" s="364"/>
    </row>
    <row r="568" ht="20.25" spans="1:12">
      <c r="A568" s="334"/>
      <c r="B568" s="26" t="s">
        <v>913</v>
      </c>
      <c r="C568" s="395"/>
      <c r="D568" s="282">
        <v>10.8</v>
      </c>
      <c r="E568" s="29">
        <v>2.8175</v>
      </c>
      <c r="F568" s="305">
        <v>4</v>
      </c>
      <c r="G568" s="306">
        <v>11.8</v>
      </c>
      <c r="H568" s="306">
        <f t="shared" si="733"/>
        <v>64.97</v>
      </c>
      <c r="I568" s="353">
        <f t="shared" ref="I568" si="737">ROUND((H568+H569)/2,1)</f>
        <v>65</v>
      </c>
      <c r="J568" s="354">
        <f t="shared" ref="J568" si="738">(H568-H569)*100/I568</f>
        <v>0</v>
      </c>
      <c r="K568" s="361" t="s">
        <v>885</v>
      </c>
      <c r="L568" s="363">
        <f t="shared" ref="L568" si="739">H569-H568</f>
        <v>0</v>
      </c>
    </row>
    <row r="569" ht="20.25" spans="1:12">
      <c r="A569" s="336"/>
      <c r="B569" s="33"/>
      <c r="C569" s="396"/>
      <c r="D569" s="282">
        <v>10.8</v>
      </c>
      <c r="E569" s="29">
        <v>2.8175</v>
      </c>
      <c r="F569" s="305">
        <v>4</v>
      </c>
      <c r="G569" s="306">
        <v>11.8</v>
      </c>
      <c r="H569" s="306">
        <f t="shared" si="733"/>
        <v>64.97</v>
      </c>
      <c r="I569" s="358"/>
      <c r="J569" s="359"/>
      <c r="K569" s="360"/>
      <c r="L569" s="364"/>
    </row>
    <row r="570" ht="20.25" spans="1:12">
      <c r="A570" s="334"/>
      <c r="B570" s="26" t="s">
        <v>914</v>
      </c>
      <c r="C570" s="395"/>
      <c r="D570" s="282">
        <v>10.8</v>
      </c>
      <c r="E570" s="29">
        <v>1.6749</v>
      </c>
      <c r="F570" s="305">
        <v>2</v>
      </c>
      <c r="G570" s="306">
        <v>8</v>
      </c>
      <c r="H570" s="306">
        <f t="shared" si="733"/>
        <v>80.6</v>
      </c>
      <c r="I570" s="353">
        <f t="shared" ref="I570" si="740">ROUND((H570+H571)/2,1)</f>
        <v>80.1</v>
      </c>
      <c r="J570" s="354">
        <f t="shared" ref="J570" si="741">(H570-H571)*100/I570</f>
        <v>1.32334581772783</v>
      </c>
      <c r="K570" s="361" t="s">
        <v>887</v>
      </c>
      <c r="L570" s="363">
        <f t="shared" ref="L570" si="742">H571-H570</f>
        <v>-1.05999999999999</v>
      </c>
    </row>
    <row r="571" ht="20.25" spans="1:12">
      <c r="A571" s="336"/>
      <c r="B571" s="33"/>
      <c r="C571" s="396"/>
      <c r="D571" s="282">
        <v>10.8</v>
      </c>
      <c r="E571" s="29">
        <v>1.5698</v>
      </c>
      <c r="F571" s="305">
        <v>2</v>
      </c>
      <c r="G571" s="306">
        <v>8.65</v>
      </c>
      <c r="H571" s="306">
        <f t="shared" si="733"/>
        <v>79.54</v>
      </c>
      <c r="I571" s="358"/>
      <c r="J571" s="359"/>
      <c r="K571" s="360"/>
      <c r="L571" s="364"/>
    </row>
    <row r="572" ht="20.25" spans="1:12">
      <c r="A572" s="334"/>
      <c r="B572" s="26" t="s">
        <v>915</v>
      </c>
      <c r="C572" s="395"/>
      <c r="D572" s="282">
        <v>10.8</v>
      </c>
      <c r="E572" s="29">
        <v>2.544</v>
      </c>
      <c r="F572" s="305">
        <v>1</v>
      </c>
      <c r="G572" s="306">
        <v>8.05</v>
      </c>
      <c r="H572" s="306">
        <f t="shared" si="733"/>
        <v>26.37</v>
      </c>
      <c r="I572" s="353">
        <f t="shared" ref="I572" si="743">ROUND((H572+H573)/2,1)</f>
        <v>26.4</v>
      </c>
      <c r="J572" s="354">
        <f t="shared" ref="J572" si="744">(H572-H573)*100/I572</f>
        <v>0</v>
      </c>
      <c r="K572" s="361" t="s">
        <v>891</v>
      </c>
      <c r="L572" s="363">
        <f t="shared" ref="L572" si="745">H573-H572</f>
        <v>0</v>
      </c>
    </row>
    <row r="573" ht="20.25" spans="1:12">
      <c r="A573" s="336"/>
      <c r="B573" s="33"/>
      <c r="C573" s="396"/>
      <c r="D573" s="282">
        <v>10.8</v>
      </c>
      <c r="E573" s="29">
        <v>2.544</v>
      </c>
      <c r="F573" s="305">
        <v>1</v>
      </c>
      <c r="G573" s="306">
        <v>8.05</v>
      </c>
      <c r="H573" s="306">
        <f t="shared" si="733"/>
        <v>26.37</v>
      </c>
      <c r="I573" s="358"/>
      <c r="J573" s="359"/>
      <c r="K573" s="360"/>
      <c r="L573" s="364"/>
    </row>
    <row r="574" ht="20.25" customHeight="1" spans="1:12">
      <c r="A574" s="334"/>
      <c r="B574" s="26" t="s">
        <v>916</v>
      </c>
      <c r="C574" s="395"/>
      <c r="D574" s="282">
        <v>10.8</v>
      </c>
      <c r="E574" s="29">
        <v>2.8426</v>
      </c>
      <c r="F574" s="305">
        <v>2</v>
      </c>
      <c r="G574" s="306">
        <v>8.95</v>
      </c>
      <c r="H574" s="306">
        <f t="shared" si="733"/>
        <v>42.45</v>
      </c>
      <c r="I574" s="353">
        <f t="shared" ref="I574" si="746">ROUND((H574+H575)/2,1)</f>
        <v>42.5</v>
      </c>
      <c r="J574" s="354">
        <f t="shared" ref="J574" si="747">(H574-H575)*100/I574</f>
        <v>0</v>
      </c>
      <c r="K574" s="361" t="s">
        <v>895</v>
      </c>
      <c r="L574" s="363">
        <f t="shared" ref="L574" si="748">H575-H574</f>
        <v>0</v>
      </c>
    </row>
    <row r="575" ht="20.25" customHeight="1" spans="1:12">
      <c r="A575" s="336"/>
      <c r="B575" s="33"/>
      <c r="C575" s="396"/>
      <c r="D575" s="282">
        <v>10.8</v>
      </c>
      <c r="E575" s="29">
        <v>2.8426</v>
      </c>
      <c r="F575" s="305">
        <v>2</v>
      </c>
      <c r="G575" s="306">
        <v>8.95</v>
      </c>
      <c r="H575" s="306">
        <f t="shared" si="733"/>
        <v>42.45</v>
      </c>
      <c r="I575" s="358"/>
      <c r="J575" s="359"/>
      <c r="K575" s="360"/>
      <c r="L575" s="364"/>
    </row>
    <row r="576" ht="20.25" spans="1:12">
      <c r="A576" s="334"/>
      <c r="B576" s="26" t="s">
        <v>917</v>
      </c>
      <c r="C576" s="395"/>
      <c r="D576" s="282">
        <v>10.8</v>
      </c>
      <c r="E576" s="29">
        <v>2.1616</v>
      </c>
      <c r="F576" s="305">
        <v>1</v>
      </c>
      <c r="G576" s="306">
        <v>12.95</v>
      </c>
      <c r="H576" s="306">
        <f t="shared" ref="H576:H585" si="749">ROUND(D576*100*F576*250*100/50/E576/G576/1000,2)</f>
        <v>19.29</v>
      </c>
      <c r="I576" s="353">
        <f t="shared" ref="I576" si="750">ROUND((H576+H577)/2,1)</f>
        <v>17.7</v>
      </c>
      <c r="J576" s="354">
        <f t="shared" ref="J576" si="751">(H576-H577)*100/I576</f>
        <v>17.6271186440678</v>
      </c>
      <c r="K576" s="361" t="s">
        <v>895</v>
      </c>
      <c r="L576" s="363">
        <f t="shared" ref="L576" si="752">H577-H576</f>
        <v>-3.12</v>
      </c>
    </row>
    <row r="577" ht="20.25" spans="1:12">
      <c r="A577" s="336"/>
      <c r="B577" s="33"/>
      <c r="C577" s="396"/>
      <c r="D577" s="282">
        <v>10.8</v>
      </c>
      <c r="E577" s="29">
        <v>2.5782</v>
      </c>
      <c r="F577" s="305">
        <v>1</v>
      </c>
      <c r="G577" s="306">
        <v>12.95</v>
      </c>
      <c r="H577" s="306">
        <f t="shared" si="749"/>
        <v>16.17</v>
      </c>
      <c r="I577" s="358"/>
      <c r="J577" s="359"/>
      <c r="K577" s="360"/>
      <c r="L577" s="364"/>
    </row>
    <row r="578" ht="20.25" spans="1:12">
      <c r="A578" s="314">
        <v>11.4</v>
      </c>
      <c r="B578" s="26" t="s">
        <v>918</v>
      </c>
      <c r="C578" s="395"/>
      <c r="D578" s="282">
        <v>10.8</v>
      </c>
      <c r="E578" s="29">
        <v>7.1434</v>
      </c>
      <c r="F578" s="305">
        <v>5</v>
      </c>
      <c r="G578" s="306">
        <v>11.9</v>
      </c>
      <c r="H578" s="306">
        <f t="shared" si="749"/>
        <v>31.76</v>
      </c>
      <c r="I578" s="353">
        <f t="shared" ref="I578" si="753">ROUND((H578+H579)/2,1)</f>
        <v>31.6</v>
      </c>
      <c r="J578" s="354">
        <f t="shared" ref="J578" si="754">(H578-H579)*100/I578</f>
        <v>0.822784810126587</v>
      </c>
      <c r="K578" s="361" t="s">
        <v>150</v>
      </c>
      <c r="L578" s="363">
        <f t="shared" ref="L578" si="755">H579-H578</f>
        <v>-0.260000000000002</v>
      </c>
    </row>
    <row r="579" ht="20.25" spans="2:12">
      <c r="B579" s="33"/>
      <c r="C579" s="396"/>
      <c r="D579" s="282">
        <v>10.8</v>
      </c>
      <c r="E579" s="29">
        <v>7.1434</v>
      </c>
      <c r="F579" s="305">
        <v>5</v>
      </c>
      <c r="G579" s="306">
        <v>12</v>
      </c>
      <c r="H579" s="306">
        <f t="shared" si="749"/>
        <v>31.5</v>
      </c>
      <c r="I579" s="358"/>
      <c r="J579" s="359"/>
      <c r="K579" s="360"/>
      <c r="L579" s="364"/>
    </row>
    <row r="580" ht="20.25" spans="2:12">
      <c r="B580" s="26" t="s">
        <v>919</v>
      </c>
      <c r="C580" s="395"/>
      <c r="D580" s="282">
        <v>10.8</v>
      </c>
      <c r="E580" s="29">
        <v>0.8202</v>
      </c>
      <c r="F580" s="305">
        <v>1</v>
      </c>
      <c r="G580" s="306">
        <v>8.9</v>
      </c>
      <c r="H580" s="306">
        <f t="shared" si="749"/>
        <v>73.97</v>
      </c>
      <c r="I580" s="353">
        <f t="shared" ref="I580" si="756">ROUND((H580+H581)/2,1)</f>
        <v>74</v>
      </c>
      <c r="J580" s="354">
        <f t="shared" ref="J580" si="757">(H580-H581)*100/I580</f>
        <v>0</v>
      </c>
      <c r="K580" s="361" t="s">
        <v>150</v>
      </c>
      <c r="L580" s="363">
        <f t="shared" ref="L580" si="758">H581-H580</f>
        <v>0</v>
      </c>
    </row>
    <row r="581" ht="20.25" spans="2:12">
      <c r="B581" s="33"/>
      <c r="C581" s="396"/>
      <c r="D581" s="282">
        <v>10.8</v>
      </c>
      <c r="E581" s="29">
        <v>0.8202</v>
      </c>
      <c r="F581" s="305">
        <v>1</v>
      </c>
      <c r="G581" s="306">
        <v>8.9</v>
      </c>
      <c r="H581" s="306">
        <f t="shared" si="749"/>
        <v>73.97</v>
      </c>
      <c r="I581" s="358"/>
      <c r="J581" s="359"/>
      <c r="K581" s="360"/>
      <c r="L581" s="364"/>
    </row>
    <row r="582" ht="20.25" spans="2:12">
      <c r="B582" s="26" t="s">
        <v>920</v>
      </c>
      <c r="C582" s="395"/>
      <c r="D582" s="282">
        <v>10.8</v>
      </c>
      <c r="E582" s="29">
        <v>0.7335</v>
      </c>
      <c r="F582" s="305">
        <v>1</v>
      </c>
      <c r="G582" s="306">
        <v>9.45</v>
      </c>
      <c r="H582" s="306">
        <f t="shared" si="749"/>
        <v>77.9</v>
      </c>
      <c r="I582" s="353">
        <f t="shared" ref="I582" si="759">ROUND((H582+H583)/2,1)</f>
        <v>77.9</v>
      </c>
      <c r="J582" s="354">
        <f t="shared" ref="J582" si="760">(H582-H583)*100/I582</f>
        <v>0</v>
      </c>
      <c r="K582" s="361" t="s">
        <v>150</v>
      </c>
      <c r="L582" s="363">
        <f t="shared" ref="L582" si="761">H583-H582</f>
        <v>0</v>
      </c>
    </row>
    <row r="583" ht="20.25" spans="2:12">
      <c r="B583" s="33"/>
      <c r="C583" s="396"/>
      <c r="D583" s="282">
        <v>10.8</v>
      </c>
      <c r="E583" s="29">
        <v>0.7335</v>
      </c>
      <c r="F583" s="305">
        <v>1</v>
      </c>
      <c r="G583" s="306">
        <v>9.45</v>
      </c>
      <c r="H583" s="306">
        <f t="shared" si="749"/>
        <v>77.9</v>
      </c>
      <c r="I583" s="358"/>
      <c r="J583" s="359"/>
      <c r="K583" s="360"/>
      <c r="L583" s="364"/>
    </row>
    <row r="584" ht="20.25" customHeight="1" spans="2:12">
      <c r="B584" s="26" t="s">
        <v>921</v>
      </c>
      <c r="C584" s="395"/>
      <c r="D584" s="282">
        <v>10.8</v>
      </c>
      <c r="E584" s="29">
        <v>0.6527</v>
      </c>
      <c r="F584" s="305">
        <v>1</v>
      </c>
      <c r="G584" s="306">
        <v>10.6</v>
      </c>
      <c r="H584" s="306">
        <f t="shared" si="749"/>
        <v>78.05</v>
      </c>
      <c r="I584" s="353">
        <f t="shared" ref="I584" si="762">ROUND((H584+H585)/2,1)</f>
        <v>78.1</v>
      </c>
      <c r="J584" s="354">
        <f t="shared" ref="J584" si="763">(H584-H585)*100/I584</f>
        <v>0</v>
      </c>
      <c r="K584" s="361" t="s">
        <v>150</v>
      </c>
      <c r="L584" s="363">
        <f t="shared" ref="L584" si="764">H585-H584</f>
        <v>0</v>
      </c>
    </row>
    <row r="585" customHeight="1" spans="2:12">
      <c r="B585" s="33"/>
      <c r="C585" s="396"/>
      <c r="D585" s="282">
        <v>10.8</v>
      </c>
      <c r="E585" s="29">
        <v>0.6527</v>
      </c>
      <c r="F585" s="305">
        <v>1</v>
      </c>
      <c r="G585" s="306">
        <v>10.6</v>
      </c>
      <c r="H585" s="306">
        <f t="shared" si="749"/>
        <v>78.05</v>
      </c>
      <c r="I585" s="358"/>
      <c r="J585" s="359"/>
      <c r="K585" s="360"/>
      <c r="L585" s="364"/>
    </row>
    <row r="586" ht="20.25" customHeight="1" spans="2:12">
      <c r="B586" s="26" t="s">
        <v>922</v>
      </c>
      <c r="C586" s="395"/>
      <c r="D586" s="282">
        <v>10.8</v>
      </c>
      <c r="E586" s="29">
        <v>1.0161</v>
      </c>
      <c r="F586" s="305">
        <v>1</v>
      </c>
      <c r="G586" s="306">
        <v>7.4</v>
      </c>
      <c r="H586" s="306">
        <f t="shared" ref="H586:H589" si="765">ROUND(D586*100*F586*250*100/50/E586/G586/1000,2)</f>
        <v>71.82</v>
      </c>
      <c r="I586" s="353">
        <f t="shared" ref="I586" si="766">ROUND((H586+H587)/2,1)</f>
        <v>71.8</v>
      </c>
      <c r="J586" s="354">
        <f t="shared" ref="J586" si="767">(H586-H587)*100/I586</f>
        <v>0</v>
      </c>
      <c r="K586" s="361" t="s">
        <v>150</v>
      </c>
      <c r="L586" s="363">
        <f t="shared" ref="L586" si="768">H587-H586</f>
        <v>0</v>
      </c>
    </row>
    <row r="587" ht="20.25" customHeight="1" spans="2:12">
      <c r="B587" s="33"/>
      <c r="C587" s="396"/>
      <c r="D587" s="282">
        <v>10.8</v>
      </c>
      <c r="E587" s="29">
        <v>1.0161</v>
      </c>
      <c r="F587" s="305">
        <v>1</v>
      </c>
      <c r="G587" s="306">
        <v>7.4</v>
      </c>
      <c r="H587" s="306">
        <f t="shared" si="765"/>
        <v>71.82</v>
      </c>
      <c r="I587" s="358"/>
      <c r="J587" s="359"/>
      <c r="K587" s="360"/>
      <c r="L587" s="364"/>
    </row>
    <row r="588" ht="20.25" spans="2:12">
      <c r="B588" s="26" t="s">
        <v>906</v>
      </c>
      <c r="C588" s="395"/>
      <c r="D588" s="282">
        <v>10.8</v>
      </c>
      <c r="E588" s="29">
        <v>0.8049</v>
      </c>
      <c r="F588" s="305">
        <v>1</v>
      </c>
      <c r="G588" s="306">
        <v>8.3</v>
      </c>
      <c r="H588" s="306">
        <f t="shared" si="765"/>
        <v>80.83</v>
      </c>
      <c r="I588" s="353">
        <f t="shared" ref="I588" si="769">ROUND((H588+H589)/2,1)</f>
        <v>80.4</v>
      </c>
      <c r="J588" s="354">
        <f t="shared" ref="J588" si="770">(H588-H589)*100/I588</f>
        <v>1.1318407960199</v>
      </c>
      <c r="K588" s="361" t="s">
        <v>150</v>
      </c>
      <c r="L588" s="363">
        <f t="shared" ref="L588" si="771">H589-H588</f>
        <v>-0.909999999999997</v>
      </c>
    </row>
    <row r="589" ht="20.25" spans="2:12">
      <c r="B589" s="33"/>
      <c r="C589" s="396"/>
      <c r="D589" s="282">
        <v>10.8</v>
      </c>
      <c r="E589" s="29">
        <v>0.715</v>
      </c>
      <c r="F589" s="305">
        <v>1</v>
      </c>
      <c r="G589" s="306">
        <v>9.45</v>
      </c>
      <c r="H589" s="306">
        <f t="shared" si="765"/>
        <v>79.92</v>
      </c>
      <c r="I589" s="358"/>
      <c r="J589" s="359"/>
      <c r="K589" s="360"/>
      <c r="L589" s="364"/>
    </row>
    <row r="590" ht="20.25" spans="2:12">
      <c r="B590" s="26" t="s">
        <v>923</v>
      </c>
      <c r="C590" s="395"/>
      <c r="D590" s="282">
        <v>10.8</v>
      </c>
      <c r="E590" s="29">
        <v>1.3044</v>
      </c>
      <c r="F590" s="305">
        <v>2</v>
      </c>
      <c r="G590" s="306">
        <v>13.2</v>
      </c>
      <c r="H590" s="306">
        <f t="shared" ref="H590:H601" si="772">ROUND(D590*100*F590*250*100/50/E590/G590/1000,2)</f>
        <v>62.72</v>
      </c>
      <c r="I590" s="353">
        <f t="shared" ref="I590" si="773">ROUND((H590+H591)/2,1)</f>
        <v>62.7</v>
      </c>
      <c r="J590" s="354">
        <f t="shared" ref="J590" si="774">(H590-H591)*100/I590</f>
        <v>0</v>
      </c>
      <c r="K590" s="361" t="s">
        <v>150</v>
      </c>
      <c r="L590" s="363">
        <f t="shared" ref="L590" si="775">H591-H590</f>
        <v>0</v>
      </c>
    </row>
    <row r="591" ht="20.25" spans="2:12">
      <c r="B591" s="33"/>
      <c r="C591" s="396"/>
      <c r="D591" s="282">
        <v>10.8</v>
      </c>
      <c r="E591" s="29">
        <v>1.3044</v>
      </c>
      <c r="F591" s="305">
        <v>2</v>
      </c>
      <c r="G591" s="306">
        <v>13.2</v>
      </c>
      <c r="H591" s="306">
        <f t="shared" si="772"/>
        <v>62.72</v>
      </c>
      <c r="I591" s="358"/>
      <c r="J591" s="359"/>
      <c r="K591" s="360"/>
      <c r="L591" s="364"/>
    </row>
    <row r="592" ht="20.25" spans="2:12">
      <c r="B592" s="26" t="s">
        <v>924</v>
      </c>
      <c r="C592" s="395"/>
      <c r="D592" s="282">
        <v>10.9</v>
      </c>
      <c r="E592" s="29">
        <v>1.8613</v>
      </c>
      <c r="F592" s="305">
        <v>2</v>
      </c>
      <c r="G592" s="306">
        <v>9.7</v>
      </c>
      <c r="H592" s="306">
        <f t="shared" si="772"/>
        <v>60.37</v>
      </c>
      <c r="I592" s="353">
        <f t="shared" ref="I592" si="776">ROUND((H592+H593)/2,1)</f>
        <v>60.1</v>
      </c>
      <c r="J592" s="354">
        <f t="shared" ref="J592" si="777">(H592-H593)*100/I592</f>
        <v>0.915141430948415</v>
      </c>
      <c r="K592" s="361" t="s">
        <v>150</v>
      </c>
      <c r="L592" s="363">
        <f t="shared" ref="L592" si="778">H593-H592</f>
        <v>-0.549999999999997</v>
      </c>
    </row>
    <row r="593" ht="20.25" spans="2:12">
      <c r="B593" s="33"/>
      <c r="C593" s="396"/>
      <c r="D593" s="282">
        <v>10.8</v>
      </c>
      <c r="E593" s="29">
        <v>1.8613</v>
      </c>
      <c r="F593" s="305">
        <v>2</v>
      </c>
      <c r="G593" s="306">
        <v>9.7</v>
      </c>
      <c r="H593" s="306">
        <f t="shared" si="772"/>
        <v>59.82</v>
      </c>
      <c r="I593" s="358"/>
      <c r="J593" s="359"/>
      <c r="K593" s="360"/>
      <c r="L593" s="364"/>
    </row>
    <row r="594" ht="20.25" spans="2:12">
      <c r="B594" s="26" t="s">
        <v>925</v>
      </c>
      <c r="C594" s="395"/>
      <c r="D594" s="282">
        <v>10.8</v>
      </c>
      <c r="E594" s="29">
        <v>2.2707</v>
      </c>
      <c r="F594" s="305">
        <v>1</v>
      </c>
      <c r="G594" s="306">
        <v>10.6</v>
      </c>
      <c r="H594" s="306">
        <f t="shared" si="772"/>
        <v>22.44</v>
      </c>
      <c r="I594" s="353">
        <f t="shared" ref="I594" si="779">ROUND((H594+H595)/2,1)</f>
        <v>22.5</v>
      </c>
      <c r="J594" s="354">
        <f t="shared" ref="J594" si="780">(H594-H595)*100/I594</f>
        <v>-0.088888888888887</v>
      </c>
      <c r="K594" s="361" t="s">
        <v>150</v>
      </c>
      <c r="L594" s="363">
        <f t="shared" ref="L594" si="781">H595-H594</f>
        <v>0.0199999999999996</v>
      </c>
    </row>
    <row r="595" ht="20.25" spans="2:12">
      <c r="B595" s="33"/>
      <c r="C595" s="396"/>
      <c r="D595" s="282">
        <v>10.8</v>
      </c>
      <c r="E595" s="29">
        <v>3.2936</v>
      </c>
      <c r="F595" s="305">
        <v>1</v>
      </c>
      <c r="G595" s="306">
        <v>7.3</v>
      </c>
      <c r="H595" s="306">
        <f t="shared" si="772"/>
        <v>22.46</v>
      </c>
      <c r="I595" s="358"/>
      <c r="J595" s="359"/>
      <c r="K595" s="360"/>
      <c r="L595" s="364"/>
    </row>
    <row r="596" ht="20.25" customHeight="1" spans="2:12">
      <c r="B596" s="26" t="s">
        <v>926</v>
      </c>
      <c r="C596" s="395"/>
      <c r="D596" s="282">
        <v>10.8</v>
      </c>
      <c r="E596" s="29">
        <v>2.6071</v>
      </c>
      <c r="F596" s="305">
        <v>1</v>
      </c>
      <c r="G596" s="306">
        <v>9.6</v>
      </c>
      <c r="H596" s="306">
        <f t="shared" si="772"/>
        <v>21.58</v>
      </c>
      <c r="I596" s="353">
        <f t="shared" ref="I596" si="782">ROUND((H596+H597)/2,1)</f>
        <v>21.5</v>
      </c>
      <c r="J596" s="354">
        <f t="shared" ref="J596" si="783">(H596-H597)*100/I596</f>
        <v>0.976744186046499</v>
      </c>
      <c r="K596" s="361" t="s">
        <v>150</v>
      </c>
      <c r="L596" s="363">
        <f t="shared" ref="L596" si="784">H597-H596</f>
        <v>-0.209999999999997</v>
      </c>
    </row>
    <row r="597" ht="20.25" customHeight="1" spans="2:12">
      <c r="B597" s="33"/>
      <c r="C597" s="396"/>
      <c r="D597" s="282">
        <v>10.8</v>
      </c>
      <c r="E597" s="29">
        <v>2.777</v>
      </c>
      <c r="F597" s="305">
        <v>1</v>
      </c>
      <c r="G597" s="306">
        <v>9.1</v>
      </c>
      <c r="H597" s="306">
        <f t="shared" si="772"/>
        <v>21.37</v>
      </c>
      <c r="I597" s="358"/>
      <c r="J597" s="359"/>
      <c r="K597" s="360"/>
      <c r="L597" s="364"/>
    </row>
    <row r="598" ht="20.25" customHeight="1" spans="2:12">
      <c r="B598" s="26" t="s">
        <v>927</v>
      </c>
      <c r="C598" s="395"/>
      <c r="D598" s="282">
        <v>10.8</v>
      </c>
      <c r="E598" s="29">
        <v>1.2125</v>
      </c>
      <c r="F598" s="305">
        <v>1</v>
      </c>
      <c r="G598" s="306">
        <v>7.8</v>
      </c>
      <c r="H598" s="306">
        <f t="shared" si="772"/>
        <v>57.1</v>
      </c>
      <c r="I598" s="353">
        <f t="shared" ref="I598" si="785">ROUND((H598+H599)/2,1)</f>
        <v>55.9</v>
      </c>
      <c r="J598" s="354">
        <f t="shared" ref="J598" si="786">(H598-H599)*100/I598</f>
        <v>4.25760286225403</v>
      </c>
      <c r="K598" s="361" t="s">
        <v>150</v>
      </c>
      <c r="L598" s="363">
        <f t="shared" ref="L598" si="787">H599-H598</f>
        <v>-2.38</v>
      </c>
    </row>
    <row r="599" ht="20.25" customHeight="1" spans="2:12">
      <c r="B599" s="33"/>
      <c r="C599" s="396"/>
      <c r="D599" s="282">
        <v>10.8</v>
      </c>
      <c r="E599" s="29">
        <v>0.885</v>
      </c>
      <c r="F599" s="305">
        <v>1</v>
      </c>
      <c r="G599" s="306">
        <v>11.15</v>
      </c>
      <c r="H599" s="306">
        <f t="shared" si="772"/>
        <v>54.72</v>
      </c>
      <c r="I599" s="358"/>
      <c r="J599" s="359"/>
      <c r="K599" s="360"/>
      <c r="L599" s="364"/>
    </row>
    <row r="600" ht="20.25" spans="2:13">
      <c r="B600" s="26" t="s">
        <v>928</v>
      </c>
      <c r="C600" s="395"/>
      <c r="D600" s="282">
        <v>10.9</v>
      </c>
      <c r="E600" s="29">
        <v>2.5491</v>
      </c>
      <c r="F600" s="305">
        <v>1</v>
      </c>
      <c r="G600" s="306">
        <v>11.9</v>
      </c>
      <c r="H600" s="306">
        <f t="shared" si="772"/>
        <v>17.97</v>
      </c>
      <c r="I600" s="353">
        <f t="shared" ref="I600" si="788">ROUND((H600+H601)/2,1)</f>
        <v>17.7</v>
      </c>
      <c r="J600" s="354">
        <f t="shared" ref="J600" si="789">(H600-H601)*100/I600</f>
        <v>3.44632768361582</v>
      </c>
      <c r="K600" s="361" t="s">
        <v>150</v>
      </c>
      <c r="L600" s="363">
        <f t="shared" ref="L600" si="790">H601-H600</f>
        <v>-0.609999999999999</v>
      </c>
      <c r="M600" s="328" t="s">
        <v>216</v>
      </c>
    </row>
    <row r="601" ht="20.25" spans="2:12">
      <c r="B601" s="33"/>
      <c r="C601" s="396"/>
      <c r="D601" s="282">
        <v>10.8</v>
      </c>
      <c r="E601" s="29">
        <v>2.5491</v>
      </c>
      <c r="F601" s="305">
        <v>1</v>
      </c>
      <c r="G601" s="306">
        <v>12.2</v>
      </c>
      <c r="H601" s="306">
        <f t="shared" si="772"/>
        <v>17.36</v>
      </c>
      <c r="I601" s="358"/>
      <c r="J601" s="359"/>
      <c r="K601" s="360"/>
      <c r="L601" s="364"/>
    </row>
    <row r="602" ht="20.25" spans="1:12">
      <c r="A602" s="314">
        <v>11.7</v>
      </c>
      <c r="B602" s="26" t="s">
        <v>929</v>
      </c>
      <c r="C602" s="395"/>
      <c r="D602" s="282">
        <v>11</v>
      </c>
      <c r="E602" s="29">
        <v>1.0254</v>
      </c>
      <c r="F602" s="305">
        <v>1</v>
      </c>
      <c r="G602" s="306">
        <v>10.3</v>
      </c>
      <c r="H602" s="306">
        <f t="shared" ref="H602:H625" si="791">ROUND(D602*100*F602*250*100/50/E602/G602/1000,2)</f>
        <v>52.08</v>
      </c>
      <c r="I602" s="353">
        <f t="shared" ref="I602" si="792">ROUND((H602+H603)/2,1)</f>
        <v>52.4</v>
      </c>
      <c r="J602" s="354">
        <f t="shared" ref="J602" si="793">(H602-H603)*100/I602</f>
        <v>-1.31679389312978</v>
      </c>
      <c r="K602" s="361" t="s">
        <v>150</v>
      </c>
      <c r="L602" s="363">
        <f t="shared" ref="L602" si="794">H603-H602</f>
        <v>0.690000000000005</v>
      </c>
    </row>
    <row r="603" ht="20.25" spans="2:12">
      <c r="B603" s="33"/>
      <c r="C603" s="396"/>
      <c r="D603" s="282">
        <v>11</v>
      </c>
      <c r="E603" s="29">
        <v>1.1029</v>
      </c>
      <c r="F603" s="305">
        <v>1</v>
      </c>
      <c r="G603" s="306">
        <v>9.45</v>
      </c>
      <c r="H603" s="306">
        <f t="shared" si="791"/>
        <v>52.77</v>
      </c>
      <c r="I603" s="358"/>
      <c r="J603" s="359"/>
      <c r="K603" s="360"/>
      <c r="L603" s="364"/>
    </row>
    <row r="604" ht="20.25" customHeight="1" spans="2:12">
      <c r="B604" s="26" t="s">
        <v>930</v>
      </c>
      <c r="C604" s="395"/>
      <c r="D604" s="282">
        <v>11</v>
      </c>
      <c r="E604" s="29">
        <v>1.0236</v>
      </c>
      <c r="F604" s="305">
        <v>1</v>
      </c>
      <c r="G604" s="306">
        <v>10.05</v>
      </c>
      <c r="H604" s="306">
        <f t="shared" si="791"/>
        <v>53.46</v>
      </c>
      <c r="I604" s="353">
        <f t="shared" ref="I604" si="795">ROUND((H604+H605)/2,1)</f>
        <v>53.8</v>
      </c>
      <c r="J604" s="354">
        <f t="shared" ref="J604" si="796">(H604-H605)*100/I604</f>
        <v>-1.2639405204461</v>
      </c>
      <c r="K604" s="361" t="s">
        <v>150</v>
      </c>
      <c r="L604" s="363">
        <f t="shared" ref="L604" si="797">H605-H604</f>
        <v>0.68</v>
      </c>
    </row>
    <row r="605" ht="20.25" customHeight="1" spans="2:12">
      <c r="B605" s="33"/>
      <c r="C605" s="396"/>
      <c r="D605" s="282">
        <v>11</v>
      </c>
      <c r="E605" s="29">
        <v>0.8259</v>
      </c>
      <c r="F605" s="305">
        <v>1</v>
      </c>
      <c r="G605" s="306">
        <v>12.3</v>
      </c>
      <c r="H605" s="306">
        <f t="shared" si="791"/>
        <v>54.14</v>
      </c>
      <c r="I605" s="358"/>
      <c r="J605" s="359"/>
      <c r="K605" s="360"/>
      <c r="L605" s="364"/>
    </row>
    <row r="606" ht="20.25" spans="2:12">
      <c r="B606" s="26" t="s">
        <v>931</v>
      </c>
      <c r="C606" s="395"/>
      <c r="D606" s="282">
        <v>11</v>
      </c>
      <c r="E606" s="29">
        <v>0.7208</v>
      </c>
      <c r="F606" s="305">
        <v>1</v>
      </c>
      <c r="G606" s="306">
        <v>10.45</v>
      </c>
      <c r="H606" s="306">
        <f t="shared" si="791"/>
        <v>73.02</v>
      </c>
      <c r="I606" s="353">
        <f t="shared" ref="I606" si="798">ROUND((H606+H607)/2,1)</f>
        <v>73.2</v>
      </c>
      <c r="J606" s="354">
        <f t="shared" ref="J606" si="799">(H606-H607)*100/I606</f>
        <v>-0.491803278688524</v>
      </c>
      <c r="K606" s="361" t="s">
        <v>150</v>
      </c>
      <c r="L606" s="363">
        <f t="shared" ref="L606" si="800">H607-H606</f>
        <v>0.359999999999999</v>
      </c>
    </row>
    <row r="607" ht="20.25" spans="2:12">
      <c r="B607" s="33"/>
      <c r="C607" s="396"/>
      <c r="D607" s="282">
        <v>11</v>
      </c>
      <c r="E607" s="29">
        <v>0.8059</v>
      </c>
      <c r="F607" s="305">
        <v>1</v>
      </c>
      <c r="G607" s="306">
        <v>9.3</v>
      </c>
      <c r="H607" s="306">
        <f t="shared" si="791"/>
        <v>73.38</v>
      </c>
      <c r="I607" s="358"/>
      <c r="J607" s="359"/>
      <c r="K607" s="360"/>
      <c r="L607" s="364"/>
    </row>
    <row r="608" ht="20.25" customHeight="1" spans="2:12">
      <c r="B608" s="26" t="s">
        <v>932</v>
      </c>
      <c r="C608" s="395"/>
      <c r="D608" s="282">
        <v>11</v>
      </c>
      <c r="E608" s="29">
        <v>0.7942</v>
      </c>
      <c r="F608" s="305">
        <v>1</v>
      </c>
      <c r="G608" s="306">
        <v>9.3</v>
      </c>
      <c r="H608" s="306">
        <f t="shared" si="791"/>
        <v>74.46</v>
      </c>
      <c r="I608" s="353">
        <f t="shared" ref="I608" si="801">ROUND((H608+H609)/2,1)</f>
        <v>74.3</v>
      </c>
      <c r="J608" s="354">
        <f t="shared" ref="J608" si="802">(H608-H609)*100/I608</f>
        <v>0.497981157469704</v>
      </c>
      <c r="K608" s="361" t="s">
        <v>150</v>
      </c>
      <c r="L608" s="363">
        <f t="shared" ref="L608" si="803">H609-H608</f>
        <v>-0.36999999999999</v>
      </c>
    </row>
    <row r="609" ht="20.25" customHeight="1" spans="2:12">
      <c r="B609" s="33"/>
      <c r="C609" s="396"/>
      <c r="D609" s="282">
        <v>11</v>
      </c>
      <c r="E609" s="29">
        <v>0.7814</v>
      </c>
      <c r="F609" s="305">
        <v>1</v>
      </c>
      <c r="G609" s="306">
        <v>9.5</v>
      </c>
      <c r="H609" s="306">
        <f t="shared" si="791"/>
        <v>74.09</v>
      </c>
      <c r="I609" s="358"/>
      <c r="J609" s="359"/>
      <c r="K609" s="360"/>
      <c r="L609" s="364"/>
    </row>
    <row r="610" ht="20.25" customHeight="1" spans="2:12">
      <c r="B610" s="26" t="s">
        <v>933</v>
      </c>
      <c r="C610" s="395"/>
      <c r="D610" s="282">
        <v>11</v>
      </c>
      <c r="E610" s="29">
        <v>0.8015</v>
      </c>
      <c r="F610" s="305">
        <v>1</v>
      </c>
      <c r="G610" s="306">
        <v>10.25</v>
      </c>
      <c r="H610" s="306">
        <f t="shared" si="791"/>
        <v>66.95</v>
      </c>
      <c r="I610" s="353">
        <f t="shared" ref="I610" si="804">ROUND((H610+H611)/2,1)</f>
        <v>67.1</v>
      </c>
      <c r="J610" s="354">
        <f t="shared" ref="J610" si="805">(H610-H611)*100/I610</f>
        <v>-0.298062593144565</v>
      </c>
      <c r="K610" s="361" t="s">
        <v>150</v>
      </c>
      <c r="L610" s="363">
        <f t="shared" ref="L610" si="806">H611-H610</f>
        <v>0.200000000000003</v>
      </c>
    </row>
    <row r="611" ht="20.25" customHeight="1" spans="2:12">
      <c r="B611" s="33"/>
      <c r="C611" s="396"/>
      <c r="D611" s="282">
        <v>11</v>
      </c>
      <c r="E611" s="29">
        <v>0.8622</v>
      </c>
      <c r="F611" s="305">
        <v>1</v>
      </c>
      <c r="G611" s="306">
        <v>9.5</v>
      </c>
      <c r="H611" s="306">
        <f t="shared" si="791"/>
        <v>67.15</v>
      </c>
      <c r="I611" s="358"/>
      <c r="J611" s="359"/>
      <c r="K611" s="360"/>
      <c r="L611" s="364"/>
    </row>
    <row r="612" ht="20.25" customHeight="1" spans="2:12">
      <c r="B612" s="26" t="s">
        <v>934</v>
      </c>
      <c r="C612" s="395"/>
      <c r="D612" s="282">
        <v>11</v>
      </c>
      <c r="E612" s="29">
        <v>0.7301</v>
      </c>
      <c r="F612" s="305">
        <v>1</v>
      </c>
      <c r="G612" s="306">
        <v>10.7</v>
      </c>
      <c r="H612" s="306">
        <f t="shared" si="791"/>
        <v>70.4</v>
      </c>
      <c r="I612" s="353">
        <f t="shared" ref="I612" si="807">ROUND((H612+H613)/2,1)</f>
        <v>70.6</v>
      </c>
      <c r="J612" s="354">
        <f t="shared" ref="J612" si="808">(H612-H613)*100/I612</f>
        <v>-0.623229461756371</v>
      </c>
      <c r="K612" s="361" t="s">
        <v>150</v>
      </c>
      <c r="L612" s="363">
        <f t="shared" ref="L612" si="809">H613-H612</f>
        <v>0.439999999999998</v>
      </c>
    </row>
    <row r="613" ht="20.25" customHeight="1" spans="2:12">
      <c r="B613" s="33"/>
      <c r="C613" s="396"/>
      <c r="D613" s="282">
        <v>11</v>
      </c>
      <c r="E613" s="29">
        <v>0.7256</v>
      </c>
      <c r="F613" s="305">
        <v>1</v>
      </c>
      <c r="G613" s="306">
        <v>10.7</v>
      </c>
      <c r="H613" s="306">
        <f t="shared" si="791"/>
        <v>70.84</v>
      </c>
      <c r="I613" s="358"/>
      <c r="J613" s="359"/>
      <c r="K613" s="360"/>
      <c r="L613" s="364"/>
    </row>
    <row r="614" ht="20.25" customHeight="1" spans="2:12">
      <c r="B614" s="26" t="s">
        <v>935</v>
      </c>
      <c r="C614" s="395"/>
      <c r="D614" s="282">
        <v>11</v>
      </c>
      <c r="E614" s="29">
        <v>0.5329</v>
      </c>
      <c r="F614" s="305">
        <v>1</v>
      </c>
      <c r="G614" s="306">
        <v>13.5</v>
      </c>
      <c r="H614" s="306">
        <f t="shared" si="791"/>
        <v>76.45</v>
      </c>
      <c r="I614" s="353">
        <f t="shared" ref="I614" si="810">ROUND((H614+H615)/2,1)</f>
        <v>76.6</v>
      </c>
      <c r="J614" s="354">
        <f t="shared" ref="J614" si="811">(H614-H615)*100/I614</f>
        <v>-0.365535248041777</v>
      </c>
      <c r="K614" s="361" t="s">
        <v>150</v>
      </c>
      <c r="L614" s="363">
        <f t="shared" ref="L614" si="812">H615-H614</f>
        <v>0.280000000000001</v>
      </c>
    </row>
    <row r="615" ht="20.25" customHeight="1" spans="2:12">
      <c r="B615" s="33"/>
      <c r="C615" s="396"/>
      <c r="D615" s="282">
        <v>11</v>
      </c>
      <c r="E615" s="29">
        <v>0.6233</v>
      </c>
      <c r="F615" s="305">
        <v>1</v>
      </c>
      <c r="G615" s="306">
        <v>11.5</v>
      </c>
      <c r="H615" s="306">
        <f t="shared" si="791"/>
        <v>76.73</v>
      </c>
      <c r="I615" s="358"/>
      <c r="J615" s="359"/>
      <c r="K615" s="360"/>
      <c r="L615" s="364"/>
    </row>
    <row r="616" ht="20.25" customHeight="1" spans="2:12">
      <c r="B616" s="26" t="s">
        <v>936</v>
      </c>
      <c r="C616" s="395"/>
      <c r="D616" s="282">
        <v>11</v>
      </c>
      <c r="E616" s="29">
        <v>0.6366</v>
      </c>
      <c r="F616" s="305">
        <v>1</v>
      </c>
      <c r="G616" s="306">
        <v>11.7</v>
      </c>
      <c r="H616" s="306">
        <f t="shared" si="791"/>
        <v>73.84</v>
      </c>
      <c r="I616" s="353">
        <f t="shared" ref="I616" si="813">ROUND((H616+H617)/2,1)</f>
        <v>73.6</v>
      </c>
      <c r="J616" s="354">
        <f t="shared" ref="J616" si="814">(H616-H617)*100/I616</f>
        <v>0.597826086956519</v>
      </c>
      <c r="K616" s="361" t="s">
        <v>150</v>
      </c>
      <c r="L616" s="363">
        <f t="shared" ref="L616" si="815">H617-H616</f>
        <v>-0.439999999999998</v>
      </c>
    </row>
    <row r="617" ht="20.25" customHeight="1" spans="2:12">
      <c r="B617" s="33"/>
      <c r="C617" s="396"/>
      <c r="D617" s="282">
        <v>11</v>
      </c>
      <c r="E617" s="29">
        <v>0.697</v>
      </c>
      <c r="F617" s="305">
        <v>1</v>
      </c>
      <c r="G617" s="306">
        <v>10.75</v>
      </c>
      <c r="H617" s="306">
        <f t="shared" si="791"/>
        <v>73.4</v>
      </c>
      <c r="I617" s="358"/>
      <c r="J617" s="359"/>
      <c r="K617" s="360"/>
      <c r="L617" s="364"/>
    </row>
    <row r="618" ht="20.25" customHeight="1" spans="2:12">
      <c r="B618" s="26" t="s">
        <v>937</v>
      </c>
      <c r="C618" s="395"/>
      <c r="D618" s="282">
        <v>11</v>
      </c>
      <c r="E618" s="29">
        <v>0.6151</v>
      </c>
      <c r="F618" s="305">
        <v>1</v>
      </c>
      <c r="G618" s="306">
        <v>12.35</v>
      </c>
      <c r="H618" s="306">
        <f t="shared" si="791"/>
        <v>72.4</v>
      </c>
      <c r="I618" s="353">
        <f t="shared" ref="I618" si="816">ROUND((H618+H619)/2,1)</f>
        <v>72.1</v>
      </c>
      <c r="J618" s="354">
        <f t="shared" ref="J618" si="817">(H618-H619)*100/I618</f>
        <v>0.748959778086</v>
      </c>
      <c r="K618" s="361" t="s">
        <v>150</v>
      </c>
      <c r="L618" s="363">
        <f t="shared" ref="L618" si="818">H619-H618</f>
        <v>-0.540000000000006</v>
      </c>
    </row>
    <row r="619" ht="20.25" customHeight="1" spans="2:12">
      <c r="B619" s="33"/>
      <c r="C619" s="396"/>
      <c r="D619" s="282">
        <v>11</v>
      </c>
      <c r="E619" s="29">
        <v>0.6325</v>
      </c>
      <c r="F619" s="305">
        <v>1</v>
      </c>
      <c r="G619" s="306">
        <v>12.1</v>
      </c>
      <c r="H619" s="306">
        <f t="shared" si="791"/>
        <v>71.86</v>
      </c>
      <c r="I619" s="358"/>
      <c r="J619" s="359"/>
      <c r="K619" s="360"/>
      <c r="L619" s="364"/>
    </row>
    <row r="620" ht="20.25" customHeight="1" spans="2:12">
      <c r="B620" s="26" t="s">
        <v>938</v>
      </c>
      <c r="C620" s="395"/>
      <c r="D620" s="282">
        <v>11</v>
      </c>
      <c r="E620" s="29">
        <v>0.7209</v>
      </c>
      <c r="F620" s="305">
        <v>1</v>
      </c>
      <c r="G620" s="306">
        <v>10.55</v>
      </c>
      <c r="H620" s="306">
        <f t="shared" si="791"/>
        <v>72.32</v>
      </c>
      <c r="I620" s="353">
        <f t="shared" ref="I620" si="819">ROUND((H620+H621)/2,1)</f>
        <v>72.4</v>
      </c>
      <c r="J620" s="354">
        <f t="shared" ref="J620" si="820">(H620-H621)*100/I620</f>
        <v>-0.262430939226536</v>
      </c>
      <c r="K620" s="361" t="s">
        <v>150</v>
      </c>
      <c r="L620" s="363">
        <f t="shared" ref="L620" si="821">H621-H620</f>
        <v>0.190000000000012</v>
      </c>
    </row>
    <row r="621" ht="20.25" customHeight="1" spans="2:12">
      <c r="B621" s="33"/>
      <c r="C621" s="396"/>
      <c r="D621" s="282">
        <v>11</v>
      </c>
      <c r="E621" s="29">
        <v>0.7329</v>
      </c>
      <c r="F621" s="305">
        <v>1</v>
      </c>
      <c r="G621" s="306">
        <v>10.35</v>
      </c>
      <c r="H621" s="306">
        <f t="shared" si="791"/>
        <v>72.51</v>
      </c>
      <c r="I621" s="358"/>
      <c r="J621" s="359"/>
      <c r="K621" s="360"/>
      <c r="L621" s="364"/>
    </row>
    <row r="622" ht="20.25" customHeight="1" spans="2:12">
      <c r="B622" s="26" t="s">
        <v>939</v>
      </c>
      <c r="C622" s="395"/>
      <c r="D622" s="282">
        <v>11</v>
      </c>
      <c r="E622" s="29">
        <v>0.922</v>
      </c>
      <c r="F622" s="305">
        <v>1</v>
      </c>
      <c r="G622" s="306">
        <v>15</v>
      </c>
      <c r="H622" s="306">
        <f t="shared" si="791"/>
        <v>39.77</v>
      </c>
      <c r="I622" s="353">
        <f t="shared" ref="I622" si="822">ROUND((H622+H623)/2,1)</f>
        <v>39.6</v>
      </c>
      <c r="J622" s="354">
        <f t="shared" ref="J622" si="823">(H622-H623)*100/I622</f>
        <v>0.833333333333347</v>
      </c>
      <c r="K622" s="361" t="s">
        <v>150</v>
      </c>
      <c r="L622" s="363">
        <f t="shared" ref="L622" si="824">H623-H622</f>
        <v>-0.330000000000005</v>
      </c>
    </row>
    <row r="623" ht="20.25" customHeight="1" spans="2:12">
      <c r="B623" s="33"/>
      <c r="C623" s="396"/>
      <c r="D623" s="282">
        <v>11</v>
      </c>
      <c r="E623" s="29">
        <v>1.0369</v>
      </c>
      <c r="F623" s="305">
        <v>1</v>
      </c>
      <c r="G623" s="306">
        <v>13.45</v>
      </c>
      <c r="H623" s="306">
        <f t="shared" si="791"/>
        <v>39.44</v>
      </c>
      <c r="I623" s="358"/>
      <c r="J623" s="359"/>
      <c r="K623" s="360"/>
      <c r="L623" s="364"/>
    </row>
    <row r="624" ht="20.25" customHeight="1" spans="2:12">
      <c r="B624" s="26" t="s">
        <v>940</v>
      </c>
      <c r="C624" s="395"/>
      <c r="D624" s="282">
        <v>11</v>
      </c>
      <c r="E624" s="29">
        <v>1.3691</v>
      </c>
      <c r="F624" s="305">
        <v>1</v>
      </c>
      <c r="G624" s="306">
        <v>11.6</v>
      </c>
      <c r="H624" s="306">
        <f t="shared" si="791"/>
        <v>34.63</v>
      </c>
      <c r="I624" s="353">
        <f t="shared" ref="I624" si="825">ROUND((H624+H625)/2,1)</f>
        <v>34.7</v>
      </c>
      <c r="J624" s="354">
        <f t="shared" ref="J624" si="826">(H624-H625)*100/I624</f>
        <v>-0.54755043227665</v>
      </c>
      <c r="K624" s="361" t="s">
        <v>150</v>
      </c>
      <c r="L624" s="363">
        <f t="shared" ref="L624" si="827">H625-H624</f>
        <v>0.189999999999998</v>
      </c>
    </row>
    <row r="625" ht="20.25" customHeight="1" spans="2:12">
      <c r="B625" s="33"/>
      <c r="C625" s="396"/>
      <c r="D625" s="282">
        <v>11</v>
      </c>
      <c r="E625" s="29">
        <v>1.2638</v>
      </c>
      <c r="F625" s="305">
        <v>1</v>
      </c>
      <c r="G625" s="306">
        <v>12.5</v>
      </c>
      <c r="H625" s="306">
        <f t="shared" si="791"/>
        <v>34.82</v>
      </c>
      <c r="I625" s="358"/>
      <c r="J625" s="359"/>
      <c r="K625" s="360"/>
      <c r="L625" s="364"/>
    </row>
    <row r="626" ht="20.25" spans="2:12">
      <c r="B626" s="412" t="s">
        <v>931</v>
      </c>
      <c r="C626" s="395"/>
      <c r="D626" s="413">
        <v>11</v>
      </c>
      <c r="E626" s="414">
        <v>0.9058</v>
      </c>
      <c r="F626" s="127">
        <v>1</v>
      </c>
      <c r="G626" s="115">
        <v>8.25</v>
      </c>
      <c r="H626" s="115">
        <f t="shared" ref="H626:H645" si="828">ROUND(D626*100*F626*250*100/50/E626/G626/1000,2)</f>
        <v>73.6</v>
      </c>
      <c r="I626" s="129">
        <f t="shared" ref="I626" si="829">ROUND((H626+H627)/2,1)</f>
        <v>72.9</v>
      </c>
      <c r="J626" s="139">
        <f t="shared" ref="J626" si="830">(H626-H627)*100/I626</f>
        <v>1.83813443072701</v>
      </c>
      <c r="K626" s="133" t="s">
        <v>150</v>
      </c>
      <c r="L626" s="366">
        <f t="shared" ref="L626" si="831">H627-H626</f>
        <v>-1.33999999999999</v>
      </c>
    </row>
    <row r="627" ht="20.25" spans="2:12">
      <c r="B627" s="415"/>
      <c r="C627" s="396"/>
      <c r="D627" s="413">
        <v>11</v>
      </c>
      <c r="E627" s="414">
        <v>0.8851</v>
      </c>
      <c r="F627" s="127">
        <v>1</v>
      </c>
      <c r="G627" s="115">
        <v>8.6</v>
      </c>
      <c r="H627" s="115">
        <f t="shared" si="828"/>
        <v>72.26</v>
      </c>
      <c r="I627" s="132"/>
      <c r="J627" s="140"/>
      <c r="K627" s="134"/>
      <c r="L627" s="367"/>
    </row>
    <row r="628" ht="20.25" spans="2:12">
      <c r="B628" s="412" t="s">
        <v>932</v>
      </c>
      <c r="C628" s="395"/>
      <c r="D628" s="413">
        <v>11</v>
      </c>
      <c r="E628" s="414">
        <v>0.8069</v>
      </c>
      <c r="F628" s="127">
        <v>1</v>
      </c>
      <c r="G628" s="115">
        <v>9.2</v>
      </c>
      <c r="H628" s="115">
        <f t="shared" si="828"/>
        <v>74.09</v>
      </c>
      <c r="I628" s="129">
        <f t="shared" ref="I628" si="832">ROUND((H628+H629)/2,1)</f>
        <v>73.4</v>
      </c>
      <c r="J628" s="139">
        <f t="shared" ref="J628" si="833">(H628-H629)*100/I628</f>
        <v>2.01634877384197</v>
      </c>
      <c r="K628" s="133" t="s">
        <v>150</v>
      </c>
      <c r="L628" s="366">
        <f t="shared" ref="L628" si="834">H629-H628</f>
        <v>-1.48</v>
      </c>
    </row>
    <row r="629" ht="20.25" spans="2:12">
      <c r="B629" s="415"/>
      <c r="C629" s="396"/>
      <c r="D629" s="413">
        <v>11</v>
      </c>
      <c r="E629" s="414">
        <v>0.8145</v>
      </c>
      <c r="F629" s="127">
        <v>1</v>
      </c>
      <c r="G629" s="115">
        <v>9.3</v>
      </c>
      <c r="H629" s="115">
        <f t="shared" si="828"/>
        <v>72.61</v>
      </c>
      <c r="I629" s="132"/>
      <c r="J629" s="140"/>
      <c r="K629" s="134"/>
      <c r="L629" s="367"/>
    </row>
    <row r="630" ht="20.25" spans="2:12">
      <c r="B630" s="412" t="s">
        <v>933</v>
      </c>
      <c r="C630" s="395"/>
      <c r="D630" s="413">
        <v>11</v>
      </c>
      <c r="E630" s="414">
        <v>0.8555</v>
      </c>
      <c r="F630" s="127">
        <v>1</v>
      </c>
      <c r="G630" s="115">
        <v>9.5</v>
      </c>
      <c r="H630" s="115">
        <f t="shared" si="828"/>
        <v>67.67</v>
      </c>
      <c r="I630" s="129">
        <f t="shared" ref="I630" si="835">ROUND((H630+H631)/2,1)</f>
        <v>68.1</v>
      </c>
      <c r="J630" s="139">
        <f t="shared" ref="J630" si="836">(H630-H631)*100/I630</f>
        <v>-1.38032305433186</v>
      </c>
      <c r="K630" s="133" t="s">
        <v>150</v>
      </c>
      <c r="L630" s="366">
        <f t="shared" ref="L630" si="837">H631-H630</f>
        <v>0.939999999999998</v>
      </c>
    </row>
    <row r="631" ht="20.25" spans="2:12">
      <c r="B631" s="415"/>
      <c r="C631" s="396"/>
      <c r="D631" s="413">
        <v>11</v>
      </c>
      <c r="E631" s="414">
        <v>0.9658</v>
      </c>
      <c r="F631" s="127">
        <v>1</v>
      </c>
      <c r="G631" s="115">
        <v>8.3</v>
      </c>
      <c r="H631" s="115">
        <f t="shared" si="828"/>
        <v>68.61</v>
      </c>
      <c r="I631" s="132"/>
      <c r="J631" s="140"/>
      <c r="K631" s="134"/>
      <c r="L631" s="367"/>
    </row>
    <row r="632" ht="20.25" spans="2:12">
      <c r="B632" s="412" t="s">
        <v>934</v>
      </c>
      <c r="C632" s="395"/>
      <c r="D632" s="413">
        <v>11</v>
      </c>
      <c r="E632" s="414">
        <v>0.7988</v>
      </c>
      <c r="F632" s="127">
        <v>1</v>
      </c>
      <c r="G632" s="115">
        <v>9.6</v>
      </c>
      <c r="H632" s="115">
        <f t="shared" si="828"/>
        <v>71.72</v>
      </c>
      <c r="I632" s="129">
        <f t="shared" ref="I632" si="838">ROUND((H632+H633)/2,1)</f>
        <v>71.4</v>
      </c>
      <c r="J632" s="139">
        <f t="shared" ref="J632" si="839">(H632-H633)*100/I632</f>
        <v>0.840336134453774</v>
      </c>
      <c r="K632" s="133" t="s">
        <v>150</v>
      </c>
      <c r="L632" s="366">
        <f t="shared" ref="L632" si="840">H633-H632</f>
        <v>-0.599999999999994</v>
      </c>
    </row>
    <row r="633" ht="20.25" spans="2:12">
      <c r="B633" s="415"/>
      <c r="C633" s="396"/>
      <c r="D633" s="413">
        <v>11</v>
      </c>
      <c r="E633" s="414">
        <v>0.8056</v>
      </c>
      <c r="F633" s="127">
        <v>1</v>
      </c>
      <c r="G633" s="115">
        <v>9.6</v>
      </c>
      <c r="H633" s="115">
        <f t="shared" si="828"/>
        <v>71.12</v>
      </c>
      <c r="I633" s="132"/>
      <c r="J633" s="140"/>
      <c r="K633" s="134"/>
      <c r="L633" s="367"/>
    </row>
    <row r="634" ht="20.25" spans="2:12">
      <c r="B634" s="412" t="s">
        <v>935</v>
      </c>
      <c r="C634" s="395"/>
      <c r="D634" s="413">
        <v>11</v>
      </c>
      <c r="E634" s="414">
        <v>0.6987</v>
      </c>
      <c r="F634" s="127">
        <v>1</v>
      </c>
      <c r="G634" s="115">
        <v>10.2</v>
      </c>
      <c r="H634" s="115">
        <f t="shared" si="828"/>
        <v>77.17</v>
      </c>
      <c r="I634" s="129">
        <f t="shared" ref="I634" si="841">ROUND((H634+H635)/2,1)</f>
        <v>76.7</v>
      </c>
      <c r="J634" s="139">
        <f t="shared" ref="J634" si="842">(H634-H635)*100/I634</f>
        <v>1.23859191655802</v>
      </c>
      <c r="K634" s="133" t="s">
        <v>150</v>
      </c>
      <c r="L634" s="366">
        <f t="shared" ref="L634" si="843">H635-H634</f>
        <v>-0.950000000000003</v>
      </c>
    </row>
    <row r="635" ht="20.25" spans="2:12">
      <c r="B635" s="415"/>
      <c r="C635" s="396"/>
      <c r="D635" s="413">
        <v>11</v>
      </c>
      <c r="E635" s="414">
        <v>0.6651</v>
      </c>
      <c r="F635" s="127">
        <v>1</v>
      </c>
      <c r="G635" s="115">
        <v>10.85</v>
      </c>
      <c r="H635" s="115">
        <f t="shared" si="828"/>
        <v>76.22</v>
      </c>
      <c r="I635" s="132"/>
      <c r="J635" s="140"/>
      <c r="K635" s="134"/>
      <c r="L635" s="367"/>
    </row>
    <row r="636" ht="20.25" spans="2:12">
      <c r="B636" s="412" t="s">
        <v>936</v>
      </c>
      <c r="C636" s="395"/>
      <c r="D636" s="413">
        <v>11</v>
      </c>
      <c r="E636" s="414">
        <v>0.9821</v>
      </c>
      <c r="F636" s="127">
        <v>1</v>
      </c>
      <c r="G636" s="115">
        <v>7.75</v>
      </c>
      <c r="H636" s="115">
        <f t="shared" si="828"/>
        <v>72.26</v>
      </c>
      <c r="I636" s="129">
        <f t="shared" ref="I636" si="844">ROUND((H636+H637)/2,1)</f>
        <v>72.3</v>
      </c>
      <c r="J636" s="139">
        <f t="shared" ref="J636" si="845">(H636-H637)*100/I636</f>
        <v>-0.0414937759336115</v>
      </c>
      <c r="K636" s="133" t="s">
        <v>150</v>
      </c>
      <c r="L636" s="366">
        <f t="shared" ref="L636" si="846">H637-H636</f>
        <v>0.0300000000000011</v>
      </c>
    </row>
    <row r="637" ht="20.25" spans="2:12">
      <c r="B637" s="415"/>
      <c r="C637" s="396"/>
      <c r="D637" s="413">
        <v>11</v>
      </c>
      <c r="E637" s="414">
        <v>0.8549</v>
      </c>
      <c r="F637" s="127">
        <v>1</v>
      </c>
      <c r="G637" s="115">
        <v>8.9</v>
      </c>
      <c r="H637" s="115">
        <f t="shared" si="828"/>
        <v>72.29</v>
      </c>
      <c r="I637" s="132"/>
      <c r="J637" s="140"/>
      <c r="K637" s="134"/>
      <c r="L637" s="367"/>
    </row>
    <row r="638" ht="20.25" spans="2:12">
      <c r="B638" s="412" t="s">
        <v>937</v>
      </c>
      <c r="C638" s="395"/>
      <c r="D638" s="413">
        <v>11</v>
      </c>
      <c r="E638" s="414">
        <v>0.6988</v>
      </c>
      <c r="F638" s="127">
        <v>1</v>
      </c>
      <c r="G638" s="115">
        <v>10.85</v>
      </c>
      <c r="H638" s="115">
        <f t="shared" si="828"/>
        <v>72.54</v>
      </c>
      <c r="I638" s="129">
        <f t="shared" ref="I638" si="847">ROUND((H638+H639)/2,1)</f>
        <v>72.2</v>
      </c>
      <c r="J638" s="139">
        <f t="shared" ref="J638" si="848">(H638-H639)*100/I638</f>
        <v>0.96952908587258</v>
      </c>
      <c r="K638" s="133" t="s">
        <v>150</v>
      </c>
      <c r="L638" s="366">
        <f t="shared" ref="L638" si="849">H639-H638</f>
        <v>-0.700000000000003</v>
      </c>
    </row>
    <row r="639" ht="20.25" spans="2:12">
      <c r="B639" s="415"/>
      <c r="C639" s="396"/>
      <c r="D639" s="413">
        <v>11</v>
      </c>
      <c r="E639" s="414">
        <v>0.7056</v>
      </c>
      <c r="F639" s="127">
        <v>1</v>
      </c>
      <c r="G639" s="115">
        <v>10.85</v>
      </c>
      <c r="H639" s="115">
        <f t="shared" si="828"/>
        <v>71.84</v>
      </c>
      <c r="I639" s="132"/>
      <c r="J639" s="140"/>
      <c r="K639" s="134"/>
      <c r="L639" s="367"/>
    </row>
    <row r="640" ht="20.25" spans="2:12">
      <c r="B640" s="412" t="s">
        <v>938</v>
      </c>
      <c r="C640" s="395"/>
      <c r="D640" s="413">
        <v>11</v>
      </c>
      <c r="E640" s="414">
        <v>0.8531</v>
      </c>
      <c r="F640" s="127">
        <v>1</v>
      </c>
      <c r="G640" s="115">
        <v>9</v>
      </c>
      <c r="H640" s="115">
        <f t="shared" si="828"/>
        <v>71.63</v>
      </c>
      <c r="I640" s="129">
        <f t="shared" ref="I640" si="850">ROUND((H640+H641)/2,1)</f>
        <v>72.8</v>
      </c>
      <c r="J640" s="139">
        <f t="shared" ref="J640" si="851">(H640-H641)*100/I640</f>
        <v>-3.11813186813188</v>
      </c>
      <c r="K640" s="133" t="s">
        <v>150</v>
      </c>
      <c r="L640" s="366">
        <f t="shared" ref="L640" si="852">H641-H640</f>
        <v>2.27000000000001</v>
      </c>
    </row>
    <row r="641" ht="20.25" spans="2:12">
      <c r="B641" s="415"/>
      <c r="C641" s="396"/>
      <c r="D641" s="413">
        <v>11</v>
      </c>
      <c r="E641" s="414">
        <v>0.8457</v>
      </c>
      <c r="F641" s="127">
        <v>1</v>
      </c>
      <c r="G641" s="115">
        <v>8.8</v>
      </c>
      <c r="H641" s="115">
        <f t="shared" si="828"/>
        <v>73.9</v>
      </c>
      <c r="I641" s="132"/>
      <c r="J641" s="140"/>
      <c r="K641" s="134"/>
      <c r="L641" s="367"/>
    </row>
    <row r="642" ht="20.25" spans="2:12">
      <c r="B642" s="412" t="s">
        <v>939</v>
      </c>
      <c r="C642" s="395"/>
      <c r="D642" s="413">
        <v>11</v>
      </c>
      <c r="E642" s="414">
        <v>0.9884</v>
      </c>
      <c r="F642" s="127">
        <v>1</v>
      </c>
      <c r="G642" s="115">
        <v>14</v>
      </c>
      <c r="H642" s="115">
        <f t="shared" si="828"/>
        <v>39.75</v>
      </c>
      <c r="I642" s="129">
        <f t="shared" ref="I642" si="853">ROUND((H642+H643)/2,1)</f>
        <v>40.1</v>
      </c>
      <c r="J642" s="139">
        <f t="shared" ref="J642" si="854">(H642-H643)*100/I642</f>
        <v>-1.49625935162095</v>
      </c>
      <c r="K642" s="133" t="s">
        <v>150</v>
      </c>
      <c r="L642" s="366">
        <f t="shared" ref="L642" si="855">H643-H642</f>
        <v>0.600000000000001</v>
      </c>
    </row>
    <row r="643" ht="20.25" spans="2:12">
      <c r="B643" s="415"/>
      <c r="C643" s="396"/>
      <c r="D643" s="413">
        <v>11</v>
      </c>
      <c r="E643" s="414">
        <v>0.9736</v>
      </c>
      <c r="F643" s="127">
        <v>1</v>
      </c>
      <c r="G643" s="115">
        <v>14</v>
      </c>
      <c r="H643" s="115">
        <f t="shared" si="828"/>
        <v>40.35</v>
      </c>
      <c r="I643" s="132"/>
      <c r="J643" s="140"/>
      <c r="K643" s="134"/>
      <c r="L643" s="367"/>
    </row>
    <row r="644" ht="20.25" spans="2:12">
      <c r="B644" s="412" t="s">
        <v>940</v>
      </c>
      <c r="C644" s="395"/>
      <c r="D644" s="413">
        <v>11</v>
      </c>
      <c r="E644" s="414">
        <v>1.2011</v>
      </c>
      <c r="F644" s="127">
        <v>1</v>
      </c>
      <c r="G644" s="115">
        <v>13.2</v>
      </c>
      <c r="H644" s="115">
        <f t="shared" si="828"/>
        <v>34.69</v>
      </c>
      <c r="I644" s="129">
        <f t="shared" ref="I644" si="856">ROUND((H644+H645)/2,1)</f>
        <v>34.7</v>
      </c>
      <c r="J644" s="139">
        <f t="shared" ref="J644" si="857">(H644-H645)*100/I644</f>
        <v>0.201729106628243</v>
      </c>
      <c r="K644" s="133" t="s">
        <v>150</v>
      </c>
      <c r="L644" s="366">
        <f t="shared" ref="L644" si="858">H645-H644</f>
        <v>-0.0700000000000003</v>
      </c>
    </row>
    <row r="645" ht="23.25" customHeight="1" spans="2:12">
      <c r="B645" s="415"/>
      <c r="C645" s="396"/>
      <c r="D645" s="413">
        <v>11</v>
      </c>
      <c r="E645" s="414">
        <v>1.3694</v>
      </c>
      <c r="F645" s="127">
        <v>1</v>
      </c>
      <c r="G645" s="115">
        <v>11.6</v>
      </c>
      <c r="H645" s="115">
        <f t="shared" si="828"/>
        <v>34.62</v>
      </c>
      <c r="I645" s="132"/>
      <c r="J645" s="140"/>
      <c r="K645" s="134"/>
      <c r="L645" s="367"/>
    </row>
    <row r="646" ht="20.25" spans="1:12">
      <c r="A646" s="314" t="s">
        <v>941</v>
      </c>
      <c r="B646" s="26" t="s">
        <v>942</v>
      </c>
      <c r="C646" s="395"/>
      <c r="D646" s="282">
        <v>11</v>
      </c>
      <c r="E646" s="29">
        <v>2.5122</v>
      </c>
      <c r="F646" s="305">
        <v>1</v>
      </c>
      <c r="G646" s="306">
        <v>12.25</v>
      </c>
      <c r="H646" s="306">
        <f t="shared" ref="H646:H665" si="859">ROUND(D646*100*F646*250*100/50/E646/G646/1000,2)</f>
        <v>17.87</v>
      </c>
      <c r="I646" s="353">
        <f t="shared" ref="I646" si="860">ROUND((H646+H647)/2,1)</f>
        <v>18</v>
      </c>
      <c r="J646" s="354">
        <f t="shared" ref="J646" si="861">(H646-H647)*100/I646</f>
        <v>-0.944444444444434</v>
      </c>
      <c r="K646" s="361" t="s">
        <v>150</v>
      </c>
      <c r="L646" s="363">
        <f t="shared" ref="L646" si="862">H647-H646</f>
        <v>0.169999999999998</v>
      </c>
    </row>
    <row r="647" ht="20.25" spans="2:12">
      <c r="B647" s="33"/>
      <c r="C647" s="396"/>
      <c r="D647" s="282">
        <v>11</v>
      </c>
      <c r="E647" s="29">
        <v>2.5098</v>
      </c>
      <c r="F647" s="305">
        <v>1</v>
      </c>
      <c r="G647" s="306">
        <v>12.15</v>
      </c>
      <c r="H647" s="306">
        <f t="shared" si="859"/>
        <v>18.04</v>
      </c>
      <c r="I647" s="358"/>
      <c r="J647" s="359"/>
      <c r="K647" s="360"/>
      <c r="L647" s="364"/>
    </row>
    <row r="648" ht="20.25" spans="2:12">
      <c r="B648" s="26" t="s">
        <v>943</v>
      </c>
      <c r="C648" s="395"/>
      <c r="D648" s="282">
        <v>11</v>
      </c>
      <c r="E648" s="29">
        <v>0.775</v>
      </c>
      <c r="F648" s="305">
        <v>1</v>
      </c>
      <c r="G648" s="306">
        <v>9.9</v>
      </c>
      <c r="H648" s="306">
        <f t="shared" si="859"/>
        <v>71.68</v>
      </c>
      <c r="I648" s="353">
        <f t="shared" ref="I648" si="863">ROUND((H648+H649)/2,1)</f>
        <v>71.8</v>
      </c>
      <c r="J648" s="354">
        <f t="shared" ref="J648" si="864">(H648-H649)*100/I648</f>
        <v>-0.222841225626736</v>
      </c>
      <c r="K648" s="361" t="s">
        <v>150</v>
      </c>
      <c r="L648" s="363">
        <f t="shared" ref="L648" si="865">H649-H648</f>
        <v>0.159999999999997</v>
      </c>
    </row>
    <row r="649" ht="20.25" spans="2:12">
      <c r="B649" s="33"/>
      <c r="C649" s="396"/>
      <c r="D649" s="282">
        <v>11</v>
      </c>
      <c r="E649" s="29">
        <v>0.8059</v>
      </c>
      <c r="F649" s="305">
        <v>1</v>
      </c>
      <c r="G649" s="306">
        <v>9.5</v>
      </c>
      <c r="H649" s="306">
        <f t="shared" si="859"/>
        <v>71.84</v>
      </c>
      <c r="I649" s="358"/>
      <c r="J649" s="359"/>
      <c r="K649" s="360"/>
      <c r="L649" s="364"/>
    </row>
    <row r="650" ht="20.25" customHeight="1" spans="2:12">
      <c r="B650" s="26" t="s">
        <v>944</v>
      </c>
      <c r="C650" s="395"/>
      <c r="D650" s="282">
        <v>11</v>
      </c>
      <c r="E650" s="29">
        <v>0.7612</v>
      </c>
      <c r="F650" s="305">
        <v>1</v>
      </c>
      <c r="G650" s="306">
        <v>10.4</v>
      </c>
      <c r="H650" s="306">
        <f t="shared" si="859"/>
        <v>69.48</v>
      </c>
      <c r="I650" s="353">
        <f t="shared" ref="I650" si="866">ROUND((H650+H651)/2,1)</f>
        <v>69.7</v>
      </c>
      <c r="J650" s="354">
        <f t="shared" ref="J650" si="867">(H650-H651)*100/I650</f>
        <v>-0.6599713055954</v>
      </c>
      <c r="K650" s="361" t="s">
        <v>150</v>
      </c>
      <c r="L650" s="363">
        <f t="shared" ref="L650" si="868">H651-H650</f>
        <v>0.459999999999994</v>
      </c>
    </row>
    <row r="651" ht="20.25" customHeight="1" spans="2:12">
      <c r="B651" s="33"/>
      <c r="C651" s="396"/>
      <c r="D651" s="282">
        <v>11</v>
      </c>
      <c r="E651" s="29">
        <v>0.7748</v>
      </c>
      <c r="F651" s="305">
        <v>1</v>
      </c>
      <c r="G651" s="306">
        <v>10.15</v>
      </c>
      <c r="H651" s="306">
        <f t="shared" si="859"/>
        <v>69.94</v>
      </c>
      <c r="I651" s="358"/>
      <c r="J651" s="359"/>
      <c r="K651" s="360"/>
      <c r="L651" s="364"/>
    </row>
    <row r="652" ht="20.25" spans="2:12">
      <c r="B652" s="412" t="s">
        <v>945</v>
      </c>
      <c r="C652" s="395"/>
      <c r="D652" s="413">
        <v>11</v>
      </c>
      <c r="E652" s="414">
        <v>0.8059</v>
      </c>
      <c r="F652" s="127">
        <v>1</v>
      </c>
      <c r="G652" s="115">
        <v>9.5</v>
      </c>
      <c r="H652" s="115">
        <f t="shared" si="859"/>
        <v>71.84</v>
      </c>
      <c r="I652" s="129">
        <f t="shared" ref="I652" si="869">ROUND((H652+H653)/2,1)</f>
        <v>71.5</v>
      </c>
      <c r="J652" s="139">
        <f t="shared" ref="J652" si="870">(H652-H653)*100/I652</f>
        <v>0.82517482517483</v>
      </c>
      <c r="K652" s="133" t="s">
        <v>150</v>
      </c>
      <c r="L652" s="366">
        <f t="shared" ref="L652" si="871">H653-H652</f>
        <v>-0.590000000000003</v>
      </c>
    </row>
    <row r="653" ht="20.25" spans="2:12">
      <c r="B653" s="415"/>
      <c r="C653" s="396"/>
      <c r="D653" s="413">
        <v>11</v>
      </c>
      <c r="E653" s="414">
        <v>0.8126</v>
      </c>
      <c r="F653" s="127">
        <v>1</v>
      </c>
      <c r="G653" s="115">
        <v>9.5</v>
      </c>
      <c r="H653" s="115">
        <f t="shared" si="859"/>
        <v>71.25</v>
      </c>
      <c r="I653" s="132"/>
      <c r="J653" s="140"/>
      <c r="K653" s="134"/>
      <c r="L653" s="367"/>
    </row>
    <row r="654" ht="20.25" customHeight="1" spans="2:12">
      <c r="B654" s="412" t="s">
        <v>946</v>
      </c>
      <c r="C654" s="395"/>
      <c r="D654" s="413">
        <v>11</v>
      </c>
      <c r="E654" s="414">
        <v>0.7892</v>
      </c>
      <c r="F654" s="127">
        <v>1</v>
      </c>
      <c r="G654" s="115">
        <v>10</v>
      </c>
      <c r="H654" s="115">
        <f t="shared" si="859"/>
        <v>69.69</v>
      </c>
      <c r="I654" s="129">
        <f t="shared" ref="I654" si="872">ROUND((H654+H655)/2,1)</f>
        <v>70.2</v>
      </c>
      <c r="J654" s="139">
        <f t="shared" ref="J654" si="873">(H654-H655)*100/I654</f>
        <v>-1.45299145299145</v>
      </c>
      <c r="K654" s="133" t="s">
        <v>150</v>
      </c>
      <c r="L654" s="366">
        <f t="shared" ref="L654" si="874">H655-H654</f>
        <v>1.02</v>
      </c>
    </row>
    <row r="655" ht="23.25" customHeight="1" spans="2:12">
      <c r="B655" s="415"/>
      <c r="C655" s="396"/>
      <c r="D655" s="413">
        <v>11</v>
      </c>
      <c r="E655" s="414">
        <v>0.8019</v>
      </c>
      <c r="F655" s="127">
        <v>1</v>
      </c>
      <c r="G655" s="115">
        <v>9.7</v>
      </c>
      <c r="H655" s="115">
        <f t="shared" si="859"/>
        <v>70.71</v>
      </c>
      <c r="I655" s="132"/>
      <c r="J655" s="140"/>
      <c r="K655" s="134"/>
      <c r="L655" s="367"/>
    </row>
    <row r="656" ht="20.25" spans="2:12">
      <c r="B656" s="26" t="s">
        <v>947</v>
      </c>
      <c r="C656" s="395"/>
      <c r="D656" s="282">
        <v>11</v>
      </c>
      <c r="E656" s="29">
        <v>0.6988</v>
      </c>
      <c r="F656" s="305">
        <v>1</v>
      </c>
      <c r="G656" s="306">
        <v>9.8</v>
      </c>
      <c r="H656" s="306">
        <f t="shared" si="859"/>
        <v>80.31</v>
      </c>
      <c r="I656" s="353">
        <f t="shared" ref="I656" si="875">ROUND((H656+H657)/2,1)</f>
        <v>79.9</v>
      </c>
      <c r="J656" s="354">
        <f t="shared" ref="J656" si="876">(H656-H657)*100/I656</f>
        <v>0.963704630788481</v>
      </c>
      <c r="K656" s="361" t="s">
        <v>150</v>
      </c>
      <c r="L656" s="363">
        <f t="shared" ref="L656" si="877">H657-H656</f>
        <v>-0.769999999999996</v>
      </c>
    </row>
    <row r="657" ht="20.25" spans="2:12">
      <c r="B657" s="33"/>
      <c r="C657" s="396"/>
      <c r="D657" s="282">
        <v>11</v>
      </c>
      <c r="E657" s="29">
        <v>0.7056</v>
      </c>
      <c r="F657" s="305">
        <v>1</v>
      </c>
      <c r="G657" s="306">
        <v>9.8</v>
      </c>
      <c r="H657" s="306">
        <f t="shared" si="859"/>
        <v>79.54</v>
      </c>
      <c r="I657" s="358"/>
      <c r="J657" s="359"/>
      <c r="K657" s="360"/>
      <c r="L657" s="364"/>
    </row>
    <row r="658" ht="20.25" spans="2:12">
      <c r="B658" s="26" t="s">
        <v>948</v>
      </c>
      <c r="C658" s="395"/>
      <c r="D658" s="282">
        <v>11</v>
      </c>
      <c r="E658" s="29">
        <v>0.8701</v>
      </c>
      <c r="F658" s="305">
        <v>1</v>
      </c>
      <c r="G658" s="306">
        <v>8.7</v>
      </c>
      <c r="H658" s="306">
        <f t="shared" si="859"/>
        <v>72.66</v>
      </c>
      <c r="I658" s="353">
        <f t="shared" ref="I658" si="878">ROUND((H658+H659)/2,1)</f>
        <v>72.6</v>
      </c>
      <c r="J658" s="354">
        <f t="shared" ref="J658" si="879">(H658-H659)*100/I658</f>
        <v>0.151515151515151</v>
      </c>
      <c r="K658" s="361" t="s">
        <v>150</v>
      </c>
      <c r="L658" s="363">
        <f t="shared" ref="L658" si="880">H659-H658</f>
        <v>-0.109999999999999</v>
      </c>
    </row>
    <row r="659" ht="20.25" spans="2:12">
      <c r="B659" s="33"/>
      <c r="C659" s="396"/>
      <c r="D659" s="282">
        <v>11</v>
      </c>
      <c r="E659" s="29">
        <v>0.9025</v>
      </c>
      <c r="F659" s="305">
        <v>1</v>
      </c>
      <c r="G659" s="306">
        <v>8.4</v>
      </c>
      <c r="H659" s="306">
        <f t="shared" si="859"/>
        <v>72.55</v>
      </c>
      <c r="I659" s="358"/>
      <c r="J659" s="359"/>
      <c r="K659" s="360"/>
      <c r="L659" s="364"/>
    </row>
    <row r="660" ht="20.25" customHeight="1" spans="2:12">
      <c r="B660" s="26" t="s">
        <v>949</v>
      </c>
      <c r="C660" s="395"/>
      <c r="D660" s="282">
        <v>11</v>
      </c>
      <c r="E660" s="29">
        <v>0.72</v>
      </c>
      <c r="F660" s="305">
        <v>1</v>
      </c>
      <c r="G660" s="306">
        <v>10.65</v>
      </c>
      <c r="H660" s="306">
        <f t="shared" si="859"/>
        <v>71.73</v>
      </c>
      <c r="I660" s="353">
        <f t="shared" ref="I660" si="881">ROUND((H660+H661)/2,1)</f>
        <v>71.7</v>
      </c>
      <c r="J660" s="354">
        <f t="shared" ref="J660" si="882">(H660-H661)*100/I660</f>
        <v>-0.0278940027893947</v>
      </c>
      <c r="K660" s="361" t="s">
        <v>150</v>
      </c>
      <c r="L660" s="363">
        <f t="shared" ref="L660" si="883">H661-H660</f>
        <v>0.019999999999996</v>
      </c>
    </row>
    <row r="661" ht="20.25" customHeight="1" spans="2:12">
      <c r="B661" s="33"/>
      <c r="C661" s="396"/>
      <c r="D661" s="282">
        <v>11</v>
      </c>
      <c r="E661" s="29">
        <v>0.7198</v>
      </c>
      <c r="F661" s="305">
        <v>1</v>
      </c>
      <c r="G661" s="306">
        <v>10.65</v>
      </c>
      <c r="H661" s="306">
        <f t="shared" si="859"/>
        <v>71.75</v>
      </c>
      <c r="I661" s="358"/>
      <c r="J661" s="359"/>
      <c r="K661" s="360"/>
      <c r="L661" s="364"/>
    </row>
    <row r="662" ht="20.25" customHeight="1" spans="2:12">
      <c r="B662" s="26" t="s">
        <v>950</v>
      </c>
      <c r="C662" s="395"/>
      <c r="D662" s="282">
        <v>11</v>
      </c>
      <c r="E662" s="29">
        <v>0.7291</v>
      </c>
      <c r="F662" s="305">
        <v>1</v>
      </c>
      <c r="G662" s="306">
        <v>10.4</v>
      </c>
      <c r="H662" s="306">
        <f t="shared" si="859"/>
        <v>72.53</v>
      </c>
      <c r="I662" s="353">
        <f t="shared" ref="I662" si="884">ROUND((H662+H663)/2,1)</f>
        <v>72.4</v>
      </c>
      <c r="J662" s="354">
        <f t="shared" ref="J662" si="885">(H662-H663)*100/I662</f>
        <v>0.455801104972373</v>
      </c>
      <c r="K662" s="361" t="s">
        <v>150</v>
      </c>
      <c r="L662" s="363">
        <f t="shared" ref="L662" si="886">H663-H662</f>
        <v>-0.329999999999998</v>
      </c>
    </row>
    <row r="663" ht="20.25" customHeight="1" spans="2:12">
      <c r="B663" s="33"/>
      <c r="C663" s="396"/>
      <c r="D663" s="282">
        <v>11</v>
      </c>
      <c r="E663" s="29">
        <v>0.6989</v>
      </c>
      <c r="F663" s="305">
        <v>1</v>
      </c>
      <c r="G663" s="306">
        <v>10.9</v>
      </c>
      <c r="H663" s="306">
        <f t="shared" si="859"/>
        <v>72.2</v>
      </c>
      <c r="I663" s="358"/>
      <c r="J663" s="359"/>
      <c r="K663" s="360"/>
      <c r="L663" s="364"/>
    </row>
    <row r="664" ht="20.25" customHeight="1" spans="2:12">
      <c r="B664" s="26" t="s">
        <v>951</v>
      </c>
      <c r="C664" s="395"/>
      <c r="D664" s="282">
        <v>11</v>
      </c>
      <c r="E664" s="29">
        <v>0.8456</v>
      </c>
      <c r="F664" s="305">
        <v>1</v>
      </c>
      <c r="G664" s="306">
        <v>9.1</v>
      </c>
      <c r="H664" s="306">
        <f t="shared" si="859"/>
        <v>71.48</v>
      </c>
      <c r="I664" s="353">
        <f t="shared" ref="I664" si="887">ROUND((H664+H665)/2,1)</f>
        <v>71.5</v>
      </c>
      <c r="J664" s="354">
        <f t="shared" ref="J664" si="888">(H664-H665)*100/I664</f>
        <v>-0.167832167832154</v>
      </c>
      <c r="K664" s="361" t="s">
        <v>150</v>
      </c>
      <c r="L664" s="363">
        <f t="shared" ref="L664" si="889">H665-H664</f>
        <v>0.11999999999999</v>
      </c>
    </row>
    <row r="665" ht="20.25" customHeight="1" spans="2:12">
      <c r="B665" s="33"/>
      <c r="C665" s="396"/>
      <c r="D665" s="282">
        <v>11</v>
      </c>
      <c r="E665" s="29">
        <v>0.8129</v>
      </c>
      <c r="F665" s="305">
        <v>1</v>
      </c>
      <c r="G665" s="306">
        <v>9.45</v>
      </c>
      <c r="H665" s="306">
        <f t="shared" si="859"/>
        <v>71.6</v>
      </c>
      <c r="I665" s="358"/>
      <c r="J665" s="359"/>
      <c r="K665" s="360"/>
      <c r="L665" s="364"/>
    </row>
    <row r="666" ht="20.25" spans="2:12">
      <c r="B666" s="26" t="s">
        <v>952</v>
      </c>
      <c r="C666" s="395"/>
      <c r="D666" s="282">
        <v>11</v>
      </c>
      <c r="E666" s="29">
        <v>1.9863</v>
      </c>
      <c r="F666" s="305">
        <v>1</v>
      </c>
      <c r="G666" s="306">
        <v>10.95</v>
      </c>
      <c r="H666" s="306">
        <f>ROUND(D666*100*F666*200*100/50/E666/G666/1000,2)</f>
        <v>20.23</v>
      </c>
      <c r="I666" s="353">
        <f t="shared" ref="I666" si="890">ROUND((H666+H667)/2,1)</f>
        <v>20.3</v>
      </c>
      <c r="J666" s="354">
        <f t="shared" ref="J666" si="891">(H666-H667)*100/I666</f>
        <v>-0.443349753694581</v>
      </c>
      <c r="K666" s="133" t="s">
        <v>877</v>
      </c>
      <c r="L666" s="363">
        <f t="shared" ref="L666" si="892">H667-H666</f>
        <v>0.0899999999999999</v>
      </c>
    </row>
    <row r="667" ht="20.25" spans="2:12">
      <c r="B667" s="33"/>
      <c r="C667" s="396"/>
      <c r="D667" s="282">
        <v>11</v>
      </c>
      <c r="E667" s="29">
        <v>1.8122</v>
      </c>
      <c r="F667" s="305">
        <v>1</v>
      </c>
      <c r="G667" s="306">
        <v>11.95</v>
      </c>
      <c r="H667" s="306">
        <f t="shared" ref="H667" si="893">ROUND(D667*100*F667*200*100/50/E667/G667/1000,2)</f>
        <v>20.32</v>
      </c>
      <c r="I667" s="358"/>
      <c r="J667" s="359"/>
      <c r="K667" s="134"/>
      <c r="L667" s="364"/>
    </row>
    <row r="668" ht="20.25" customHeight="1" spans="2:12">
      <c r="B668" s="26" t="s">
        <v>953</v>
      </c>
      <c r="C668" s="395"/>
      <c r="D668" s="282">
        <v>11</v>
      </c>
      <c r="E668" s="29">
        <v>3.6522</v>
      </c>
      <c r="F668" s="305">
        <v>2</v>
      </c>
      <c r="G668" s="306">
        <v>13</v>
      </c>
      <c r="H668" s="306">
        <f>ROUND(D668*100*F668*250*100/50/E668/G668/1000,2)</f>
        <v>23.17</v>
      </c>
      <c r="I668" s="353">
        <f t="shared" ref="I668" si="894">ROUND((H668+H669)/2,1)</f>
        <v>23.4</v>
      </c>
      <c r="J668" s="354">
        <f t="shared" ref="J668" si="895">(H668-H669)*100/I668</f>
        <v>-1.53846153846154</v>
      </c>
      <c r="K668" s="361" t="s">
        <v>150</v>
      </c>
      <c r="L668" s="363">
        <f t="shared" ref="L668" si="896">H669-H668</f>
        <v>0.359999999999999</v>
      </c>
    </row>
    <row r="669" ht="20.25" customHeight="1" spans="2:12">
      <c r="B669" s="33"/>
      <c r="C669" s="396"/>
      <c r="D669" s="282">
        <v>11</v>
      </c>
      <c r="E669" s="29">
        <v>3.5968</v>
      </c>
      <c r="F669" s="305">
        <v>2</v>
      </c>
      <c r="G669" s="306">
        <v>13</v>
      </c>
      <c r="H669" s="306">
        <f>ROUND(D669*100*F669*250*100/50/E669/G669/1000,2)</f>
        <v>23.53</v>
      </c>
      <c r="I669" s="358"/>
      <c r="J669" s="359"/>
      <c r="K669" s="360"/>
      <c r="L669" s="364"/>
    </row>
    <row r="670" ht="20.25" spans="2:12">
      <c r="B670" s="26" t="s">
        <v>954</v>
      </c>
      <c r="C670" s="395"/>
      <c r="D670" s="282">
        <v>11</v>
      </c>
      <c r="E670" s="29">
        <v>2.4986</v>
      </c>
      <c r="F670" s="305">
        <v>2</v>
      </c>
      <c r="G670" s="306">
        <v>12.5</v>
      </c>
      <c r="H670" s="306">
        <f t="shared" ref="H670:H673" si="897">ROUND(D670*100*F670*250*100/50/E670/G670/1000,2)</f>
        <v>35.22</v>
      </c>
      <c r="I670" s="353">
        <f t="shared" ref="I670" si="898">ROUND((H670+H671)/2,1)</f>
        <v>35.2</v>
      </c>
      <c r="J670" s="354">
        <f t="shared" ref="J670" si="899">(H670-H671)*100/I670</f>
        <v>0.170454545454552</v>
      </c>
      <c r="K670" s="361" t="s">
        <v>150</v>
      </c>
      <c r="L670" s="363">
        <f t="shared" ref="L670" si="900">H671-H670</f>
        <v>-0.0600000000000023</v>
      </c>
    </row>
    <row r="671" ht="20.25" spans="2:12">
      <c r="B671" s="33"/>
      <c r="C671" s="396"/>
      <c r="D671" s="282">
        <v>11</v>
      </c>
      <c r="E671" s="29">
        <v>2.5026</v>
      </c>
      <c r="F671" s="305">
        <v>2</v>
      </c>
      <c r="G671" s="306">
        <v>12.5</v>
      </c>
      <c r="H671" s="306">
        <f t="shared" si="897"/>
        <v>35.16</v>
      </c>
      <c r="I671" s="358"/>
      <c r="J671" s="359"/>
      <c r="K671" s="360"/>
      <c r="L671" s="364"/>
    </row>
    <row r="672" ht="20.25" spans="1:12">
      <c r="A672" s="314">
        <v>11.14</v>
      </c>
      <c r="B672" s="26" t="s">
        <v>955</v>
      </c>
      <c r="C672" s="395"/>
      <c r="D672" s="282">
        <v>11</v>
      </c>
      <c r="E672" s="29">
        <v>2.8432</v>
      </c>
      <c r="F672" s="305">
        <v>1</v>
      </c>
      <c r="G672" s="306">
        <v>12.35</v>
      </c>
      <c r="H672" s="306">
        <f t="shared" si="897"/>
        <v>15.66</v>
      </c>
      <c r="I672" s="353">
        <f t="shared" ref="I672" si="901">ROUND((H672+H673)/2,1)</f>
        <v>15.5</v>
      </c>
      <c r="J672" s="354">
        <f t="shared" ref="J672" si="902">(H672-H673)*100/I672</f>
        <v>1.48387096774194</v>
      </c>
      <c r="K672" s="361" t="s">
        <v>150</v>
      </c>
      <c r="L672" s="363">
        <f t="shared" ref="L672" si="903">H673-H672</f>
        <v>-0.23</v>
      </c>
    </row>
    <row r="673" ht="20.25" spans="2:12">
      <c r="B673" s="33"/>
      <c r="C673" s="396"/>
      <c r="D673" s="282">
        <v>11</v>
      </c>
      <c r="E673" s="29">
        <v>2.8062</v>
      </c>
      <c r="F673" s="305">
        <v>1</v>
      </c>
      <c r="G673" s="306">
        <v>12.7</v>
      </c>
      <c r="H673" s="306">
        <f t="shared" si="897"/>
        <v>15.43</v>
      </c>
      <c r="I673" s="358"/>
      <c r="J673" s="359"/>
      <c r="K673" s="360"/>
      <c r="L673" s="364"/>
    </row>
    <row r="674" ht="20.25" customHeight="1" spans="2:12">
      <c r="B674" s="26" t="s">
        <v>956</v>
      </c>
      <c r="C674" s="395"/>
      <c r="D674" s="282">
        <v>11</v>
      </c>
      <c r="E674" s="29">
        <v>3.0699</v>
      </c>
      <c r="F674" s="305">
        <v>1</v>
      </c>
      <c r="G674" s="306">
        <v>12</v>
      </c>
      <c r="H674" s="306">
        <f t="shared" ref="H674:H675" si="904">ROUND(D674*100*F674*250*100/50/E674/G674/1000,2)</f>
        <v>14.93</v>
      </c>
      <c r="I674" s="353">
        <f t="shared" ref="I674" si="905">ROUND((H674+H675)/2,1)</f>
        <v>15</v>
      </c>
      <c r="J674" s="354">
        <f t="shared" ref="J674" si="906">(H674-H675)*100/I674</f>
        <v>-1.26666666666666</v>
      </c>
      <c r="K674" s="361" t="s">
        <v>150</v>
      </c>
      <c r="L674" s="363">
        <f t="shared" ref="L674" si="907">H675-H674</f>
        <v>0.19</v>
      </c>
    </row>
    <row r="675" ht="20.25" customHeight="1" spans="2:12">
      <c r="B675" s="33"/>
      <c r="C675" s="396"/>
      <c r="D675" s="282">
        <v>11</v>
      </c>
      <c r="E675" s="29">
        <v>2.7981</v>
      </c>
      <c r="F675" s="305">
        <v>1</v>
      </c>
      <c r="G675" s="306">
        <v>13</v>
      </c>
      <c r="H675" s="306">
        <f t="shared" si="904"/>
        <v>15.12</v>
      </c>
      <c r="I675" s="358"/>
      <c r="J675" s="359"/>
      <c r="K675" s="360"/>
      <c r="L675" s="364"/>
    </row>
    <row r="676" ht="20.25" customHeight="1" spans="2:12">
      <c r="B676" s="26" t="s">
        <v>957</v>
      </c>
      <c r="C676" s="395"/>
      <c r="D676" s="282">
        <v>11</v>
      </c>
      <c r="E676" s="29">
        <v>2.6264</v>
      </c>
      <c r="F676" s="305">
        <v>1</v>
      </c>
      <c r="G676" s="306">
        <v>12.3</v>
      </c>
      <c r="H676" s="306">
        <f t="shared" ref="H676:H681" si="908">ROUND(D676*100*F676*250*100/50/E676/G676/1000,2)</f>
        <v>17.03</v>
      </c>
      <c r="I676" s="353">
        <f t="shared" ref="I676" si="909">ROUND((H676+H677)/2,1)</f>
        <v>16.9</v>
      </c>
      <c r="J676" s="354">
        <f t="shared" ref="J676" si="910">(H676-H677)*100/I676</f>
        <v>1.42011834319528</v>
      </c>
      <c r="K676" s="361" t="s">
        <v>150</v>
      </c>
      <c r="L676" s="363">
        <f t="shared" ref="L676" si="911">H677-H676</f>
        <v>-0.240000000000002</v>
      </c>
    </row>
    <row r="677" ht="20.25" customHeight="1" spans="2:12">
      <c r="B677" s="33"/>
      <c r="C677" s="396"/>
      <c r="D677" s="282">
        <v>11</v>
      </c>
      <c r="E677" s="29">
        <v>2.6315</v>
      </c>
      <c r="F677" s="305">
        <v>1</v>
      </c>
      <c r="G677" s="306">
        <v>12.45</v>
      </c>
      <c r="H677" s="306">
        <f t="shared" si="908"/>
        <v>16.79</v>
      </c>
      <c r="I677" s="358"/>
      <c r="J677" s="359"/>
      <c r="K677" s="360"/>
      <c r="L677" s="364"/>
    </row>
    <row r="678" ht="20.25" spans="1:12">
      <c r="A678" s="314">
        <v>11.18</v>
      </c>
      <c r="B678" s="26" t="s">
        <v>958</v>
      </c>
      <c r="C678" s="395"/>
      <c r="D678" s="282">
        <v>11</v>
      </c>
      <c r="E678" s="29">
        <v>2.1864</v>
      </c>
      <c r="F678" s="305">
        <v>2</v>
      </c>
      <c r="G678" s="306">
        <v>13.55</v>
      </c>
      <c r="H678" s="306">
        <f t="shared" si="908"/>
        <v>37.13</v>
      </c>
      <c r="I678" s="353">
        <f t="shared" ref="I678" si="912">ROUND((H678+H679)/2,1)</f>
        <v>37</v>
      </c>
      <c r="J678" s="354">
        <f t="shared" ref="J678" si="913">(H678-H679)*100/I678</f>
        <v>0.513513513513527</v>
      </c>
      <c r="K678" s="361" t="s">
        <v>150</v>
      </c>
      <c r="L678" s="363">
        <f t="shared" ref="L678" si="914">H679-H678</f>
        <v>-0.190000000000005</v>
      </c>
    </row>
    <row r="679" ht="20.25" spans="2:12">
      <c r="B679" s="33"/>
      <c r="C679" s="396"/>
      <c r="D679" s="282">
        <v>11</v>
      </c>
      <c r="E679" s="29">
        <v>2.2059</v>
      </c>
      <c r="F679" s="305">
        <v>2</v>
      </c>
      <c r="G679" s="306">
        <v>13.5</v>
      </c>
      <c r="H679" s="306">
        <f t="shared" si="908"/>
        <v>36.94</v>
      </c>
      <c r="I679" s="358"/>
      <c r="J679" s="359"/>
      <c r="K679" s="360"/>
      <c r="L679" s="364"/>
    </row>
    <row r="680" ht="20.25" spans="2:12">
      <c r="B680" s="26" t="s">
        <v>959</v>
      </c>
      <c r="C680" s="395"/>
      <c r="D680" s="282">
        <v>11</v>
      </c>
      <c r="E680" s="29">
        <v>2.5143</v>
      </c>
      <c r="F680" s="305">
        <v>1</v>
      </c>
      <c r="G680" s="306">
        <v>8.6</v>
      </c>
      <c r="H680" s="306">
        <f t="shared" si="908"/>
        <v>25.44</v>
      </c>
      <c r="I680" s="353">
        <f t="shared" ref="I680" si="915">ROUND((H680+H681)/2,1)</f>
        <v>25.4</v>
      </c>
      <c r="J680" s="354">
        <f t="shared" ref="J680" si="916">(H680-H681)*100/I680</f>
        <v>0</v>
      </c>
      <c r="K680" s="361" t="s">
        <v>150</v>
      </c>
      <c r="L680" s="363">
        <f t="shared" ref="L680" si="917">H681-H680</f>
        <v>0</v>
      </c>
    </row>
    <row r="681" ht="20.25" spans="2:12">
      <c r="B681" s="33"/>
      <c r="C681" s="396"/>
      <c r="D681" s="282">
        <v>11</v>
      </c>
      <c r="E681" s="29">
        <v>2.5143</v>
      </c>
      <c r="F681" s="305">
        <v>1</v>
      </c>
      <c r="G681" s="306">
        <v>8.6</v>
      </c>
      <c r="H681" s="306">
        <f t="shared" si="908"/>
        <v>25.44</v>
      </c>
      <c r="I681" s="358"/>
      <c r="J681" s="359"/>
      <c r="K681" s="360"/>
      <c r="L681" s="364"/>
    </row>
    <row r="682" ht="20.25" spans="2:12">
      <c r="B682" s="26" t="s">
        <v>960</v>
      </c>
      <c r="C682" s="395"/>
      <c r="D682" s="282">
        <v>11</v>
      </c>
      <c r="E682" s="29">
        <v>8.4192</v>
      </c>
      <c r="F682" s="305">
        <v>1</v>
      </c>
      <c r="G682" s="306">
        <v>10.95</v>
      </c>
      <c r="H682" s="306">
        <f t="shared" ref="H682:H687" si="918">ROUND(D682*100*F682*250*100/50/E682/G682/1000,2)</f>
        <v>5.97</v>
      </c>
      <c r="I682" s="353">
        <f t="shared" ref="I682" si="919">ROUND((H682+H683)/2,1)</f>
        <v>6</v>
      </c>
      <c r="J682" s="354">
        <f t="shared" ref="J682" si="920">(H682-H683)*100/I682</f>
        <v>0</v>
      </c>
      <c r="K682" s="361" t="s">
        <v>150</v>
      </c>
      <c r="L682" s="363">
        <f t="shared" ref="L682" si="921">H683-H682</f>
        <v>0</v>
      </c>
    </row>
    <row r="683" ht="20.25" spans="2:12">
      <c r="B683" s="33"/>
      <c r="C683" s="396"/>
      <c r="D683" s="282">
        <v>11</v>
      </c>
      <c r="E683" s="29">
        <v>8.4192</v>
      </c>
      <c r="F683" s="305">
        <v>1</v>
      </c>
      <c r="G683" s="306">
        <v>10.95</v>
      </c>
      <c r="H683" s="306">
        <f t="shared" si="918"/>
        <v>5.97</v>
      </c>
      <c r="I683" s="358"/>
      <c r="J683" s="359"/>
      <c r="K683" s="360"/>
      <c r="L683" s="364"/>
    </row>
    <row r="684" ht="20.25" spans="1:12">
      <c r="A684" s="314">
        <v>11.19</v>
      </c>
      <c r="B684" s="26" t="s">
        <v>961</v>
      </c>
      <c r="C684" s="395"/>
      <c r="D684" s="282">
        <v>11</v>
      </c>
      <c r="E684" s="29">
        <v>1.1388</v>
      </c>
      <c r="F684" s="305">
        <v>1</v>
      </c>
      <c r="G684" s="306">
        <v>12.8</v>
      </c>
      <c r="H684" s="306">
        <f t="shared" si="918"/>
        <v>37.73</v>
      </c>
      <c r="I684" s="353">
        <f t="shared" ref="I684" si="922">ROUND((H684+H685)/2,1)</f>
        <v>32.2</v>
      </c>
      <c r="J684" s="354">
        <f t="shared" ref="J684" si="923">(H684-H685)*100/I684</f>
        <v>34.4409937888199</v>
      </c>
      <c r="K684" s="361" t="s">
        <v>150</v>
      </c>
      <c r="L684" s="363">
        <f t="shared" ref="L684" si="924">H685-H684</f>
        <v>-11.09</v>
      </c>
    </row>
    <row r="685" ht="20.25" spans="2:12">
      <c r="B685" s="33"/>
      <c r="C685" s="396"/>
      <c r="D685" s="282">
        <v>11</v>
      </c>
      <c r="E685" s="29">
        <v>1.0428</v>
      </c>
      <c r="F685" s="305">
        <v>1</v>
      </c>
      <c r="G685" s="306">
        <v>19.8</v>
      </c>
      <c r="H685" s="306">
        <f t="shared" si="918"/>
        <v>26.64</v>
      </c>
      <c r="I685" s="358"/>
      <c r="J685" s="359"/>
      <c r="K685" s="360"/>
      <c r="L685" s="364"/>
    </row>
    <row r="686" ht="20.25" spans="2:12">
      <c r="B686" s="26" t="s">
        <v>962</v>
      </c>
      <c r="C686" s="395"/>
      <c r="D686" s="282">
        <v>11</v>
      </c>
      <c r="E686" s="29">
        <v>1.689</v>
      </c>
      <c r="F686" s="305">
        <v>2</v>
      </c>
      <c r="G686" s="306">
        <v>11.2</v>
      </c>
      <c r="H686" s="306">
        <f t="shared" si="918"/>
        <v>58.15</v>
      </c>
      <c r="I686" s="353">
        <f t="shared" ref="I686" si="925">ROUND((H686+H687)/2,1)</f>
        <v>57.8</v>
      </c>
      <c r="J686" s="354">
        <f t="shared" ref="J686" si="926">(H686-H687)*100/I686</f>
        <v>1.26297577854671</v>
      </c>
      <c r="K686" s="361" t="s">
        <v>150</v>
      </c>
      <c r="L686" s="363">
        <f t="shared" ref="L686" si="927">H687-H686</f>
        <v>-0.729999999999997</v>
      </c>
    </row>
    <row r="687" ht="20.25" spans="2:12">
      <c r="B687" s="33"/>
      <c r="C687" s="396"/>
      <c r="D687" s="282">
        <v>11</v>
      </c>
      <c r="E687" s="29">
        <v>1.6098</v>
      </c>
      <c r="F687" s="305">
        <v>2</v>
      </c>
      <c r="G687" s="306">
        <v>11.9</v>
      </c>
      <c r="H687" s="306">
        <f t="shared" si="918"/>
        <v>57.42</v>
      </c>
      <c r="I687" s="358"/>
      <c r="J687" s="359"/>
      <c r="K687" s="360"/>
      <c r="L687" s="364"/>
    </row>
    <row r="688" ht="20.25" spans="2:12">
      <c r="B688" s="26" t="s">
        <v>963</v>
      </c>
      <c r="C688" s="395"/>
      <c r="D688" s="282">
        <v>11</v>
      </c>
      <c r="E688" s="29">
        <v>1.0374</v>
      </c>
      <c r="F688" s="305">
        <v>1</v>
      </c>
      <c r="G688" s="306">
        <v>7.4</v>
      </c>
      <c r="H688" s="306">
        <f t="shared" ref="H688:H689" si="928">ROUND(D688*100*F688*250*100/50/E688/G688/1000,2)</f>
        <v>71.64</v>
      </c>
      <c r="I688" s="353">
        <f t="shared" ref="I688" si="929">ROUND((H688+H689)/2,1)</f>
        <v>72.1</v>
      </c>
      <c r="J688" s="354">
        <f t="shared" ref="J688" si="930">(H688-H689)*100/I688</f>
        <v>-1.35922330097088</v>
      </c>
      <c r="K688" s="361" t="s">
        <v>150</v>
      </c>
      <c r="L688" s="363">
        <f t="shared" ref="L688" si="931">H689-H688</f>
        <v>0.980000000000004</v>
      </c>
    </row>
    <row r="689" ht="20.25" spans="2:12">
      <c r="B689" s="33"/>
      <c r="C689" s="396"/>
      <c r="D689" s="282">
        <v>11</v>
      </c>
      <c r="E689" s="29">
        <v>1.0031</v>
      </c>
      <c r="F689" s="305">
        <v>1</v>
      </c>
      <c r="G689" s="306">
        <v>7.55</v>
      </c>
      <c r="H689" s="306">
        <f t="shared" si="928"/>
        <v>72.62</v>
      </c>
      <c r="I689" s="358"/>
      <c r="J689" s="359"/>
      <c r="K689" s="360"/>
      <c r="L689" s="364"/>
    </row>
    <row r="690" ht="20.25" spans="1:12">
      <c r="A690" s="314">
        <v>11.2</v>
      </c>
      <c r="B690" s="26" t="s">
        <v>964</v>
      </c>
      <c r="C690" s="395"/>
      <c r="D690" s="282">
        <v>11</v>
      </c>
      <c r="E690" s="29">
        <v>1.9225</v>
      </c>
      <c r="F690" s="305">
        <v>2</v>
      </c>
      <c r="G690" s="306">
        <v>12.4</v>
      </c>
      <c r="H690" s="306">
        <f t="shared" ref="H690:H691" si="932">ROUND(D690*100*F690*250*100/50/E690/G690/1000,2)</f>
        <v>46.14</v>
      </c>
      <c r="I690" s="354">
        <f t="shared" ref="I690" si="933">ROUND((H690+H691)/2,1)</f>
        <v>45.8</v>
      </c>
      <c r="J690" s="354">
        <f t="shared" ref="J690" si="934">(H690-H691)*100/I690</f>
        <v>1.37554585152839</v>
      </c>
      <c r="K690" s="361" t="s">
        <v>150</v>
      </c>
      <c r="L690" s="363">
        <f t="shared" ref="L690" si="935">H691-H690</f>
        <v>-0.630000000000003</v>
      </c>
    </row>
    <row r="691" ht="20.25" spans="2:12">
      <c r="B691" s="33"/>
      <c r="C691" s="396"/>
      <c r="D691" s="282">
        <v>11</v>
      </c>
      <c r="E691" s="29">
        <v>2.0311</v>
      </c>
      <c r="F691" s="305">
        <v>2</v>
      </c>
      <c r="G691" s="306">
        <v>11.9</v>
      </c>
      <c r="H691" s="306">
        <f t="shared" si="932"/>
        <v>45.51</v>
      </c>
      <c r="I691" s="359"/>
      <c r="J691" s="359"/>
      <c r="K691" s="360"/>
      <c r="L691" s="364"/>
    </row>
    <row r="692" ht="20.25" spans="2:12">
      <c r="B692" s="26" t="s">
        <v>964</v>
      </c>
      <c r="C692" s="395"/>
      <c r="D692" s="282">
        <v>11</v>
      </c>
      <c r="E692" s="29">
        <v>1.9858</v>
      </c>
      <c r="F692" s="305">
        <v>2</v>
      </c>
      <c r="G692" s="306">
        <v>12</v>
      </c>
      <c r="H692" s="306">
        <f t="shared" ref="H692:H700" si="936">ROUND(D692*100*F692*250*100/50/E692/G692/1000,2)</f>
        <v>46.16</v>
      </c>
      <c r="I692" s="354">
        <f t="shared" ref="I692" si="937">ROUND((H692+H693)/2,1)</f>
        <v>46.3</v>
      </c>
      <c r="J692" s="354">
        <f t="shared" ref="J692" si="938">(H692-H693)*100/I692</f>
        <v>-0.755939524838016</v>
      </c>
      <c r="K692" s="361" t="s">
        <v>150</v>
      </c>
      <c r="L692" s="363">
        <f t="shared" ref="L692" si="939">H693-H692</f>
        <v>0.350000000000001</v>
      </c>
    </row>
    <row r="693" ht="20.25" spans="2:12">
      <c r="B693" s="33"/>
      <c r="C693" s="396"/>
      <c r="D693" s="282">
        <v>11</v>
      </c>
      <c r="E693" s="29">
        <v>2.1022</v>
      </c>
      <c r="F693" s="305">
        <v>2</v>
      </c>
      <c r="G693" s="306">
        <v>11.25</v>
      </c>
      <c r="H693" s="306">
        <f t="shared" si="936"/>
        <v>46.51</v>
      </c>
      <c r="I693" s="359"/>
      <c r="J693" s="359"/>
      <c r="K693" s="360"/>
      <c r="L693" s="364"/>
    </row>
    <row r="694" ht="20.25" spans="2:12">
      <c r="B694" s="26" t="s">
        <v>965</v>
      </c>
      <c r="C694" s="395"/>
      <c r="D694" s="282">
        <v>11</v>
      </c>
      <c r="E694" s="29">
        <v>2.5004</v>
      </c>
      <c r="F694" s="305">
        <v>1</v>
      </c>
      <c r="G694" s="306">
        <v>10.5</v>
      </c>
      <c r="H694" s="306">
        <f t="shared" si="936"/>
        <v>20.95</v>
      </c>
      <c r="I694" s="353">
        <f t="shared" ref="I694" si="940">ROUND((H694+H695)/2,1)</f>
        <v>20.9</v>
      </c>
      <c r="J694" s="354">
        <f t="shared" ref="J694" si="941">(H694-H695)*100/I694</f>
        <v>0.430622009569377</v>
      </c>
      <c r="K694" s="361" t="s">
        <v>150</v>
      </c>
      <c r="L694" s="363">
        <f t="shared" ref="L694" si="942">H695-H694</f>
        <v>-0.0899999999999999</v>
      </c>
    </row>
    <row r="695" ht="20.25" spans="2:12">
      <c r="B695" s="33"/>
      <c r="C695" s="396"/>
      <c r="D695" s="282">
        <v>11</v>
      </c>
      <c r="E695" s="29">
        <v>2.4988</v>
      </c>
      <c r="F695" s="305">
        <v>1</v>
      </c>
      <c r="G695" s="306">
        <v>10.55</v>
      </c>
      <c r="H695" s="306">
        <f t="shared" si="936"/>
        <v>20.86</v>
      </c>
      <c r="I695" s="358"/>
      <c r="J695" s="359"/>
      <c r="K695" s="360"/>
      <c r="L695" s="364"/>
    </row>
    <row r="696" ht="20.25" customHeight="1" spans="2:12">
      <c r="B696" s="26" t="s">
        <v>966</v>
      </c>
      <c r="C696" s="395"/>
      <c r="D696" s="282">
        <v>11</v>
      </c>
      <c r="E696" s="29">
        <v>2.5256</v>
      </c>
      <c r="F696" s="305">
        <v>1</v>
      </c>
      <c r="G696" s="306">
        <v>9.5</v>
      </c>
      <c r="H696" s="306">
        <f t="shared" si="936"/>
        <v>22.92</v>
      </c>
      <c r="I696" s="354">
        <f t="shared" ref="I696" si="943">ROUND((H696+H697)/2,1)</f>
        <v>22.9</v>
      </c>
      <c r="J696" s="354">
        <f t="shared" ref="J696" si="944">(H696-H697)*100/I696</f>
        <v>0.480349344978179</v>
      </c>
      <c r="K696" s="361" t="s">
        <v>150</v>
      </c>
      <c r="L696" s="363">
        <f t="shared" ref="L696" si="945">H697-H696</f>
        <v>-0.110000000000003</v>
      </c>
    </row>
    <row r="697" ht="20.25" customHeight="1" spans="2:12">
      <c r="B697" s="33"/>
      <c r="C697" s="396"/>
      <c r="D697" s="282">
        <v>11</v>
      </c>
      <c r="E697" s="29">
        <v>2.6204</v>
      </c>
      <c r="F697" s="305">
        <v>1</v>
      </c>
      <c r="G697" s="306">
        <v>9.2</v>
      </c>
      <c r="H697" s="306">
        <f t="shared" si="936"/>
        <v>22.81</v>
      </c>
      <c r="I697" s="359"/>
      <c r="J697" s="359"/>
      <c r="K697" s="360"/>
      <c r="L697" s="364"/>
    </row>
    <row r="698" ht="20.25" spans="2:12">
      <c r="B698" s="26" t="s">
        <v>967</v>
      </c>
      <c r="C698" s="395"/>
      <c r="D698" s="282">
        <v>11</v>
      </c>
      <c r="E698" s="29">
        <v>2.5256</v>
      </c>
      <c r="F698" s="305">
        <v>1</v>
      </c>
      <c r="G698" s="306">
        <v>12.15</v>
      </c>
      <c r="H698" s="306">
        <f t="shared" si="936"/>
        <v>17.92</v>
      </c>
      <c r="I698" s="354">
        <f t="shared" ref="I698" si="946">ROUND((H698+H699)/2,1)</f>
        <v>18</v>
      </c>
      <c r="J698" s="354">
        <f t="shared" ref="J698" si="947">(H698-H699)*100/I698</f>
        <v>-0.555555555555544</v>
      </c>
      <c r="K698" s="361" t="s">
        <v>150</v>
      </c>
      <c r="L698" s="363">
        <f t="shared" ref="L698" si="948">H699-H698</f>
        <v>0.0999999999999979</v>
      </c>
    </row>
    <row r="699" ht="20.25" spans="2:12">
      <c r="B699" s="33"/>
      <c r="C699" s="396"/>
      <c r="D699" s="282">
        <v>11</v>
      </c>
      <c r="E699" s="29">
        <v>2.6204</v>
      </c>
      <c r="F699" s="305">
        <v>1</v>
      </c>
      <c r="G699" s="306">
        <v>11.65</v>
      </c>
      <c r="H699" s="306">
        <f t="shared" si="936"/>
        <v>18.02</v>
      </c>
      <c r="I699" s="359"/>
      <c r="J699" s="359"/>
      <c r="K699" s="360"/>
      <c r="L699" s="364"/>
    </row>
    <row r="700" ht="30.75" customHeight="1" spans="1:12">
      <c r="A700" s="314">
        <v>11.21</v>
      </c>
      <c r="B700" s="26" t="s">
        <v>968</v>
      </c>
      <c r="C700" s="395"/>
      <c r="D700" s="282">
        <v>11</v>
      </c>
      <c r="E700" s="29">
        <v>1.646</v>
      </c>
      <c r="F700" s="305">
        <v>2</v>
      </c>
      <c r="G700" s="306">
        <v>9.2</v>
      </c>
      <c r="H700" s="306">
        <f t="shared" si="936"/>
        <v>72.64</v>
      </c>
      <c r="I700" s="353">
        <f t="shared" ref="I700" si="949">ROUND((H700+H701)/2,1)</f>
        <v>72.4</v>
      </c>
      <c r="J700" s="354">
        <f t="shared" ref="J700" si="950">(H700-H701)*100/I700</f>
        <v>0.71823204419889</v>
      </c>
      <c r="K700" s="361" t="s">
        <v>150</v>
      </c>
      <c r="L700" s="363">
        <f t="shared" ref="L700" si="951">H701-H700</f>
        <v>-0.519999999999996</v>
      </c>
    </row>
    <row r="701" ht="30.75" customHeight="1" spans="2:12">
      <c r="B701" s="33"/>
      <c r="C701" s="396"/>
      <c r="D701" s="282">
        <v>11</v>
      </c>
      <c r="E701" s="29">
        <v>1.6055</v>
      </c>
      <c r="F701" s="305">
        <v>2</v>
      </c>
      <c r="G701" s="306">
        <v>9.5</v>
      </c>
      <c r="H701" s="306">
        <f t="shared" ref="H701:H706" si="952">ROUND(D701*100*F701*250*100/50/E701/G701/1000,2)</f>
        <v>72.12</v>
      </c>
      <c r="I701" s="358"/>
      <c r="J701" s="359"/>
      <c r="K701" s="360"/>
      <c r="L701" s="364"/>
    </row>
    <row r="702" ht="30.75" customHeight="1" spans="2:12">
      <c r="B702" s="26" t="s">
        <v>969</v>
      </c>
      <c r="C702" s="395"/>
      <c r="D702" s="282">
        <v>11</v>
      </c>
      <c r="E702" s="29">
        <v>1.9218</v>
      </c>
      <c r="F702" s="305">
        <v>2.5</v>
      </c>
      <c r="G702" s="306">
        <v>10.1</v>
      </c>
      <c r="H702" s="306">
        <f t="shared" si="952"/>
        <v>70.84</v>
      </c>
      <c r="I702" s="354">
        <f t="shared" ref="I702" si="953">ROUND((H702+H703)/2,1)</f>
        <v>70.6</v>
      </c>
      <c r="J702" s="354">
        <f t="shared" ref="J702" si="954">(H702-H703)*100/I702</f>
        <v>0.807365439093495</v>
      </c>
      <c r="K702" s="361" t="s">
        <v>150</v>
      </c>
      <c r="L702" s="363">
        <f t="shared" ref="L702" si="955">H703-H702</f>
        <v>-0.570000000000007</v>
      </c>
    </row>
    <row r="703" ht="30.75" customHeight="1" spans="2:12">
      <c r="B703" s="33"/>
      <c r="C703" s="396"/>
      <c r="D703" s="282">
        <v>11</v>
      </c>
      <c r="E703" s="29">
        <v>1.9089</v>
      </c>
      <c r="F703" s="305">
        <v>2.5</v>
      </c>
      <c r="G703" s="306">
        <v>10.25</v>
      </c>
      <c r="H703" s="306">
        <f t="shared" si="952"/>
        <v>70.27</v>
      </c>
      <c r="I703" s="359"/>
      <c r="J703" s="359"/>
      <c r="K703" s="360"/>
      <c r="L703" s="364"/>
    </row>
    <row r="704" ht="21.75" customHeight="1" spans="2:12">
      <c r="B704" s="26" t="s">
        <v>970</v>
      </c>
      <c r="D704" s="282">
        <v>11</v>
      </c>
      <c r="E704" s="29">
        <v>3.2061</v>
      </c>
      <c r="F704" s="305">
        <v>1</v>
      </c>
      <c r="G704" s="306">
        <v>8.5</v>
      </c>
      <c r="H704" s="306">
        <f t="shared" si="952"/>
        <v>20.18</v>
      </c>
      <c r="I704" s="354">
        <f t="shared" ref="I704" si="956">ROUND((H704+H705)/2,1)</f>
        <v>20.3</v>
      </c>
      <c r="J704" s="354">
        <f t="shared" ref="J704" si="957">(H704-H705)*100/I704</f>
        <v>-0.837438423645329</v>
      </c>
      <c r="K704" s="361" t="s">
        <v>150</v>
      </c>
      <c r="L704" s="363">
        <f t="shared" ref="L704" si="958">H705-H704</f>
        <v>0.170000000000002</v>
      </c>
    </row>
    <row r="705" ht="20.25" customHeight="1" spans="2:12">
      <c r="B705" s="33"/>
      <c r="D705" s="282">
        <v>11</v>
      </c>
      <c r="E705" s="29">
        <v>3.3369</v>
      </c>
      <c r="F705" s="305">
        <v>1</v>
      </c>
      <c r="G705" s="306">
        <v>8.1</v>
      </c>
      <c r="H705" s="306">
        <f t="shared" si="952"/>
        <v>20.35</v>
      </c>
      <c r="I705" s="359"/>
      <c r="J705" s="359"/>
      <c r="K705" s="360"/>
      <c r="L705" s="364"/>
    </row>
    <row r="706" ht="20.25" spans="2:12">
      <c r="B706" s="26" t="s">
        <v>970</v>
      </c>
      <c r="D706" s="282">
        <v>11</v>
      </c>
      <c r="E706" s="29">
        <v>3.2061</v>
      </c>
      <c r="F706" s="305">
        <v>1</v>
      </c>
      <c r="G706" s="306">
        <v>8.5</v>
      </c>
      <c r="H706" s="306">
        <f t="shared" si="952"/>
        <v>20.18</v>
      </c>
      <c r="I706" s="354">
        <f t="shared" ref="I706:I710" si="959">ROUND((H706+H707)/2,1)</f>
        <v>20.3</v>
      </c>
      <c r="J706" s="354">
        <f t="shared" ref="J706:J710" si="960">(H706-H707)*100/I706</f>
        <v>-0.837438423645329</v>
      </c>
      <c r="K706" s="361" t="s">
        <v>150</v>
      </c>
      <c r="L706" s="363">
        <f t="shared" ref="L706:L710" si="961">H707-H706</f>
        <v>0.170000000000002</v>
      </c>
    </row>
    <row r="707" ht="20.25" spans="2:12">
      <c r="B707" s="33"/>
      <c r="D707" s="282">
        <v>11</v>
      </c>
      <c r="E707" s="29">
        <v>3.3369</v>
      </c>
      <c r="F707" s="305">
        <v>1</v>
      </c>
      <c r="G707" s="306">
        <v>8.1</v>
      </c>
      <c r="H707" s="306">
        <f t="shared" ref="H707:H717" si="962">ROUND(D707*100*F707*250*100/50/E707/G707/1000,2)</f>
        <v>20.35</v>
      </c>
      <c r="I707" s="359"/>
      <c r="J707" s="359"/>
      <c r="K707" s="360"/>
      <c r="L707" s="364"/>
    </row>
    <row r="708" ht="20.25" spans="1:12">
      <c r="A708" s="314">
        <v>11.24</v>
      </c>
      <c r="B708" s="26" t="s">
        <v>971</v>
      </c>
      <c r="C708" s="395"/>
      <c r="D708" s="282">
        <v>11.1</v>
      </c>
      <c r="E708" s="29">
        <v>5.4614</v>
      </c>
      <c r="F708" s="305">
        <v>1</v>
      </c>
      <c r="G708" s="306">
        <v>9.3</v>
      </c>
      <c r="H708" s="306">
        <f t="shared" si="962"/>
        <v>10.93</v>
      </c>
      <c r="I708" s="354">
        <f t="shared" si="959"/>
        <v>10.9</v>
      </c>
      <c r="J708" s="354">
        <f t="shared" si="960"/>
        <v>0.275229357798159</v>
      </c>
      <c r="K708" s="361" t="s">
        <v>150</v>
      </c>
      <c r="L708" s="363">
        <f t="shared" si="961"/>
        <v>-0.0299999999999994</v>
      </c>
    </row>
    <row r="709" ht="20.25" spans="2:12">
      <c r="B709" s="33"/>
      <c r="C709" s="396"/>
      <c r="D709" s="282">
        <v>11.1</v>
      </c>
      <c r="E709" s="29">
        <v>5.361</v>
      </c>
      <c r="F709" s="305">
        <v>1</v>
      </c>
      <c r="G709" s="306">
        <v>9.5</v>
      </c>
      <c r="H709" s="306">
        <f t="shared" si="962"/>
        <v>10.9</v>
      </c>
      <c r="I709" s="359"/>
      <c r="J709" s="359"/>
      <c r="K709" s="360"/>
      <c r="L709" s="364"/>
    </row>
    <row r="710" ht="20.25" spans="2:12">
      <c r="B710" s="26" t="s">
        <v>972</v>
      </c>
      <c r="C710" s="395"/>
      <c r="D710" s="282">
        <v>11.1</v>
      </c>
      <c r="E710" s="29">
        <v>5.5519</v>
      </c>
      <c r="F710" s="305">
        <v>2.5</v>
      </c>
      <c r="G710" s="306">
        <v>8.9</v>
      </c>
      <c r="H710" s="306">
        <f t="shared" si="962"/>
        <v>28.08</v>
      </c>
      <c r="I710" s="353">
        <f t="shared" si="959"/>
        <v>28.1</v>
      </c>
      <c r="J710" s="354">
        <f t="shared" si="960"/>
        <v>-0.355871886121001</v>
      </c>
      <c r="K710" s="361" t="s">
        <v>150</v>
      </c>
      <c r="L710" s="363">
        <f t="shared" si="961"/>
        <v>0.100000000000001</v>
      </c>
    </row>
    <row r="711" ht="20.25" spans="2:12">
      <c r="B711" s="33"/>
      <c r="C711" s="396"/>
      <c r="D711" s="282">
        <v>11.1</v>
      </c>
      <c r="E711" s="29">
        <v>5.6269</v>
      </c>
      <c r="F711" s="305">
        <v>2.5</v>
      </c>
      <c r="G711" s="306">
        <v>8.75</v>
      </c>
      <c r="H711" s="306">
        <f t="shared" si="962"/>
        <v>28.18</v>
      </c>
      <c r="I711" s="358"/>
      <c r="J711" s="359"/>
      <c r="K711" s="360"/>
      <c r="L711" s="364"/>
    </row>
    <row r="712" ht="20.25" spans="2:12">
      <c r="B712" s="26" t="s">
        <v>973</v>
      </c>
      <c r="C712" s="395"/>
      <c r="D712" s="282">
        <v>11.1</v>
      </c>
      <c r="E712" s="29">
        <v>6.0853</v>
      </c>
      <c r="F712" s="305">
        <v>1</v>
      </c>
      <c r="G712" s="306">
        <v>8.1</v>
      </c>
      <c r="H712" s="306">
        <f t="shared" si="962"/>
        <v>11.26</v>
      </c>
      <c r="I712" s="354">
        <f t="shared" ref="I712:I716" si="963">ROUND((H712+H713)/2,1)</f>
        <v>11.2</v>
      </c>
      <c r="J712" s="354">
        <f t="shared" ref="J712:J716" si="964">(H712-H713)*100/I712</f>
        <v>0.35714285714285</v>
      </c>
      <c r="K712" s="361" t="s">
        <v>150</v>
      </c>
      <c r="L712" s="363">
        <f t="shared" ref="L712:L716" si="965">H713-H712</f>
        <v>-0.0399999999999991</v>
      </c>
    </row>
    <row r="713" ht="20.25" spans="2:12">
      <c r="B713" s="33"/>
      <c r="C713" s="396"/>
      <c r="D713" s="282">
        <v>11.1</v>
      </c>
      <c r="E713" s="29">
        <v>5.6203</v>
      </c>
      <c r="F713" s="305">
        <v>1</v>
      </c>
      <c r="G713" s="306">
        <v>8.8</v>
      </c>
      <c r="H713" s="306">
        <f t="shared" si="962"/>
        <v>11.22</v>
      </c>
      <c r="I713" s="359"/>
      <c r="J713" s="359"/>
      <c r="K713" s="360"/>
      <c r="L713" s="364"/>
    </row>
    <row r="714" ht="20.25" spans="2:12">
      <c r="B714" s="26" t="s">
        <v>974</v>
      </c>
      <c r="C714" s="395"/>
      <c r="D714" s="282">
        <v>11.1</v>
      </c>
      <c r="E714" s="29">
        <v>5.0273</v>
      </c>
      <c r="F714" s="305">
        <v>1</v>
      </c>
      <c r="G714" s="306">
        <v>14.6</v>
      </c>
      <c r="H714" s="306">
        <f t="shared" si="962"/>
        <v>7.56</v>
      </c>
      <c r="I714" s="354">
        <f t="shared" si="963"/>
        <v>7.7</v>
      </c>
      <c r="J714" s="354">
        <f t="shared" si="964"/>
        <v>-3.37662337662339</v>
      </c>
      <c r="K714" s="361" t="s">
        <v>150</v>
      </c>
      <c r="L714" s="363">
        <f t="shared" si="965"/>
        <v>0.260000000000001</v>
      </c>
    </row>
    <row r="715" ht="20.25" spans="2:12">
      <c r="B715" s="33"/>
      <c r="C715" s="396"/>
      <c r="D715" s="282">
        <v>11.1</v>
      </c>
      <c r="E715" s="29">
        <v>5.1444</v>
      </c>
      <c r="F715" s="305">
        <v>1</v>
      </c>
      <c r="G715" s="306">
        <v>13.8</v>
      </c>
      <c r="H715" s="306">
        <f t="shared" si="962"/>
        <v>7.82</v>
      </c>
      <c r="I715" s="359"/>
      <c r="J715" s="359"/>
      <c r="K715" s="360"/>
      <c r="L715" s="364"/>
    </row>
    <row r="716" ht="20.25" spans="2:12">
      <c r="B716" s="26" t="s">
        <v>975</v>
      </c>
      <c r="C716" s="395"/>
      <c r="D716" s="282">
        <v>11.1</v>
      </c>
      <c r="E716" s="29">
        <v>4.8565</v>
      </c>
      <c r="F716" s="305">
        <v>1</v>
      </c>
      <c r="G716" s="306">
        <v>12</v>
      </c>
      <c r="H716" s="306">
        <f t="shared" si="962"/>
        <v>9.52</v>
      </c>
      <c r="I716" s="354">
        <f t="shared" si="963"/>
        <v>9.5</v>
      </c>
      <c r="J716" s="354">
        <f t="shared" si="964"/>
        <v>0.94736842105263</v>
      </c>
      <c r="K716" s="361" t="s">
        <v>150</v>
      </c>
      <c r="L716" s="363">
        <f t="shared" si="965"/>
        <v>-0.0899999999999999</v>
      </c>
    </row>
    <row r="717" ht="20.25" spans="2:12">
      <c r="B717" s="33"/>
      <c r="C717" s="396"/>
      <c r="D717" s="282">
        <v>11.1</v>
      </c>
      <c r="E717" s="29">
        <v>4.9032</v>
      </c>
      <c r="F717" s="305">
        <v>1</v>
      </c>
      <c r="G717" s="306">
        <v>12</v>
      </c>
      <c r="H717" s="306">
        <f t="shared" si="962"/>
        <v>9.43</v>
      </c>
      <c r="I717" s="359"/>
      <c r="J717" s="359"/>
      <c r="K717" s="360"/>
      <c r="L717" s="364"/>
    </row>
    <row r="718" ht="20.25" spans="1:12">
      <c r="A718" s="314">
        <v>11.28</v>
      </c>
      <c r="B718" s="26" t="s">
        <v>976</v>
      </c>
      <c r="C718" s="395"/>
      <c r="D718" s="282">
        <v>11</v>
      </c>
      <c r="E718" s="29">
        <v>2.4431</v>
      </c>
      <c r="F718" s="305">
        <v>2</v>
      </c>
      <c r="G718" s="306">
        <v>11.6</v>
      </c>
      <c r="H718" s="306">
        <f t="shared" ref="H718:H723" si="966">ROUND(D718*100*F718*250*100/50/E718/G718/1000,2)</f>
        <v>38.81</v>
      </c>
      <c r="I718" s="354">
        <f t="shared" ref="I718" si="967">ROUND((H718+H719)/2,1)</f>
        <v>38.7</v>
      </c>
      <c r="J718" s="354">
        <f t="shared" ref="J718" si="968">(H718-H719)*100/I718</f>
        <v>0.387596899224821</v>
      </c>
      <c r="K718" s="361" t="s">
        <v>150</v>
      </c>
      <c r="L718" s="363">
        <f t="shared" ref="L718" si="969">H719-H718</f>
        <v>-0.150000000000006</v>
      </c>
    </row>
    <row r="719" ht="20.25" spans="2:12">
      <c r="B719" s="33"/>
      <c r="C719" s="396"/>
      <c r="D719" s="282">
        <v>11</v>
      </c>
      <c r="E719" s="29">
        <v>2.5069</v>
      </c>
      <c r="F719" s="305">
        <v>2</v>
      </c>
      <c r="G719" s="306">
        <v>11.35</v>
      </c>
      <c r="H719" s="306">
        <f t="shared" si="966"/>
        <v>38.66</v>
      </c>
      <c r="I719" s="359"/>
      <c r="J719" s="359"/>
      <c r="K719" s="360"/>
      <c r="L719" s="364"/>
    </row>
    <row r="720" ht="20.25" spans="1:12">
      <c r="A720" s="314">
        <v>12.23</v>
      </c>
      <c r="B720" s="416" t="s">
        <v>977</v>
      </c>
      <c r="C720" s="417"/>
      <c r="D720" s="311">
        <v>11.1</v>
      </c>
      <c r="E720" s="312">
        <v>0.7752</v>
      </c>
      <c r="F720" s="311">
        <v>1</v>
      </c>
      <c r="G720" s="313">
        <v>11.6</v>
      </c>
      <c r="H720" s="306">
        <f t="shared" si="966"/>
        <v>61.72</v>
      </c>
      <c r="I720" s="354">
        <f t="shared" ref="I720" si="970">ROUND((H720+H721)/2,1)</f>
        <v>61.8</v>
      </c>
      <c r="J720" s="354">
        <f t="shared" ref="J720" si="971">(H720-H721)*100/I720</f>
        <v>-0.17799352750809</v>
      </c>
      <c r="K720" s="361" t="s">
        <v>883</v>
      </c>
      <c r="L720" s="363">
        <f t="shared" ref="L720" si="972">H721-H720</f>
        <v>0.109999999999999</v>
      </c>
    </row>
    <row r="721" ht="20.25" spans="2:12">
      <c r="B721" s="416"/>
      <c r="C721" s="418"/>
      <c r="D721" s="311">
        <v>11.1</v>
      </c>
      <c r="E721" s="312">
        <v>0.8015</v>
      </c>
      <c r="F721" s="311">
        <v>1</v>
      </c>
      <c r="G721" s="313">
        <v>11.2</v>
      </c>
      <c r="H721" s="306">
        <f t="shared" si="966"/>
        <v>61.83</v>
      </c>
      <c r="I721" s="359"/>
      <c r="J721" s="359"/>
      <c r="K721" s="360"/>
      <c r="L721" s="364"/>
    </row>
    <row r="722" ht="20.25" spans="2:12">
      <c r="B722" s="227" t="s">
        <v>978</v>
      </c>
      <c r="C722" s="417"/>
      <c r="D722" s="311">
        <v>11.1</v>
      </c>
      <c r="E722" s="312">
        <v>0.7464</v>
      </c>
      <c r="F722" s="311">
        <v>1</v>
      </c>
      <c r="G722" s="313">
        <v>9.3</v>
      </c>
      <c r="H722" s="306">
        <f t="shared" si="966"/>
        <v>79.95</v>
      </c>
      <c r="I722" s="354">
        <f t="shared" ref="I722" si="973">ROUND((H722+H723)/2,1)</f>
        <v>79.6</v>
      </c>
      <c r="J722" s="354">
        <f t="shared" ref="J722" si="974">(H722-H723)*100/I722</f>
        <v>0.816582914572872</v>
      </c>
      <c r="K722" s="361" t="s">
        <v>885</v>
      </c>
      <c r="L722" s="363">
        <f t="shared" ref="L722" si="975">H723-H722</f>
        <v>-0.650000000000006</v>
      </c>
    </row>
    <row r="723" ht="20.25" spans="2:12">
      <c r="B723" s="227"/>
      <c r="C723" s="418"/>
      <c r="D723" s="311">
        <v>11.1</v>
      </c>
      <c r="E723" s="312">
        <v>0.8045</v>
      </c>
      <c r="F723" s="311">
        <v>1</v>
      </c>
      <c r="G723" s="313">
        <v>8.7</v>
      </c>
      <c r="H723" s="306">
        <f t="shared" si="966"/>
        <v>79.3</v>
      </c>
      <c r="I723" s="359"/>
      <c r="J723" s="359"/>
      <c r="K723" s="360"/>
      <c r="L723" s="364"/>
    </row>
    <row r="724" ht="20.25" spans="1:13">
      <c r="A724" s="314">
        <v>12.25</v>
      </c>
      <c r="B724" s="416" t="s">
        <v>977</v>
      </c>
      <c r="C724" s="417"/>
      <c r="D724" s="311">
        <v>11.1</v>
      </c>
      <c r="E724" s="312">
        <v>0.8688</v>
      </c>
      <c r="F724" s="311">
        <v>1</v>
      </c>
      <c r="G724" s="313">
        <v>7.8</v>
      </c>
      <c r="H724" s="306">
        <f>ROUND(D724*100*F724*200*100/50/E724/G724/1000,2)</f>
        <v>65.52</v>
      </c>
      <c r="I724" s="354">
        <f t="shared" ref="I724" si="976">ROUND((H724+H725)/2,1)</f>
        <v>64.6</v>
      </c>
      <c r="J724" s="354">
        <f t="shared" ref="J724" si="977">(H724-H725)*100/I724</f>
        <v>2.9876160990712</v>
      </c>
      <c r="K724" s="361" t="s">
        <v>883</v>
      </c>
      <c r="L724" s="363">
        <f t="shared" ref="L724" si="978">H725-H724</f>
        <v>-1.92999999999999</v>
      </c>
      <c r="M724" s="351" t="s">
        <v>877</v>
      </c>
    </row>
    <row r="725" ht="20.25" spans="2:13">
      <c r="B725" s="416"/>
      <c r="C725" s="418"/>
      <c r="D725" s="311">
        <v>11.1</v>
      </c>
      <c r="E725" s="312">
        <v>0.8026</v>
      </c>
      <c r="F725" s="311">
        <v>1</v>
      </c>
      <c r="G725" s="313">
        <v>8.7</v>
      </c>
      <c r="H725" s="306">
        <f>ROUND(D725*100*F725*200*100/50/E725/G725/1000,2)</f>
        <v>63.59</v>
      </c>
      <c r="I725" s="359"/>
      <c r="J725" s="359"/>
      <c r="K725" s="360"/>
      <c r="L725" s="364"/>
      <c r="M725" s="351"/>
    </row>
    <row r="726" ht="20.25" spans="2:12">
      <c r="B726" s="227" t="s">
        <v>979</v>
      </c>
      <c r="C726" s="417"/>
      <c r="D726" s="311">
        <v>11.1</v>
      </c>
      <c r="E726" s="312">
        <v>2.9821</v>
      </c>
      <c r="F726" s="311">
        <v>1</v>
      </c>
      <c r="G726" s="313">
        <v>6.6</v>
      </c>
      <c r="H726" s="306">
        <f t="shared" ref="H726:H729" si="979">ROUND(D726*100*F726*250*100/50/E726/G726/1000,2)</f>
        <v>28.2</v>
      </c>
      <c r="I726" s="354">
        <f t="shared" ref="I726" si="980">ROUND((H726+H727)/2,1)</f>
        <v>28.1</v>
      </c>
      <c r="J726" s="354">
        <f t="shared" ref="J726" si="981">(H726-H727)*100/I726</f>
        <v>0.676156583629885</v>
      </c>
      <c r="K726" s="361" t="s">
        <v>150</v>
      </c>
      <c r="L726" s="363">
        <f t="shared" ref="L726" si="982">H727-H726</f>
        <v>-0.189999999999998</v>
      </c>
    </row>
    <row r="727" ht="20.25" spans="2:12">
      <c r="B727" s="227"/>
      <c r="C727" s="418"/>
      <c r="D727" s="311">
        <v>11.1</v>
      </c>
      <c r="E727" s="312">
        <v>2.5897</v>
      </c>
      <c r="F727" s="311">
        <v>1</v>
      </c>
      <c r="G727" s="313">
        <v>7.65</v>
      </c>
      <c r="H727" s="306">
        <f t="shared" si="979"/>
        <v>28.01</v>
      </c>
      <c r="I727" s="359"/>
      <c r="J727" s="359"/>
      <c r="K727" s="360"/>
      <c r="L727" s="364"/>
    </row>
    <row r="728" ht="20.25" spans="2:12">
      <c r="B728" s="227" t="s">
        <v>978</v>
      </c>
      <c r="C728" s="417"/>
      <c r="D728" s="311">
        <v>11.1</v>
      </c>
      <c r="E728" s="312">
        <v>3.0297</v>
      </c>
      <c r="F728" s="311">
        <v>1</v>
      </c>
      <c r="G728" s="313">
        <v>6.55</v>
      </c>
      <c r="H728" s="306">
        <f t="shared" si="979"/>
        <v>27.97</v>
      </c>
      <c r="I728" s="354">
        <f t="shared" ref="I728" si="983">ROUND((H728+H729)/2,1)</f>
        <v>27.9</v>
      </c>
      <c r="J728" s="354">
        <f t="shared" ref="J728" si="984">(H728-H729)*100/I728</f>
        <v>0.824372759856632</v>
      </c>
      <c r="K728" s="361" t="s">
        <v>150</v>
      </c>
      <c r="L728" s="363">
        <f t="shared" ref="L728" si="985">H729-H728</f>
        <v>-0.23</v>
      </c>
    </row>
    <row r="729" ht="20.25" spans="2:12">
      <c r="B729" s="227"/>
      <c r="C729" s="418"/>
      <c r="D729" s="311">
        <v>11.1</v>
      </c>
      <c r="E729" s="312">
        <v>3.1258</v>
      </c>
      <c r="F729" s="311">
        <v>1</v>
      </c>
      <c r="G729" s="313">
        <v>6.4</v>
      </c>
      <c r="H729" s="306">
        <f t="shared" si="979"/>
        <v>27.74</v>
      </c>
      <c r="I729" s="359"/>
      <c r="J729" s="359"/>
      <c r="K729" s="360"/>
      <c r="L729" s="364"/>
    </row>
    <row r="730" ht="20.25" spans="2:12">
      <c r="B730" s="227" t="s">
        <v>977</v>
      </c>
      <c r="C730" s="417"/>
      <c r="D730" s="311">
        <v>11.1</v>
      </c>
      <c r="E730" s="312">
        <v>0.9593</v>
      </c>
      <c r="F730" s="311">
        <v>1</v>
      </c>
      <c r="G730" s="313">
        <v>8</v>
      </c>
      <c r="H730" s="306">
        <f t="shared" ref="H730:H731" si="986">ROUND(D730*100*F730*250*100/50/E730/G730/1000,2)</f>
        <v>72.32</v>
      </c>
      <c r="I730" s="354">
        <f t="shared" ref="I730" si="987">ROUND((H730+H731)/2,1)</f>
        <v>71.7</v>
      </c>
      <c r="J730" s="354">
        <f t="shared" ref="J730" si="988">(H730-H731)*100/I730</f>
        <v>1.74337517433752</v>
      </c>
      <c r="K730" s="361" t="s">
        <v>150</v>
      </c>
      <c r="L730" s="363">
        <f t="shared" ref="L730" si="989">H731-H730</f>
        <v>-1.25</v>
      </c>
    </row>
    <row r="731" ht="20.25" spans="2:12">
      <c r="B731" s="227"/>
      <c r="C731" s="418"/>
      <c r="D731" s="311">
        <v>11.1</v>
      </c>
      <c r="E731" s="312">
        <v>0.9081</v>
      </c>
      <c r="F731" s="311">
        <v>1</v>
      </c>
      <c r="G731" s="313">
        <v>8.6</v>
      </c>
      <c r="H731" s="306">
        <f t="shared" si="986"/>
        <v>71.07</v>
      </c>
      <c r="I731" s="359"/>
      <c r="J731" s="359"/>
      <c r="K731" s="360"/>
      <c r="L731" s="364"/>
    </row>
    <row r="732" ht="39.75" customHeight="1" spans="1:12">
      <c r="A732" s="314">
        <v>12.29</v>
      </c>
      <c r="B732" s="227" t="s">
        <v>980</v>
      </c>
      <c r="C732" s="417"/>
      <c r="D732" s="311">
        <v>11.1</v>
      </c>
      <c r="E732" s="312">
        <v>0.9581</v>
      </c>
      <c r="F732" s="311">
        <v>1</v>
      </c>
      <c r="G732" s="313">
        <v>11.6</v>
      </c>
      <c r="H732" s="306">
        <f t="shared" ref="H732:H737" si="990">ROUND(D732*100*F732*250*100/50/E732/G732/1000,2)</f>
        <v>49.94</v>
      </c>
      <c r="I732" s="354">
        <f t="shared" ref="I732" si="991">ROUND((H732+H733)/2,1)</f>
        <v>49.7</v>
      </c>
      <c r="J732" s="354">
        <f t="shared" ref="J732" si="992">(H732-H733)*100/I732</f>
        <v>0.905432595573432</v>
      </c>
      <c r="K732" s="361" t="s">
        <v>150</v>
      </c>
      <c r="L732" s="363">
        <f t="shared" ref="L732" si="993">H733-H732</f>
        <v>-0.449999999999996</v>
      </c>
    </row>
    <row r="733" ht="20.25" spans="2:12">
      <c r="B733" s="227"/>
      <c r="C733" s="418"/>
      <c r="D733" s="311">
        <v>11.1</v>
      </c>
      <c r="E733" s="312">
        <v>0.8831</v>
      </c>
      <c r="F733" s="311">
        <v>1</v>
      </c>
      <c r="G733" s="313">
        <v>12.7</v>
      </c>
      <c r="H733" s="306">
        <f t="shared" si="990"/>
        <v>49.49</v>
      </c>
      <c r="I733" s="359"/>
      <c r="J733" s="359"/>
      <c r="K733" s="360"/>
      <c r="L733" s="364"/>
    </row>
    <row r="734" ht="20.25" spans="2:12">
      <c r="B734" s="227" t="s">
        <v>981</v>
      </c>
      <c r="C734" s="417"/>
      <c r="D734" s="311">
        <v>11.1</v>
      </c>
      <c r="E734" s="312">
        <v>2.4733</v>
      </c>
      <c r="F734" s="311">
        <v>2</v>
      </c>
      <c r="G734" s="313">
        <v>11.2</v>
      </c>
      <c r="H734" s="306">
        <f t="shared" si="990"/>
        <v>40.07</v>
      </c>
      <c r="I734" s="354">
        <f t="shared" ref="I734" si="994">ROUND((H734+H735)/2,1)</f>
        <v>39.8</v>
      </c>
      <c r="J734" s="354">
        <f t="shared" ref="J734" si="995">(H734-H735)*100/I734</f>
        <v>1.13065326633167</v>
      </c>
      <c r="K734" s="361" t="s">
        <v>150</v>
      </c>
      <c r="L734" s="363">
        <f t="shared" ref="L734" si="996">H735-H734</f>
        <v>-0.450000000000003</v>
      </c>
    </row>
    <row r="735" ht="20.25" spans="2:12">
      <c r="B735" s="227"/>
      <c r="C735" s="418"/>
      <c r="D735" s="311">
        <v>11.1</v>
      </c>
      <c r="E735" s="312">
        <v>2.5017</v>
      </c>
      <c r="F735" s="311">
        <v>2</v>
      </c>
      <c r="G735" s="313">
        <v>11.2</v>
      </c>
      <c r="H735" s="306">
        <f t="shared" si="990"/>
        <v>39.62</v>
      </c>
      <c r="I735" s="359"/>
      <c r="J735" s="359"/>
      <c r="K735" s="360"/>
      <c r="L735" s="364"/>
    </row>
    <row r="736" ht="20.25" spans="2:12">
      <c r="B736" s="227" t="s">
        <v>982</v>
      </c>
      <c r="C736" s="417"/>
      <c r="D736" s="311">
        <v>11.1</v>
      </c>
      <c r="E736" s="312">
        <v>2.1865</v>
      </c>
      <c r="F736" s="311">
        <v>1</v>
      </c>
      <c r="G736" s="313">
        <v>10.85</v>
      </c>
      <c r="H736" s="306">
        <f t="shared" si="990"/>
        <v>23.39</v>
      </c>
      <c r="I736" s="354">
        <f t="shared" ref="I736" si="997">ROUND((H736+H737)/2,1)</f>
        <v>23.7</v>
      </c>
      <c r="J736" s="354">
        <f t="shared" ref="J736" si="998">(H736-H737)*100/I736</f>
        <v>-2.9957805907173</v>
      </c>
      <c r="K736" s="361" t="s">
        <v>150</v>
      </c>
      <c r="L736" s="363">
        <f t="shared" ref="L736" si="999">H737-H736</f>
        <v>0.710000000000001</v>
      </c>
    </row>
    <row r="737" ht="20.25" spans="2:12">
      <c r="B737" s="227"/>
      <c r="C737" s="418"/>
      <c r="D737" s="311">
        <v>11.1</v>
      </c>
      <c r="E737" s="312">
        <v>2.3987</v>
      </c>
      <c r="F737" s="311">
        <v>1</v>
      </c>
      <c r="G737" s="313">
        <v>9.6</v>
      </c>
      <c r="H737" s="306">
        <f t="shared" si="990"/>
        <v>24.1</v>
      </c>
      <c r="I737" s="359"/>
      <c r="J737" s="359"/>
      <c r="K737" s="360"/>
      <c r="L737" s="364"/>
    </row>
    <row r="738" ht="20.25" spans="1:12">
      <c r="A738" s="314">
        <v>1.6</v>
      </c>
      <c r="B738" s="227" t="s">
        <v>983</v>
      </c>
      <c r="C738" s="417"/>
      <c r="D738" s="311">
        <v>11.1</v>
      </c>
      <c r="E738" s="312">
        <v>5.0107</v>
      </c>
      <c r="F738" s="311">
        <v>2</v>
      </c>
      <c r="G738" s="313">
        <v>8.45</v>
      </c>
      <c r="H738" s="306">
        <f t="shared" ref="H738:H739" si="1000">ROUND(D738*100*F738*250*100/50/E738/G738/1000,2)</f>
        <v>26.22</v>
      </c>
      <c r="I738" s="354">
        <f t="shared" ref="I738" si="1001">ROUND((H738+H739)/2,1)</f>
        <v>26.4</v>
      </c>
      <c r="J738" s="354">
        <f t="shared" ref="J738" si="1002">(H738-H739)*100/I738</f>
        <v>-0.984848484848491</v>
      </c>
      <c r="K738" s="361" t="s">
        <v>150</v>
      </c>
      <c r="L738" s="363">
        <f t="shared" ref="L738" si="1003">H739-H738</f>
        <v>0.260000000000002</v>
      </c>
    </row>
    <row r="739" ht="20.25" spans="2:12">
      <c r="B739" s="227"/>
      <c r="C739" s="418"/>
      <c r="D739" s="311">
        <v>11.1</v>
      </c>
      <c r="E739" s="312">
        <v>5.2069</v>
      </c>
      <c r="F739" s="311">
        <v>2</v>
      </c>
      <c r="G739" s="313">
        <v>8.05</v>
      </c>
      <c r="H739" s="306">
        <f t="shared" si="1000"/>
        <v>26.48</v>
      </c>
      <c r="I739" s="359"/>
      <c r="J739" s="359"/>
      <c r="K739" s="360"/>
      <c r="L739" s="364"/>
    </row>
    <row r="740" ht="20.25" spans="1:12">
      <c r="A740" s="314">
        <v>1.12</v>
      </c>
      <c r="B740" s="227" t="s">
        <v>984</v>
      </c>
      <c r="C740" s="417"/>
      <c r="D740" s="311">
        <v>11.1</v>
      </c>
      <c r="E740" s="312">
        <v>2.4445</v>
      </c>
      <c r="F740" s="311">
        <v>1</v>
      </c>
      <c r="G740" s="313">
        <v>10.25</v>
      </c>
      <c r="H740" s="306">
        <f t="shared" ref="H740:H743" si="1004">ROUND(D740*100*F740*250*100/50/E740/G740/1000,2)</f>
        <v>22.15</v>
      </c>
      <c r="I740" s="354">
        <f t="shared" ref="I740" si="1005">ROUND((H740+H741)/2,1)</f>
        <v>22.1</v>
      </c>
      <c r="J740" s="354">
        <f t="shared" ref="J740" si="1006">(H740-H741)*100/I740</f>
        <v>0.85972850678732</v>
      </c>
      <c r="K740" s="361" t="s">
        <v>150</v>
      </c>
      <c r="L740" s="363">
        <f t="shared" ref="L740" si="1007">H741-H740</f>
        <v>-0.189999999999998</v>
      </c>
    </row>
    <row r="741" ht="36.75" customHeight="1" spans="2:12">
      <c r="B741" s="227"/>
      <c r="C741" s="418"/>
      <c r="D741" s="311">
        <v>11.1</v>
      </c>
      <c r="E741" s="312">
        <v>2.5018</v>
      </c>
      <c r="F741" s="311">
        <v>1</v>
      </c>
      <c r="G741" s="313">
        <v>10.1</v>
      </c>
      <c r="H741" s="306">
        <f t="shared" si="1004"/>
        <v>21.96</v>
      </c>
      <c r="I741" s="359"/>
      <c r="J741" s="359"/>
      <c r="K741" s="360"/>
      <c r="L741" s="364"/>
    </row>
    <row r="742" ht="20.25" spans="2:12">
      <c r="B742" s="227" t="s">
        <v>985</v>
      </c>
      <c r="C742" s="417"/>
      <c r="D742" s="311">
        <v>11.1</v>
      </c>
      <c r="E742" s="312">
        <v>0.996</v>
      </c>
      <c r="F742" s="311">
        <v>1</v>
      </c>
      <c r="G742" s="313">
        <v>7</v>
      </c>
      <c r="H742" s="306">
        <f t="shared" si="1004"/>
        <v>79.6</v>
      </c>
      <c r="I742" s="354">
        <f t="shared" ref="I742" si="1008">ROUND((H742+H743)/2,1)</f>
        <v>79</v>
      </c>
      <c r="J742" s="354">
        <f t="shared" ref="J742" si="1009">(H742-H743)*100/I742</f>
        <v>1.63291139240505</v>
      </c>
      <c r="K742" s="361" t="s">
        <v>150</v>
      </c>
      <c r="L742" s="363">
        <f t="shared" ref="L742" si="1010">H743-H742</f>
        <v>-1.28999999999999</v>
      </c>
    </row>
    <row r="743" ht="20.25" spans="2:12">
      <c r="B743" s="227"/>
      <c r="C743" s="418"/>
      <c r="D743" s="311">
        <v>11.1</v>
      </c>
      <c r="E743" s="312">
        <v>0.8591</v>
      </c>
      <c r="F743" s="311">
        <v>1</v>
      </c>
      <c r="G743" s="313">
        <v>8.25</v>
      </c>
      <c r="H743" s="306">
        <f t="shared" si="1004"/>
        <v>78.31</v>
      </c>
      <c r="I743" s="359"/>
      <c r="J743" s="359"/>
      <c r="K743" s="360"/>
      <c r="L743" s="364"/>
    </row>
    <row r="744" ht="20.25" spans="1:12">
      <c r="A744" s="314">
        <v>1.15</v>
      </c>
      <c r="B744" s="419" t="s">
        <v>986</v>
      </c>
      <c r="C744" s="417"/>
      <c r="D744" s="311">
        <v>11.1</v>
      </c>
      <c r="E744" s="312">
        <v>1.8069</v>
      </c>
      <c r="F744" s="311">
        <v>1</v>
      </c>
      <c r="G744" s="313">
        <v>13.9</v>
      </c>
      <c r="H744" s="306">
        <f t="shared" ref="H744:H745" si="1011">ROUND(D744*100*F744*250*100/50/E744/G744/1000,2)</f>
        <v>22.1</v>
      </c>
      <c r="I744" s="354">
        <f t="shared" ref="I744" si="1012">ROUND((H744+H745)/2,1)</f>
        <v>22.1</v>
      </c>
      <c r="J744" s="354">
        <f t="shared" ref="J744" si="1013">(H744-H745)*100/I744</f>
        <v>0.361990950226253</v>
      </c>
      <c r="K744" s="361" t="s">
        <v>150</v>
      </c>
      <c r="L744" s="363">
        <f t="shared" ref="L744" si="1014">H745-H744</f>
        <v>-0.0800000000000018</v>
      </c>
    </row>
    <row r="745" ht="20.25" spans="2:12">
      <c r="B745" s="227"/>
      <c r="C745" s="418"/>
      <c r="D745" s="311">
        <v>11.1</v>
      </c>
      <c r="E745" s="312">
        <v>2.3022</v>
      </c>
      <c r="F745" s="311">
        <v>1</v>
      </c>
      <c r="G745" s="313">
        <v>10.95</v>
      </c>
      <c r="H745" s="306">
        <f t="shared" si="1011"/>
        <v>22.02</v>
      </c>
      <c r="I745" s="359"/>
      <c r="J745" s="359"/>
      <c r="K745" s="360"/>
      <c r="L745" s="364"/>
    </row>
    <row r="746" ht="20.25" spans="2:12">
      <c r="B746" s="419" t="s">
        <v>987</v>
      </c>
      <c r="C746" s="417"/>
      <c r="D746" s="311">
        <v>11.1</v>
      </c>
      <c r="E746" s="312">
        <v>1.692</v>
      </c>
      <c r="F746" s="311">
        <v>1</v>
      </c>
      <c r="G746" s="313">
        <v>14.5</v>
      </c>
      <c r="H746" s="306">
        <f t="shared" ref="H746:H750" si="1015">ROUND(D746*100*F746*250*100/50/E746/G746/1000,2)</f>
        <v>22.62</v>
      </c>
      <c r="I746" s="354">
        <f t="shared" ref="I746" si="1016">ROUND((H746+H747)/2,1)</f>
        <v>22.6</v>
      </c>
      <c r="J746" s="354">
        <f t="shared" ref="J746" si="1017">(H746-H747)*100/I746</f>
        <v>0.17699115044249</v>
      </c>
      <c r="K746" s="361" t="s">
        <v>150</v>
      </c>
      <c r="L746" s="363">
        <f t="shared" ref="L746" si="1018">H747-H746</f>
        <v>-0.0400000000000027</v>
      </c>
    </row>
    <row r="747" ht="20.25" spans="2:12">
      <c r="B747" s="227"/>
      <c r="C747" s="418"/>
      <c r="D747" s="311">
        <v>11.1</v>
      </c>
      <c r="E747" s="312">
        <v>1.821</v>
      </c>
      <c r="F747" s="311">
        <v>1</v>
      </c>
      <c r="G747" s="313">
        <v>13.5</v>
      </c>
      <c r="H747" s="306">
        <f t="shared" si="1015"/>
        <v>22.58</v>
      </c>
      <c r="I747" s="359"/>
      <c r="J747" s="359"/>
      <c r="K747" s="360"/>
      <c r="L747" s="364"/>
    </row>
    <row r="748" ht="20.25" spans="2:12">
      <c r="B748" s="419" t="s">
        <v>988</v>
      </c>
      <c r="C748" s="417"/>
      <c r="D748" s="311">
        <v>11.1</v>
      </c>
      <c r="E748" s="312">
        <v>1.8125</v>
      </c>
      <c r="F748" s="311">
        <v>1</v>
      </c>
      <c r="G748" s="313">
        <v>14.5</v>
      </c>
      <c r="H748" s="306">
        <f t="shared" si="1015"/>
        <v>21.12</v>
      </c>
      <c r="I748" s="354">
        <f t="shared" ref="I748" si="1019">ROUND((H748+H749)/2,1)</f>
        <v>21.5</v>
      </c>
      <c r="J748" s="354">
        <f t="shared" ref="J748" si="1020">(H748-H749)*100/I748</f>
        <v>-3.30232558139534</v>
      </c>
      <c r="K748" s="361" t="s">
        <v>150</v>
      </c>
      <c r="L748" s="363">
        <f t="shared" ref="L748" si="1021">H749-H748</f>
        <v>0.709999999999997</v>
      </c>
    </row>
    <row r="749" ht="20.25" spans="2:12">
      <c r="B749" s="227"/>
      <c r="C749" s="418"/>
      <c r="D749" s="311">
        <v>11.1</v>
      </c>
      <c r="E749" s="312">
        <v>2.0178</v>
      </c>
      <c r="F749" s="311">
        <v>1</v>
      </c>
      <c r="G749" s="313">
        <v>12.6</v>
      </c>
      <c r="H749" s="306">
        <f t="shared" si="1015"/>
        <v>21.83</v>
      </c>
      <c r="I749" s="359"/>
      <c r="J749" s="359"/>
      <c r="K749" s="360"/>
      <c r="L749" s="364"/>
    </row>
    <row r="750" ht="20.25" customHeight="1" spans="1:12">
      <c r="A750" s="314">
        <v>1.16</v>
      </c>
      <c r="B750" s="419" t="s">
        <v>989</v>
      </c>
      <c r="C750" s="417"/>
      <c r="D750" s="311">
        <v>10.7</v>
      </c>
      <c r="E750" s="312">
        <v>2.7474</v>
      </c>
      <c r="F750" s="311">
        <v>1</v>
      </c>
      <c r="G750" s="313">
        <v>8.05</v>
      </c>
      <c r="H750" s="306">
        <f t="shared" si="1015"/>
        <v>24.19</v>
      </c>
      <c r="I750" s="354">
        <f t="shared" ref="I750" si="1022">ROUND((H750+H751)/2,1)</f>
        <v>24</v>
      </c>
      <c r="J750" s="354">
        <f t="shared" ref="J750" si="1023">(H750-H751)*100/I750</f>
        <v>1.37500000000001</v>
      </c>
      <c r="K750" s="361" t="s">
        <v>150</v>
      </c>
      <c r="L750" s="363">
        <f t="shared" ref="L750" si="1024">H751-H750</f>
        <v>-0.330000000000002</v>
      </c>
    </row>
    <row r="751" ht="20.25" spans="2:12">
      <c r="B751" s="227"/>
      <c r="C751" s="418"/>
      <c r="D751" s="311">
        <v>10.7</v>
      </c>
      <c r="E751" s="312">
        <v>2.5628</v>
      </c>
      <c r="F751" s="311">
        <v>1</v>
      </c>
      <c r="G751" s="313">
        <v>8.75</v>
      </c>
      <c r="H751" s="306">
        <f t="shared" ref="H751:H765" si="1025">ROUND(D751*100*F751*250*100/50/E751/G751/1000,2)</f>
        <v>23.86</v>
      </c>
      <c r="I751" s="359"/>
      <c r="J751" s="359"/>
      <c r="K751" s="360"/>
      <c r="L751" s="364"/>
    </row>
    <row r="752" ht="20.25" spans="2:12">
      <c r="B752" s="419" t="s">
        <v>990</v>
      </c>
      <c r="C752" s="417"/>
      <c r="D752" s="311">
        <v>10.7</v>
      </c>
      <c r="E752" s="312">
        <v>2.0909</v>
      </c>
      <c r="F752" s="311">
        <v>1</v>
      </c>
      <c r="G752" s="313">
        <v>9.9</v>
      </c>
      <c r="H752" s="306">
        <f t="shared" si="1025"/>
        <v>25.85</v>
      </c>
      <c r="I752" s="354">
        <f t="shared" ref="I752" si="1026">ROUND((H752+H753)/2,1)</f>
        <v>26.1</v>
      </c>
      <c r="J752" s="354">
        <f t="shared" ref="J752" si="1027">(H752-H753)*100/I752</f>
        <v>-1.8007662835249</v>
      </c>
      <c r="K752" s="361" t="s">
        <v>150</v>
      </c>
      <c r="L752" s="363">
        <f t="shared" ref="L752" si="1028">H753-H752</f>
        <v>0.469999999999999</v>
      </c>
    </row>
    <row r="753" ht="20.25" spans="2:12">
      <c r="B753" s="227"/>
      <c r="C753" s="418"/>
      <c r="D753" s="311">
        <v>10.7</v>
      </c>
      <c r="E753" s="312">
        <v>2.1066</v>
      </c>
      <c r="F753" s="311">
        <v>1</v>
      </c>
      <c r="G753" s="313">
        <v>9.65</v>
      </c>
      <c r="H753" s="306">
        <f t="shared" si="1025"/>
        <v>26.32</v>
      </c>
      <c r="I753" s="359"/>
      <c r="J753" s="359"/>
      <c r="K753" s="360"/>
      <c r="L753" s="364"/>
    </row>
    <row r="754" ht="20.25" spans="2:12">
      <c r="B754" s="419" t="s">
        <v>991</v>
      </c>
      <c r="C754" s="417"/>
      <c r="D754" s="311">
        <v>10.7</v>
      </c>
      <c r="E754" s="312">
        <v>1.75</v>
      </c>
      <c r="F754" s="311">
        <v>1</v>
      </c>
      <c r="G754" s="313">
        <v>11.5</v>
      </c>
      <c r="H754" s="306">
        <f t="shared" si="1025"/>
        <v>26.58</v>
      </c>
      <c r="I754" s="354">
        <f t="shared" ref="I754" si="1029">ROUND((H754+H755)/2,1)</f>
        <v>26.9</v>
      </c>
      <c r="J754" s="354">
        <f t="shared" ref="J754" si="1030">(H754-H755)*100/I754</f>
        <v>-2.08178438661711</v>
      </c>
      <c r="K754" s="361" t="s">
        <v>150</v>
      </c>
      <c r="L754" s="363">
        <f t="shared" ref="L754" si="1031">H755-H754</f>
        <v>0.560000000000002</v>
      </c>
    </row>
    <row r="755" ht="20.25" spans="2:12">
      <c r="B755" s="227"/>
      <c r="C755" s="418"/>
      <c r="D755" s="311">
        <v>10.7</v>
      </c>
      <c r="E755" s="312">
        <v>2.0325</v>
      </c>
      <c r="F755" s="311">
        <v>1</v>
      </c>
      <c r="G755" s="313">
        <v>9.7</v>
      </c>
      <c r="H755" s="306">
        <f t="shared" si="1025"/>
        <v>27.14</v>
      </c>
      <c r="I755" s="359"/>
      <c r="J755" s="359"/>
      <c r="K755" s="360"/>
      <c r="L755" s="364"/>
    </row>
    <row r="756" ht="20.25" spans="2:12">
      <c r="B756" s="419" t="s">
        <v>992</v>
      </c>
      <c r="C756" s="417"/>
      <c r="D756" s="311">
        <v>10.7</v>
      </c>
      <c r="E756" s="312">
        <v>2.1148</v>
      </c>
      <c r="F756" s="311">
        <v>1</v>
      </c>
      <c r="G756" s="313">
        <v>12.4</v>
      </c>
      <c r="H756" s="306">
        <f t="shared" si="1025"/>
        <v>20.4</v>
      </c>
      <c r="I756" s="354">
        <f t="shared" ref="I756" si="1032">ROUND((H756+H757)/2,1)</f>
        <v>20.7</v>
      </c>
      <c r="J756" s="354">
        <f t="shared" ref="J756" si="1033">(H756-H757)*100/I756</f>
        <v>-2.46376811594204</v>
      </c>
      <c r="K756" s="361" t="s">
        <v>150</v>
      </c>
      <c r="L756" s="363">
        <f t="shared" ref="L756" si="1034">H757-H756</f>
        <v>0.510000000000002</v>
      </c>
    </row>
    <row r="757" ht="20.25" spans="2:12">
      <c r="B757" s="227"/>
      <c r="C757" s="418"/>
      <c r="D757" s="311">
        <v>10.7</v>
      </c>
      <c r="E757" s="312">
        <v>2.3255</v>
      </c>
      <c r="F757" s="311">
        <v>1</v>
      </c>
      <c r="G757" s="313">
        <v>11</v>
      </c>
      <c r="H757" s="306">
        <f t="shared" si="1025"/>
        <v>20.91</v>
      </c>
      <c r="I757" s="359"/>
      <c r="J757" s="359"/>
      <c r="K757" s="360"/>
      <c r="L757" s="364"/>
    </row>
    <row r="758" ht="20.25" spans="2:12">
      <c r="B758" s="419" t="s">
        <v>993</v>
      </c>
      <c r="C758" s="417"/>
      <c r="D758" s="311">
        <v>10.7</v>
      </c>
      <c r="E758" s="312">
        <v>0.9715</v>
      </c>
      <c r="F758" s="311">
        <v>1</v>
      </c>
      <c r="G758" s="313">
        <v>9.6</v>
      </c>
      <c r="H758" s="306">
        <f t="shared" si="1025"/>
        <v>57.36</v>
      </c>
      <c r="I758" s="354">
        <f t="shared" ref="I758" si="1035">ROUND((H758+H759)/2,1)</f>
        <v>56.8</v>
      </c>
      <c r="J758" s="354">
        <f t="shared" ref="J758" si="1036">(H758-H759)*100/I758</f>
        <v>1.90140845070422</v>
      </c>
      <c r="K758" s="361" t="s">
        <v>150</v>
      </c>
      <c r="L758" s="363">
        <f t="shared" ref="L758" si="1037">H759-H758</f>
        <v>-1.08</v>
      </c>
    </row>
    <row r="759" ht="20.25" spans="2:12">
      <c r="B759" s="227"/>
      <c r="C759" s="418"/>
      <c r="D759" s="311">
        <v>10.7</v>
      </c>
      <c r="E759" s="312">
        <v>1.0112</v>
      </c>
      <c r="F759" s="311">
        <v>1</v>
      </c>
      <c r="G759" s="313">
        <v>9.4</v>
      </c>
      <c r="H759" s="306">
        <f t="shared" si="1025"/>
        <v>56.28</v>
      </c>
      <c r="I759" s="359"/>
      <c r="J759" s="359"/>
      <c r="K759" s="360"/>
      <c r="L759" s="364"/>
    </row>
    <row r="760" ht="20.25" spans="2:12">
      <c r="B760" s="419" t="s">
        <v>994</v>
      </c>
      <c r="C760" s="417"/>
      <c r="D760" s="311">
        <v>10.7</v>
      </c>
      <c r="E760" s="312">
        <v>1.0028</v>
      </c>
      <c r="F760" s="311">
        <v>1</v>
      </c>
      <c r="G760" s="313">
        <v>7.1</v>
      </c>
      <c r="H760" s="306">
        <f t="shared" si="1025"/>
        <v>75.14</v>
      </c>
      <c r="I760" s="354">
        <f t="shared" ref="I760" si="1038">ROUND((H760+H761)/2,1)</f>
        <v>74.9</v>
      </c>
      <c r="J760" s="354">
        <f t="shared" ref="J760" si="1039">(H760-H761)*100/I760</f>
        <v>0.614152202937241</v>
      </c>
      <c r="K760" s="361" t="s">
        <v>150</v>
      </c>
      <c r="L760" s="363">
        <f t="shared" ref="L760" si="1040">H761-H760</f>
        <v>-0.459999999999994</v>
      </c>
    </row>
    <row r="761" ht="20.25" spans="2:12">
      <c r="B761" s="227"/>
      <c r="C761" s="418"/>
      <c r="D761" s="311">
        <v>10.7</v>
      </c>
      <c r="E761" s="312">
        <v>0.9552</v>
      </c>
      <c r="F761" s="311">
        <v>1</v>
      </c>
      <c r="G761" s="313">
        <v>7.5</v>
      </c>
      <c r="H761" s="306">
        <f t="shared" si="1025"/>
        <v>74.68</v>
      </c>
      <c r="I761" s="359"/>
      <c r="J761" s="359"/>
      <c r="K761" s="360"/>
      <c r="L761" s="364"/>
    </row>
    <row r="762" ht="20.25" spans="2:12">
      <c r="B762" s="419" t="s">
        <v>995</v>
      </c>
      <c r="C762" s="417"/>
      <c r="D762" s="311">
        <v>10.7</v>
      </c>
      <c r="E762" s="312">
        <v>0.8959</v>
      </c>
      <c r="F762" s="311">
        <v>1</v>
      </c>
      <c r="G762" s="313">
        <v>10.5</v>
      </c>
      <c r="H762" s="306">
        <f t="shared" si="1025"/>
        <v>56.87</v>
      </c>
      <c r="I762" s="354">
        <f t="shared" ref="I762" si="1041">ROUND((H762+H763)/2,1)</f>
        <v>57.3</v>
      </c>
      <c r="J762" s="354">
        <f t="shared" ref="J762" si="1042">(H762-H763)*100/I762</f>
        <v>-1.44851657940664</v>
      </c>
      <c r="K762" s="361" t="s">
        <v>150</v>
      </c>
      <c r="L762" s="363">
        <f t="shared" ref="L762" si="1043">H763-H762</f>
        <v>0.830000000000005</v>
      </c>
    </row>
    <row r="763" ht="20.25" spans="2:12">
      <c r="B763" s="227"/>
      <c r="C763" s="418"/>
      <c r="D763" s="311">
        <v>10.7</v>
      </c>
      <c r="E763" s="312">
        <v>0.9658</v>
      </c>
      <c r="F763" s="311">
        <v>1</v>
      </c>
      <c r="G763" s="313">
        <v>9.6</v>
      </c>
      <c r="H763" s="306">
        <f t="shared" si="1025"/>
        <v>57.7</v>
      </c>
      <c r="I763" s="359"/>
      <c r="J763" s="359"/>
      <c r="K763" s="360"/>
      <c r="L763" s="364"/>
    </row>
    <row r="764" ht="20.25" spans="2:12">
      <c r="B764" s="419" t="s">
        <v>996</v>
      </c>
      <c r="C764" s="417"/>
      <c r="D764" s="311">
        <v>10.7</v>
      </c>
      <c r="E764" s="312">
        <v>1.021</v>
      </c>
      <c r="F764" s="311">
        <v>1</v>
      </c>
      <c r="G764" s="313">
        <v>7</v>
      </c>
      <c r="H764" s="306">
        <f t="shared" si="1025"/>
        <v>74.86</v>
      </c>
      <c r="I764" s="354">
        <f t="shared" ref="I764" si="1044">ROUND((H764+H765)/2,1)</f>
        <v>74.1</v>
      </c>
      <c r="J764" s="354">
        <f t="shared" ref="J764" si="1045">(H764-H765)*100/I764</f>
        <v>2.01079622132253</v>
      </c>
      <c r="K764" s="361" t="s">
        <v>150</v>
      </c>
      <c r="L764" s="363">
        <f t="shared" ref="L764" si="1046">H765-H764</f>
        <v>-1.48999999999999</v>
      </c>
    </row>
    <row r="765" ht="20.25" spans="2:12">
      <c r="B765" s="227"/>
      <c r="C765" s="418"/>
      <c r="D765" s="311">
        <v>10.7</v>
      </c>
      <c r="E765" s="312">
        <v>0.9172</v>
      </c>
      <c r="F765" s="311">
        <v>1</v>
      </c>
      <c r="G765" s="313">
        <v>7.95</v>
      </c>
      <c r="H765" s="306">
        <f t="shared" si="1025"/>
        <v>73.37</v>
      </c>
      <c r="I765" s="359"/>
      <c r="J765" s="359"/>
      <c r="K765" s="360"/>
      <c r="L765" s="364"/>
    </row>
    <row r="766" ht="20.25" spans="2:12">
      <c r="B766" s="419" t="s">
        <v>996</v>
      </c>
      <c r="C766" s="417"/>
      <c r="D766" s="311">
        <v>11.1</v>
      </c>
      <c r="E766" s="312">
        <v>2.4521</v>
      </c>
      <c r="F766" s="311">
        <v>1</v>
      </c>
      <c r="G766" s="313">
        <v>10</v>
      </c>
      <c r="H766" s="306">
        <f t="shared" ref="H766:H771" si="1047">ROUND(D766*100*F766*250*100/50/E766/G766/1000,2)</f>
        <v>22.63</v>
      </c>
      <c r="I766" s="354">
        <f t="shared" ref="I766" si="1048">ROUND((H766+H767)/2,1)</f>
        <v>22.6</v>
      </c>
      <c r="J766" s="354">
        <f t="shared" ref="J766" si="1049">(H766-H767)*100/I766</f>
        <v>0.530973451327422</v>
      </c>
      <c r="K766" s="361" t="s">
        <v>150</v>
      </c>
      <c r="L766" s="363">
        <f t="shared" ref="L766" si="1050">H767-H766</f>
        <v>-0.119999999999997</v>
      </c>
    </row>
    <row r="767" ht="20.25" spans="2:12">
      <c r="B767" s="227"/>
      <c r="C767" s="418"/>
      <c r="D767" s="311">
        <v>11.1</v>
      </c>
      <c r="E767" s="312">
        <v>2.4528</v>
      </c>
      <c r="F767" s="311">
        <v>1</v>
      </c>
      <c r="G767" s="313">
        <v>10.05</v>
      </c>
      <c r="H767" s="306">
        <f t="shared" si="1047"/>
        <v>22.51</v>
      </c>
      <c r="I767" s="359"/>
      <c r="J767" s="359"/>
      <c r="K767" s="360"/>
      <c r="L767" s="364"/>
    </row>
    <row r="768" ht="20.25" spans="1:12">
      <c r="A768" s="314">
        <v>1.22</v>
      </c>
      <c r="B768" s="419" t="s">
        <v>997</v>
      </c>
      <c r="C768" s="417"/>
      <c r="D768" s="311">
        <v>11</v>
      </c>
      <c r="E768" s="312">
        <v>2.9363</v>
      </c>
      <c r="F768" s="311">
        <v>1</v>
      </c>
      <c r="G768" s="313">
        <v>11.2</v>
      </c>
      <c r="H768" s="306">
        <f t="shared" si="1047"/>
        <v>16.72</v>
      </c>
      <c r="I768" s="354">
        <f t="shared" ref="I768" si="1051">ROUND((H768+H769)/2,1)</f>
        <v>16.6</v>
      </c>
      <c r="J768" s="354">
        <f t="shared" ref="J768" si="1052">(H768-H769)*100/I768</f>
        <v>1.80722891566263</v>
      </c>
      <c r="K768" s="361" t="s">
        <v>150</v>
      </c>
      <c r="L768" s="363">
        <f t="shared" ref="L768" si="1053">H769-H768</f>
        <v>-0.299999999999997</v>
      </c>
    </row>
    <row r="769" ht="20.25" spans="2:12">
      <c r="B769" s="227"/>
      <c r="C769" s="418"/>
      <c r="D769" s="311">
        <v>11</v>
      </c>
      <c r="E769" s="312">
        <v>3.5264</v>
      </c>
      <c r="F769" s="311">
        <v>1</v>
      </c>
      <c r="G769" s="313">
        <v>9.5</v>
      </c>
      <c r="H769" s="306">
        <f t="shared" si="1047"/>
        <v>16.42</v>
      </c>
      <c r="I769" s="359"/>
      <c r="J769" s="359"/>
      <c r="K769" s="360"/>
      <c r="L769" s="364"/>
    </row>
    <row r="770" ht="20.25" spans="2:12">
      <c r="B770" s="419" t="s">
        <v>998</v>
      </c>
      <c r="C770" s="417"/>
      <c r="D770" s="311">
        <v>11</v>
      </c>
      <c r="E770" s="312">
        <v>3.5628</v>
      </c>
      <c r="F770" s="311">
        <v>1</v>
      </c>
      <c r="G770" s="313">
        <v>11.6</v>
      </c>
      <c r="H770" s="306">
        <f t="shared" si="1047"/>
        <v>13.31</v>
      </c>
      <c r="I770" s="354">
        <f t="shared" ref="I770" si="1054">ROUND((H770+H771)/2,1)</f>
        <v>13.5</v>
      </c>
      <c r="J770" s="354">
        <f t="shared" ref="J770" si="1055">(H770-H771)*100/I770</f>
        <v>-2.44444444444444</v>
      </c>
      <c r="K770" s="361" t="s">
        <v>150</v>
      </c>
      <c r="L770" s="363">
        <f t="shared" ref="L770" si="1056">H771-H770</f>
        <v>0.33</v>
      </c>
    </row>
    <row r="771" ht="20.25" spans="2:12">
      <c r="B771" s="227"/>
      <c r="C771" s="418"/>
      <c r="D771" s="311">
        <v>11</v>
      </c>
      <c r="E771" s="312">
        <v>3.2655</v>
      </c>
      <c r="F771" s="311">
        <v>1</v>
      </c>
      <c r="G771" s="313">
        <v>12.35</v>
      </c>
      <c r="H771" s="306">
        <f t="shared" si="1047"/>
        <v>13.64</v>
      </c>
      <c r="I771" s="359"/>
      <c r="J771" s="359"/>
      <c r="K771" s="360"/>
      <c r="L771" s="364"/>
    </row>
    <row r="772" ht="20.25" spans="1:12">
      <c r="A772" s="314">
        <v>1.27</v>
      </c>
      <c r="B772" s="419" t="s">
        <v>999</v>
      </c>
      <c r="C772" s="417"/>
      <c r="D772" s="311">
        <v>11.1</v>
      </c>
      <c r="E772" s="312">
        <v>0.9365</v>
      </c>
      <c r="F772" s="311">
        <v>1</v>
      </c>
      <c r="G772" s="313">
        <v>9.1</v>
      </c>
      <c r="H772" s="306">
        <f t="shared" ref="H772:H775" si="1057">ROUND(D772*100*F772*250*100/50/E772/G772/1000,2)</f>
        <v>65.12</v>
      </c>
      <c r="I772" s="354">
        <f t="shared" ref="I772" si="1058">ROUND((H772+H773)/2,1)</f>
        <v>65.5</v>
      </c>
      <c r="J772" s="354">
        <f t="shared" ref="J772" si="1059">(H772-H773)*100/I772</f>
        <v>-1.03816793893129</v>
      </c>
      <c r="K772" s="361" t="s">
        <v>150</v>
      </c>
      <c r="L772" s="363">
        <f t="shared" ref="L772" si="1060">H773-H772</f>
        <v>0.679999999999993</v>
      </c>
    </row>
    <row r="773" ht="20.25" spans="2:12">
      <c r="B773" s="227"/>
      <c r="C773" s="418"/>
      <c r="D773" s="311">
        <v>11.1</v>
      </c>
      <c r="E773" s="312">
        <v>0.8695</v>
      </c>
      <c r="F773" s="311">
        <v>1</v>
      </c>
      <c r="G773" s="313">
        <v>9.7</v>
      </c>
      <c r="H773" s="306">
        <f t="shared" si="1057"/>
        <v>65.8</v>
      </c>
      <c r="I773" s="359"/>
      <c r="J773" s="359"/>
      <c r="K773" s="360"/>
      <c r="L773" s="364"/>
    </row>
    <row r="774" ht="20.25" spans="2:12">
      <c r="B774" s="419" t="s">
        <v>1000</v>
      </c>
      <c r="C774" s="417"/>
      <c r="D774" s="311">
        <v>11.1</v>
      </c>
      <c r="E774" s="312">
        <v>0.7011</v>
      </c>
      <c r="F774" s="311">
        <v>1</v>
      </c>
      <c r="G774" s="313">
        <v>11.25</v>
      </c>
      <c r="H774" s="306">
        <f t="shared" si="1057"/>
        <v>70.37</v>
      </c>
      <c r="I774" s="354">
        <f t="shared" ref="I774" si="1061">ROUND((H774+H775)/2,1)</f>
        <v>70.5</v>
      </c>
      <c r="J774" s="354">
        <f t="shared" ref="J774" si="1062">(H774-H775)*100/I774</f>
        <v>-0.25531914893616</v>
      </c>
      <c r="K774" s="361" t="s">
        <v>150</v>
      </c>
      <c r="L774" s="363">
        <f t="shared" ref="L774" si="1063">H775-H774</f>
        <v>0.179999999999993</v>
      </c>
    </row>
    <row r="775" ht="20.25" spans="2:12">
      <c r="B775" s="227"/>
      <c r="C775" s="418"/>
      <c r="D775" s="311">
        <v>11.1</v>
      </c>
      <c r="E775" s="312">
        <v>0.8027</v>
      </c>
      <c r="F775" s="311">
        <v>1</v>
      </c>
      <c r="G775" s="313">
        <v>9.8</v>
      </c>
      <c r="H775" s="306">
        <f t="shared" si="1057"/>
        <v>70.55</v>
      </c>
      <c r="I775" s="359"/>
      <c r="J775" s="359"/>
      <c r="K775" s="360"/>
      <c r="L775" s="364"/>
    </row>
    <row r="776" ht="18.75" customHeight="1" spans="2:12">
      <c r="B776" s="419" t="s">
        <v>1001</v>
      </c>
      <c r="C776" s="417"/>
      <c r="D776" s="311">
        <v>11.1</v>
      </c>
      <c r="E776" s="312">
        <v>2.5885</v>
      </c>
      <c r="F776" s="311">
        <v>2</v>
      </c>
      <c r="G776" s="313">
        <v>10.4</v>
      </c>
      <c r="H776" s="306">
        <f t="shared" ref="H776:H783" si="1064">ROUND(D776*100*F776*250*100/50/E776/G776/1000,2)</f>
        <v>41.23</v>
      </c>
      <c r="I776" s="354">
        <f t="shared" ref="I776" si="1065">ROUND((H776+H777)/2,1)</f>
        <v>41.5</v>
      </c>
      <c r="J776" s="354">
        <f t="shared" ref="J776" si="1066">(H776-H777)*100/I776</f>
        <v>-1.44578313253012</v>
      </c>
      <c r="K776" s="361" t="s">
        <v>150</v>
      </c>
      <c r="L776" s="363">
        <f t="shared" ref="L776" si="1067">H777-H776</f>
        <v>0.600000000000001</v>
      </c>
    </row>
    <row r="777" ht="20.25" spans="2:12">
      <c r="B777" s="227"/>
      <c r="C777" s="418"/>
      <c r="D777" s="311">
        <v>11.1</v>
      </c>
      <c r="E777" s="312">
        <v>2.6014</v>
      </c>
      <c r="F777" s="311">
        <v>2</v>
      </c>
      <c r="G777" s="313">
        <v>10.2</v>
      </c>
      <c r="H777" s="306">
        <f t="shared" si="1064"/>
        <v>41.83</v>
      </c>
      <c r="I777" s="359"/>
      <c r="J777" s="359"/>
      <c r="K777" s="360"/>
      <c r="L777" s="364"/>
    </row>
    <row r="778" ht="20.25" spans="1:12">
      <c r="A778" s="314">
        <v>1.3</v>
      </c>
      <c r="B778" s="419" t="s">
        <v>1002</v>
      </c>
      <c r="C778" s="417"/>
      <c r="D778" s="311">
        <v>11.1</v>
      </c>
      <c r="E778" s="312">
        <v>2.5965</v>
      </c>
      <c r="F778" s="311">
        <v>1</v>
      </c>
      <c r="G778" s="313">
        <v>8</v>
      </c>
      <c r="H778" s="306">
        <f t="shared" si="1064"/>
        <v>26.72</v>
      </c>
      <c r="I778" s="354">
        <f t="shared" ref="I778" si="1068">ROUND((H778+H779)/2,1)</f>
        <v>26.7</v>
      </c>
      <c r="J778" s="354">
        <f t="shared" ref="J778" si="1069">(H778-H779)*100/I778</f>
        <v>-0.149812734082407</v>
      </c>
      <c r="K778" s="361" t="s">
        <v>150</v>
      </c>
      <c r="L778" s="363">
        <f t="shared" ref="L778" si="1070">H779-H778</f>
        <v>0.0400000000000027</v>
      </c>
    </row>
    <row r="779" ht="20.25" spans="2:12">
      <c r="B779" s="227"/>
      <c r="C779" s="418"/>
      <c r="D779" s="311">
        <v>11.1</v>
      </c>
      <c r="E779" s="312">
        <v>2.6592</v>
      </c>
      <c r="F779" s="311">
        <v>1</v>
      </c>
      <c r="G779" s="313">
        <v>7.8</v>
      </c>
      <c r="H779" s="306">
        <f t="shared" si="1064"/>
        <v>26.76</v>
      </c>
      <c r="I779" s="359"/>
      <c r="J779" s="359"/>
      <c r="K779" s="360"/>
      <c r="L779" s="364"/>
    </row>
    <row r="780" ht="20.25" spans="2:12">
      <c r="B780" s="419" t="s">
        <v>1003</v>
      </c>
      <c r="C780" s="417"/>
      <c r="D780" s="311">
        <v>11.1</v>
      </c>
      <c r="E780" s="312">
        <v>2.8154</v>
      </c>
      <c r="F780" s="311">
        <v>1</v>
      </c>
      <c r="G780" s="313">
        <v>7.2</v>
      </c>
      <c r="H780" s="306">
        <f t="shared" si="1064"/>
        <v>27.38</v>
      </c>
      <c r="I780" s="354">
        <f t="shared" ref="I780" si="1071">ROUND((H780+H781)/2,1)</f>
        <v>27.5</v>
      </c>
      <c r="J780" s="354">
        <f t="shared" ref="J780" si="1072">(H780-H781)*100/I780</f>
        <v>-0.763636363636367</v>
      </c>
      <c r="K780" s="361" t="s">
        <v>150</v>
      </c>
      <c r="L780" s="363">
        <f t="shared" ref="L780" si="1073">H781-H780</f>
        <v>0.210000000000001</v>
      </c>
    </row>
    <row r="781" ht="20.25" spans="2:12">
      <c r="B781" s="227"/>
      <c r="C781" s="418"/>
      <c r="D781" s="311">
        <v>11.1</v>
      </c>
      <c r="E781" s="312">
        <v>2.5144</v>
      </c>
      <c r="F781" s="311">
        <v>1</v>
      </c>
      <c r="G781" s="313">
        <v>8</v>
      </c>
      <c r="H781" s="306">
        <f t="shared" si="1064"/>
        <v>27.59</v>
      </c>
      <c r="I781" s="359"/>
      <c r="J781" s="359"/>
      <c r="K781" s="360"/>
      <c r="L781" s="364"/>
    </row>
    <row r="782" ht="20.25" spans="2:12">
      <c r="B782" s="419" t="s">
        <v>1004</v>
      </c>
      <c r="C782" s="417"/>
      <c r="D782" s="311">
        <v>11.1</v>
      </c>
      <c r="E782" s="312">
        <v>5.0202</v>
      </c>
      <c r="F782" s="311">
        <v>2.5</v>
      </c>
      <c r="G782" s="313">
        <v>8.5</v>
      </c>
      <c r="H782" s="306">
        <f t="shared" si="1064"/>
        <v>32.52</v>
      </c>
      <c r="I782" s="354">
        <f t="shared" ref="I782" si="1074">ROUND((H782+H783)/2,1)</f>
        <v>32.6</v>
      </c>
      <c r="J782" s="354">
        <f t="shared" ref="J782" si="1075">(H782-H783)*100/I782</f>
        <v>-0.306748466257651</v>
      </c>
      <c r="K782" s="361" t="s">
        <v>150</v>
      </c>
      <c r="L782" s="363">
        <f t="shared" ref="L782" si="1076">H783-H782</f>
        <v>0.0999999999999943</v>
      </c>
    </row>
    <row r="783" ht="20.25" spans="2:12">
      <c r="B783" s="227"/>
      <c r="C783" s="418"/>
      <c r="D783" s="311">
        <v>11.1</v>
      </c>
      <c r="E783" s="312">
        <v>4.5255</v>
      </c>
      <c r="F783" s="311">
        <v>2.5</v>
      </c>
      <c r="G783" s="313">
        <v>9.4</v>
      </c>
      <c r="H783" s="306">
        <f t="shared" si="1064"/>
        <v>32.62</v>
      </c>
      <c r="I783" s="359"/>
      <c r="J783" s="359"/>
      <c r="K783" s="360"/>
      <c r="L783" s="364"/>
    </row>
    <row r="784" ht="20.25" spans="1:12">
      <c r="A784" s="314">
        <v>2.5</v>
      </c>
      <c r="B784" s="419" t="s">
        <v>1005</v>
      </c>
      <c r="C784" s="417"/>
      <c r="D784" s="311">
        <v>11</v>
      </c>
      <c r="E784" s="312">
        <v>0.8863</v>
      </c>
      <c r="F784" s="311">
        <v>1</v>
      </c>
      <c r="G784" s="313">
        <v>10.8</v>
      </c>
      <c r="H784" s="306">
        <f t="shared" ref="H784:H785" si="1077">ROUND(D784*100*F784*250*100/50/E784/G784/1000,2)</f>
        <v>57.46</v>
      </c>
      <c r="I784" s="354">
        <f t="shared" ref="I784" si="1078">ROUND((H784+H785)/2,1)</f>
        <v>57.4</v>
      </c>
      <c r="J784" s="354">
        <f t="shared" ref="J784" si="1079">(H784-H785)*100/I784</f>
        <v>0.313588850174216</v>
      </c>
      <c r="K784" s="361" t="s">
        <v>150</v>
      </c>
      <c r="L784" s="363">
        <f t="shared" ref="L784" si="1080">H785-H784</f>
        <v>-0.18</v>
      </c>
    </row>
    <row r="785" ht="20.25" spans="2:12">
      <c r="B785" s="227"/>
      <c r="C785" s="418"/>
      <c r="D785" s="311">
        <v>11</v>
      </c>
      <c r="E785" s="312">
        <v>0.9058</v>
      </c>
      <c r="F785" s="311">
        <v>1</v>
      </c>
      <c r="G785" s="313">
        <v>10.6</v>
      </c>
      <c r="H785" s="306">
        <f t="shared" si="1077"/>
        <v>57.28</v>
      </c>
      <c r="I785" s="359"/>
      <c r="J785" s="359"/>
      <c r="K785" s="360"/>
      <c r="L785" s="364"/>
    </row>
    <row r="786" ht="20.25" spans="2:12">
      <c r="B786" s="419" t="s">
        <v>1006</v>
      </c>
      <c r="C786" s="417"/>
      <c r="D786" s="311">
        <v>11</v>
      </c>
      <c r="E786" s="312">
        <v>0.9518</v>
      </c>
      <c r="F786" s="311">
        <v>1</v>
      </c>
      <c r="G786" s="313">
        <v>11.4</v>
      </c>
      <c r="H786" s="306">
        <f t="shared" ref="H786:H799" si="1081">ROUND(D786*100*F786*250*100/50/E786/G786/1000,2)</f>
        <v>50.69</v>
      </c>
      <c r="I786" s="354">
        <f t="shared" ref="I786" si="1082">ROUND((H786+H787)/2,1)</f>
        <v>50.7</v>
      </c>
      <c r="J786" s="354">
        <f t="shared" ref="J786" si="1083">(H786-H787)*100/I786</f>
        <v>-0.0788954635108464</v>
      </c>
      <c r="K786" s="361" t="s">
        <v>883</v>
      </c>
      <c r="L786" s="363">
        <f t="shared" ref="L786" si="1084">H787-H786</f>
        <v>0.0399999999999991</v>
      </c>
    </row>
    <row r="787" ht="20.25" spans="2:12">
      <c r="B787" s="227"/>
      <c r="C787" s="418"/>
      <c r="D787" s="311">
        <v>11</v>
      </c>
      <c r="E787" s="312">
        <v>1.0325</v>
      </c>
      <c r="F787" s="311">
        <v>1</v>
      </c>
      <c r="G787" s="313">
        <v>10.5</v>
      </c>
      <c r="H787" s="306">
        <f t="shared" si="1081"/>
        <v>50.73</v>
      </c>
      <c r="I787" s="359"/>
      <c r="J787" s="359"/>
      <c r="K787" s="360"/>
      <c r="L787" s="364"/>
    </row>
    <row r="788" ht="20.25" spans="2:12">
      <c r="B788" s="419" t="s">
        <v>1007</v>
      </c>
      <c r="C788" s="417"/>
      <c r="D788" s="311">
        <v>11</v>
      </c>
      <c r="E788" s="312">
        <v>1.7949</v>
      </c>
      <c r="F788" s="311">
        <v>1</v>
      </c>
      <c r="G788" s="313">
        <v>6.9</v>
      </c>
      <c r="H788" s="306">
        <f t="shared" si="1081"/>
        <v>44.41</v>
      </c>
      <c r="I788" s="354">
        <f t="shared" ref="I788" si="1085">ROUND((H788+H789)/2,1)</f>
        <v>44.1</v>
      </c>
      <c r="J788" s="354">
        <f t="shared" ref="J788" si="1086">(H788-H789)*100/I788</f>
        <v>1.51927437641722</v>
      </c>
      <c r="K788" s="361" t="s">
        <v>885</v>
      </c>
      <c r="L788" s="363">
        <f t="shared" ref="L788" si="1087">H789-H788</f>
        <v>-0.669999999999995</v>
      </c>
    </row>
    <row r="789" ht="20.25" spans="2:12">
      <c r="B789" s="227"/>
      <c r="C789" s="418"/>
      <c r="D789" s="311">
        <v>11</v>
      </c>
      <c r="E789" s="312">
        <v>1.02221</v>
      </c>
      <c r="F789" s="311">
        <v>1</v>
      </c>
      <c r="G789" s="313">
        <v>12.3</v>
      </c>
      <c r="H789" s="306">
        <f t="shared" si="1081"/>
        <v>43.74</v>
      </c>
      <c r="I789" s="359"/>
      <c r="J789" s="359"/>
      <c r="K789" s="360"/>
      <c r="L789" s="364"/>
    </row>
    <row r="790" ht="20.25" spans="2:12">
      <c r="B790" s="419" t="s">
        <v>1008</v>
      </c>
      <c r="C790" s="417"/>
      <c r="D790" s="311">
        <v>11</v>
      </c>
      <c r="E790" s="312">
        <v>1.8051</v>
      </c>
      <c r="F790" s="311">
        <v>2</v>
      </c>
      <c r="G790" s="313">
        <v>11</v>
      </c>
      <c r="H790" s="306">
        <f t="shared" si="1081"/>
        <v>55.4</v>
      </c>
      <c r="I790" s="354">
        <f t="shared" ref="I790" si="1088">ROUND((H790+H791)/2,1)</f>
        <v>55.2</v>
      </c>
      <c r="J790" s="354">
        <f t="shared" ref="J790" si="1089">(H790-H791)*100/I790</f>
        <v>0.561594202898542</v>
      </c>
      <c r="K790" s="361" t="s">
        <v>887</v>
      </c>
      <c r="L790" s="363">
        <f t="shared" ref="L790" si="1090">H791-H790</f>
        <v>-0.309999999999995</v>
      </c>
    </row>
    <row r="791" ht="20.25" spans="2:12">
      <c r="B791" s="227"/>
      <c r="C791" s="418"/>
      <c r="D791" s="311">
        <v>11</v>
      </c>
      <c r="E791" s="312">
        <v>1.7987</v>
      </c>
      <c r="F791" s="311">
        <v>2</v>
      </c>
      <c r="G791" s="313">
        <v>11.1</v>
      </c>
      <c r="H791" s="306">
        <f t="shared" si="1081"/>
        <v>55.09</v>
      </c>
      <c r="I791" s="359"/>
      <c r="J791" s="359"/>
      <c r="K791" s="360"/>
      <c r="L791" s="364"/>
    </row>
    <row r="792" ht="20.25" spans="2:12">
      <c r="B792" s="419" t="s">
        <v>1009</v>
      </c>
      <c r="C792" s="417"/>
      <c r="D792" s="311">
        <v>11</v>
      </c>
      <c r="E792" s="312">
        <v>1.6538</v>
      </c>
      <c r="F792" s="311">
        <v>2</v>
      </c>
      <c r="G792" s="313"/>
      <c r="H792" s="306" t="e">
        <f t="shared" si="1081"/>
        <v>#DIV/0!</v>
      </c>
      <c r="I792" s="354" t="e">
        <f t="shared" ref="I792" si="1091">ROUND((H792+H793)/2,1)</f>
        <v>#DIV/0!</v>
      </c>
      <c r="J792" s="354" t="e">
        <f t="shared" ref="J792" si="1092">(H792-H793)*100/I792</f>
        <v>#DIV/0!</v>
      </c>
      <c r="K792" s="361" t="s">
        <v>891</v>
      </c>
      <c r="L792" s="363" t="e">
        <f t="shared" ref="L792" si="1093">H793-H792</f>
        <v>#DIV/0!</v>
      </c>
    </row>
    <row r="793" ht="20.25" spans="2:12">
      <c r="B793" s="227"/>
      <c r="C793" s="418"/>
      <c r="D793" s="311">
        <v>11</v>
      </c>
      <c r="E793" s="312">
        <v>1.5655</v>
      </c>
      <c r="F793" s="311">
        <v>2</v>
      </c>
      <c r="G793" s="313">
        <v>11.95</v>
      </c>
      <c r="H793" s="306">
        <f t="shared" si="1081"/>
        <v>58.8</v>
      </c>
      <c r="I793" s="359"/>
      <c r="J793" s="359"/>
      <c r="K793" s="360"/>
      <c r="L793" s="364"/>
    </row>
    <row r="794" ht="20.25" spans="2:12">
      <c r="B794" s="419" t="s">
        <v>1010</v>
      </c>
      <c r="C794" s="417"/>
      <c r="D794" s="311">
        <v>11</v>
      </c>
      <c r="E794" s="312">
        <v>1.6352</v>
      </c>
      <c r="F794" s="311">
        <v>2</v>
      </c>
      <c r="G794" s="313">
        <v>11.9</v>
      </c>
      <c r="H794" s="306">
        <f t="shared" si="1081"/>
        <v>56.53</v>
      </c>
      <c r="I794" s="354">
        <f t="shared" ref="I794" si="1094">ROUND((H794+H795)/2,1)</f>
        <v>56.7</v>
      </c>
      <c r="J794" s="354">
        <f t="shared" ref="J794" si="1095">(H794-H795)*100/I794</f>
        <v>-0.634920634920634</v>
      </c>
      <c r="K794" s="361" t="s">
        <v>893</v>
      </c>
      <c r="L794" s="363">
        <f t="shared" ref="L794" si="1096">H795-H794</f>
        <v>0.359999999999999</v>
      </c>
    </row>
    <row r="795" ht="20.25" spans="2:12">
      <c r="B795" s="227"/>
      <c r="C795" s="418"/>
      <c r="D795" s="311">
        <v>11</v>
      </c>
      <c r="E795" s="312">
        <v>1.5047</v>
      </c>
      <c r="F795" s="311">
        <v>2</v>
      </c>
      <c r="G795" s="313">
        <v>12.85</v>
      </c>
      <c r="H795" s="306">
        <f t="shared" si="1081"/>
        <v>56.89</v>
      </c>
      <c r="I795" s="359"/>
      <c r="J795" s="359"/>
      <c r="K795" s="360"/>
      <c r="L795" s="364"/>
    </row>
    <row r="796" ht="20.25" spans="2:12">
      <c r="B796" s="419" t="s">
        <v>1011</v>
      </c>
      <c r="C796" s="417"/>
      <c r="D796" s="311">
        <v>11</v>
      </c>
      <c r="E796" s="312">
        <v>1.431</v>
      </c>
      <c r="F796" s="311">
        <v>1</v>
      </c>
      <c r="G796" s="313">
        <v>7</v>
      </c>
      <c r="H796" s="306">
        <f t="shared" si="1081"/>
        <v>54.91</v>
      </c>
      <c r="I796" s="354">
        <f t="shared" ref="I796" si="1097">ROUND((H796+H797)/2,1)</f>
        <v>54.8</v>
      </c>
      <c r="J796" s="354">
        <f t="shared" ref="J796" si="1098">(H796-H797)*100/I796</f>
        <v>0.583941605839404</v>
      </c>
      <c r="K796" s="361" t="s">
        <v>895</v>
      </c>
      <c r="L796" s="363">
        <f t="shared" ref="L796" si="1099">H797-H796</f>
        <v>-0.319999999999993</v>
      </c>
    </row>
    <row r="797" ht="20.25" spans="2:12">
      <c r="B797" s="227"/>
      <c r="C797" s="418"/>
      <c r="D797" s="311">
        <v>11</v>
      </c>
      <c r="E797" s="312">
        <v>1.3257</v>
      </c>
      <c r="F797" s="311">
        <v>1</v>
      </c>
      <c r="G797" s="313">
        <v>7.6</v>
      </c>
      <c r="H797" s="306">
        <f t="shared" si="1081"/>
        <v>54.59</v>
      </c>
      <c r="I797" s="359"/>
      <c r="J797" s="359"/>
      <c r="K797" s="360"/>
      <c r="L797" s="364"/>
    </row>
    <row r="798" ht="20.25" spans="2:12">
      <c r="B798" s="419" t="s">
        <v>1012</v>
      </c>
      <c r="C798" s="417"/>
      <c r="D798" s="311">
        <v>11</v>
      </c>
      <c r="E798" s="312">
        <v>1.1431</v>
      </c>
      <c r="F798" s="311">
        <v>1</v>
      </c>
      <c r="G798" s="313">
        <v>7.7</v>
      </c>
      <c r="H798" s="306">
        <f t="shared" si="1081"/>
        <v>62.49</v>
      </c>
      <c r="I798" s="354">
        <f t="shared" ref="I798" si="1100">ROUND((H798+H799)/2,1)</f>
        <v>62.4</v>
      </c>
      <c r="J798" s="354">
        <f t="shared" ref="J798" si="1101">(H798-H799)*100/I798</f>
        <v>0.2724358974359</v>
      </c>
      <c r="K798" s="361" t="s">
        <v>1013</v>
      </c>
      <c r="L798" s="363">
        <f t="shared" ref="L798" si="1102">H799-H798</f>
        <v>-0.170000000000002</v>
      </c>
    </row>
    <row r="799" ht="20.25" spans="2:12">
      <c r="B799" s="227"/>
      <c r="C799" s="418"/>
      <c r="D799" s="311">
        <v>11</v>
      </c>
      <c r="E799" s="312">
        <v>1.0507</v>
      </c>
      <c r="F799" s="311">
        <v>1</v>
      </c>
      <c r="G799" s="313">
        <v>8.4</v>
      </c>
      <c r="H799" s="306">
        <f t="shared" si="1081"/>
        <v>62.32</v>
      </c>
      <c r="I799" s="359"/>
      <c r="J799" s="359"/>
      <c r="K799" s="360"/>
      <c r="L799" s="364"/>
    </row>
    <row r="800" ht="20.25" spans="2:12">
      <c r="B800" s="419" t="s">
        <v>1014</v>
      </c>
      <c r="C800" s="417"/>
      <c r="D800" s="311">
        <v>11</v>
      </c>
      <c r="E800" s="312">
        <v>1.4868</v>
      </c>
      <c r="F800" s="311">
        <v>2</v>
      </c>
      <c r="G800" s="313">
        <v>11.15</v>
      </c>
      <c r="H800" s="306">
        <f t="shared" ref="H800:H803" si="1103">ROUND(D800*100*F800*250*100/50/E800/G800/1000,2)</f>
        <v>66.35</v>
      </c>
      <c r="I800" s="354">
        <f t="shared" ref="I800" si="1104">ROUND((H800+H801)/2,1)</f>
        <v>66.2</v>
      </c>
      <c r="J800" s="354">
        <f t="shared" ref="J800" si="1105">(H800-H801)*100/I800</f>
        <v>0.528700906344402</v>
      </c>
      <c r="K800" s="361" t="s">
        <v>895</v>
      </c>
      <c r="L800" s="363">
        <f t="shared" ref="L800" si="1106">H801-H800</f>
        <v>-0.349999999999994</v>
      </c>
    </row>
    <row r="801" ht="20.25" spans="2:12">
      <c r="B801" s="227"/>
      <c r="C801" s="418"/>
      <c r="D801" s="311">
        <v>11</v>
      </c>
      <c r="E801" s="312">
        <v>1.522</v>
      </c>
      <c r="F801" s="311">
        <v>2</v>
      </c>
      <c r="G801" s="313">
        <v>10.95</v>
      </c>
      <c r="H801" s="306">
        <f t="shared" si="1103"/>
        <v>66</v>
      </c>
      <c r="I801" s="359"/>
      <c r="J801" s="359"/>
      <c r="K801" s="360"/>
      <c r="L801" s="364"/>
    </row>
    <row r="802" ht="20.25" spans="2:12">
      <c r="B802" s="419" t="s">
        <v>1015</v>
      </c>
      <c r="C802" s="417"/>
      <c r="D802" s="311">
        <v>11</v>
      </c>
      <c r="E802" s="312">
        <v>1.3938</v>
      </c>
      <c r="F802" s="311">
        <v>1</v>
      </c>
      <c r="G802" s="313">
        <v>6.9</v>
      </c>
      <c r="H802" s="306">
        <f t="shared" si="1103"/>
        <v>57.19</v>
      </c>
      <c r="I802" s="354">
        <f t="shared" ref="I802" si="1107">ROUND((H802+H803)/2,1)</f>
        <v>57.4</v>
      </c>
      <c r="J802" s="354">
        <f t="shared" ref="J802" si="1108">(H802-H803)*100/I802</f>
        <v>-0.627177700348431</v>
      </c>
      <c r="K802" s="361" t="s">
        <v>1013</v>
      </c>
      <c r="L802" s="363">
        <f t="shared" ref="L802" si="1109">H803-H802</f>
        <v>0.359999999999999</v>
      </c>
    </row>
    <row r="803" ht="20.25" spans="2:12">
      <c r="B803" s="227"/>
      <c r="C803" s="418"/>
      <c r="D803" s="311">
        <v>11</v>
      </c>
      <c r="E803" s="312">
        <v>1.4054</v>
      </c>
      <c r="F803" s="311">
        <v>1</v>
      </c>
      <c r="G803" s="313">
        <v>6.8</v>
      </c>
      <c r="H803" s="306">
        <f t="shared" si="1103"/>
        <v>57.55</v>
      </c>
      <c r="I803" s="359"/>
      <c r="J803" s="359"/>
      <c r="K803" s="360"/>
      <c r="L803" s="364"/>
    </row>
    <row r="804" ht="20.25" spans="1:12">
      <c r="A804" s="314">
        <v>210</v>
      </c>
      <c r="B804" s="419" t="s">
        <v>1016</v>
      </c>
      <c r="C804" s="417"/>
      <c r="D804" s="311">
        <v>11</v>
      </c>
      <c r="E804" s="312">
        <v>1.42</v>
      </c>
      <c r="F804" s="311">
        <v>1</v>
      </c>
      <c r="G804" s="313">
        <v>7.6</v>
      </c>
      <c r="H804" s="306">
        <f t="shared" ref="H804:H811" si="1110">ROUND(D804*100*F804*250*100/50/E804/G804/1000,2)</f>
        <v>50.96</v>
      </c>
      <c r="I804" s="354">
        <f t="shared" ref="I804" si="1111">ROUND((H804+H805)/2,1)</f>
        <v>50.8</v>
      </c>
      <c r="J804" s="354">
        <f t="shared" ref="J804" si="1112">(H804-H805)*100/I804</f>
        <v>0.62992125984252</v>
      </c>
      <c r="K804" s="361" t="s">
        <v>1017</v>
      </c>
      <c r="L804" s="363">
        <f t="shared" ref="L804" si="1113">H805-H804</f>
        <v>-0.32</v>
      </c>
    </row>
    <row r="805" ht="20.25" spans="2:12">
      <c r="B805" s="227"/>
      <c r="C805" s="418"/>
      <c r="D805" s="311">
        <v>11</v>
      </c>
      <c r="E805" s="312">
        <v>1.3924</v>
      </c>
      <c r="F805" s="311">
        <v>1</v>
      </c>
      <c r="G805" s="313">
        <v>7.8</v>
      </c>
      <c r="H805" s="306">
        <f t="shared" si="1110"/>
        <v>50.64</v>
      </c>
      <c r="I805" s="359"/>
      <c r="J805" s="359"/>
      <c r="K805" s="360"/>
      <c r="L805" s="364"/>
    </row>
    <row r="806" ht="20.25" spans="2:12">
      <c r="B806" s="419" t="s">
        <v>1018</v>
      </c>
      <c r="C806" s="417"/>
      <c r="D806" s="311">
        <v>11</v>
      </c>
      <c r="E806" s="312">
        <v>0.931</v>
      </c>
      <c r="F806" s="311">
        <v>1</v>
      </c>
      <c r="G806" s="313">
        <v>11.8</v>
      </c>
      <c r="H806" s="306">
        <f t="shared" si="1110"/>
        <v>50.06</v>
      </c>
      <c r="I806" s="354">
        <f t="shared" ref="I806" si="1114">ROUND((H806+H807)/2,1)</f>
        <v>49.9</v>
      </c>
      <c r="J806" s="354">
        <f t="shared" ref="J806" si="1115">(H806-H807)*100/I806</f>
        <v>0.581162324649297</v>
      </c>
      <c r="K806" s="361" t="s">
        <v>1019</v>
      </c>
      <c r="L806" s="363">
        <f t="shared" ref="L806" si="1116">H807-H806</f>
        <v>-0.289999999999999</v>
      </c>
    </row>
    <row r="807" ht="20.25" spans="2:12">
      <c r="B807" s="227"/>
      <c r="C807" s="418"/>
      <c r="D807" s="311">
        <v>11</v>
      </c>
      <c r="E807" s="312">
        <v>1.285</v>
      </c>
      <c r="F807" s="311">
        <v>1</v>
      </c>
      <c r="G807" s="313">
        <v>8.6</v>
      </c>
      <c r="H807" s="306">
        <f t="shared" si="1110"/>
        <v>49.77</v>
      </c>
      <c r="I807" s="359"/>
      <c r="J807" s="359"/>
      <c r="K807" s="360"/>
      <c r="L807" s="364"/>
    </row>
    <row r="808" ht="20.25" spans="2:12">
      <c r="B808" s="419" t="s">
        <v>1020</v>
      </c>
      <c r="C808" s="417"/>
      <c r="D808" s="311">
        <v>11</v>
      </c>
      <c r="E808" s="312">
        <v>1.3078</v>
      </c>
      <c r="F808" s="311">
        <v>1</v>
      </c>
      <c r="G808" s="313">
        <v>7.3</v>
      </c>
      <c r="H808" s="306">
        <f t="shared" si="1110"/>
        <v>57.61</v>
      </c>
      <c r="I808" s="354">
        <f t="shared" ref="I808" si="1117">ROUND((H808+H809)/2,1)</f>
        <v>58</v>
      </c>
      <c r="J808" s="354">
        <f t="shared" ref="J808" si="1118">(H808-H809)*100/I808</f>
        <v>-1.43103448275862</v>
      </c>
      <c r="K808" s="361" t="s">
        <v>1021</v>
      </c>
      <c r="L808" s="363">
        <f t="shared" ref="L808" si="1119">H809-H808</f>
        <v>0.829999999999998</v>
      </c>
    </row>
    <row r="809" ht="20.25" spans="2:12">
      <c r="B809" s="227"/>
      <c r="C809" s="418"/>
      <c r="D809" s="311">
        <v>11</v>
      </c>
      <c r="E809" s="312">
        <v>1.4478</v>
      </c>
      <c r="F809" s="311">
        <v>1</v>
      </c>
      <c r="G809" s="313">
        <v>6.5</v>
      </c>
      <c r="H809" s="306">
        <f t="shared" si="1110"/>
        <v>58.44</v>
      </c>
      <c r="I809" s="359"/>
      <c r="J809" s="359"/>
      <c r="K809" s="360"/>
      <c r="L809" s="364"/>
    </row>
    <row r="810" ht="20.25" spans="2:12">
      <c r="B810" s="419" t="s">
        <v>1022</v>
      </c>
      <c r="C810" s="417"/>
      <c r="D810" s="311">
        <v>11</v>
      </c>
      <c r="E810" s="312">
        <v>0.9836</v>
      </c>
      <c r="F810" s="311">
        <v>1</v>
      </c>
      <c r="G810" s="313">
        <v>8.3</v>
      </c>
      <c r="H810" s="306">
        <f t="shared" si="1110"/>
        <v>67.37</v>
      </c>
      <c r="I810" s="354">
        <f t="shared" ref="I810" si="1120">ROUND((H810+H811)/2,1)</f>
        <v>67.5</v>
      </c>
      <c r="J810" s="354">
        <f t="shared" ref="J810" si="1121">(H810-H811)*100/I810</f>
        <v>-0.488888888888886</v>
      </c>
      <c r="K810" s="361" t="s">
        <v>1023</v>
      </c>
      <c r="L810" s="363">
        <f t="shared" ref="L810" si="1122">H811-H810</f>
        <v>0.329999999999998</v>
      </c>
    </row>
    <row r="811" ht="20.25" spans="2:12">
      <c r="B811" s="227"/>
      <c r="C811" s="418"/>
      <c r="D811" s="311">
        <v>11</v>
      </c>
      <c r="E811" s="312">
        <v>0.9907</v>
      </c>
      <c r="F811" s="311">
        <v>1</v>
      </c>
      <c r="G811" s="313">
        <v>8.2</v>
      </c>
      <c r="H811" s="306">
        <f t="shared" si="1110"/>
        <v>67.7</v>
      </c>
      <c r="I811" s="359"/>
      <c r="J811" s="359"/>
      <c r="K811" s="360"/>
      <c r="L811" s="364"/>
    </row>
    <row r="812" ht="20.25" spans="2:12">
      <c r="B812" s="420" t="s">
        <v>1024</v>
      </c>
      <c r="C812" s="417"/>
      <c r="D812" s="311">
        <v>11</v>
      </c>
      <c r="E812" s="312">
        <v>4.0709</v>
      </c>
      <c r="F812" s="311">
        <v>2.5</v>
      </c>
      <c r="G812" s="313">
        <v>7.65</v>
      </c>
      <c r="H812" s="306">
        <f>ROUND(D812*100*F812*200*100/50/E812/G812/1000,2)</f>
        <v>35.32</v>
      </c>
      <c r="I812" s="354">
        <f t="shared" ref="I812" si="1123">ROUND((H812+H813)/2,1)</f>
        <v>35.5</v>
      </c>
      <c r="J812" s="354">
        <f t="shared" ref="J812" si="1124">(H812-H813)*100/I812</f>
        <v>-1.07042253521127</v>
      </c>
      <c r="K812" s="133" t="s">
        <v>877</v>
      </c>
      <c r="L812" s="363">
        <f t="shared" ref="L812" si="1125">H813-H812</f>
        <v>0.380000000000003</v>
      </c>
    </row>
    <row r="813" ht="20.25" spans="2:12">
      <c r="B813" s="384"/>
      <c r="C813" s="418"/>
      <c r="D813" s="311">
        <v>11</v>
      </c>
      <c r="E813" s="312">
        <v>4.0014</v>
      </c>
      <c r="F813" s="311">
        <v>2.5</v>
      </c>
      <c r="G813" s="313">
        <v>7.7</v>
      </c>
      <c r="H813" s="306">
        <f t="shared" ref="H813:H816" si="1126">ROUND(D813*100*F813*200*100/50/E813/G813/1000,2)</f>
        <v>35.7</v>
      </c>
      <c r="I813" s="359"/>
      <c r="J813" s="359"/>
      <c r="K813" s="134"/>
      <c r="L813" s="364"/>
    </row>
    <row r="814" ht="20.25" spans="2:12">
      <c r="B814" s="420" t="s">
        <v>1025</v>
      </c>
      <c r="C814" s="417"/>
      <c r="D814" s="311">
        <v>11</v>
      </c>
      <c r="E814" s="312">
        <v>4.0667</v>
      </c>
      <c r="F814" s="311">
        <v>2.5</v>
      </c>
      <c r="G814" s="313">
        <v>7.4</v>
      </c>
      <c r="H814" s="306">
        <f t="shared" si="1126"/>
        <v>36.55</v>
      </c>
      <c r="I814" s="354">
        <f t="shared" ref="I814" si="1127">ROUND((H814+H815)/2,1)</f>
        <v>36.8</v>
      </c>
      <c r="J814" s="354">
        <f t="shared" ref="J814" si="1128">(H814-H815)*100/I814</f>
        <v>-1.16847826086956</v>
      </c>
      <c r="K814" s="133" t="s">
        <v>877</v>
      </c>
      <c r="L814" s="363">
        <f t="shared" ref="L814" si="1129">H815-H814</f>
        <v>0.43</v>
      </c>
    </row>
    <row r="815" ht="20.25" spans="2:12">
      <c r="B815" s="384"/>
      <c r="C815" s="418"/>
      <c r="D815" s="311">
        <v>11</v>
      </c>
      <c r="E815" s="312">
        <v>4.1027</v>
      </c>
      <c r="F815" s="311">
        <v>2.5</v>
      </c>
      <c r="G815" s="313">
        <v>7.25</v>
      </c>
      <c r="H815" s="306">
        <f t="shared" si="1126"/>
        <v>36.98</v>
      </c>
      <c r="I815" s="359"/>
      <c r="J815" s="359"/>
      <c r="K815" s="134"/>
      <c r="L815" s="364"/>
    </row>
    <row r="816" ht="20.25" spans="2:12">
      <c r="B816" s="420" t="s">
        <v>1026</v>
      </c>
      <c r="C816" s="417"/>
      <c r="D816" s="311">
        <v>11</v>
      </c>
      <c r="E816" s="312">
        <v>4.0328</v>
      </c>
      <c r="F816" s="311">
        <v>2.5</v>
      </c>
      <c r="G816" s="313">
        <v>7.35</v>
      </c>
      <c r="H816" s="306">
        <f t="shared" si="1126"/>
        <v>37.11</v>
      </c>
      <c r="I816" s="354">
        <f t="shared" ref="I816" si="1130">ROUND((H816+H817)/2,1)</f>
        <v>36.7</v>
      </c>
      <c r="J816" s="354">
        <f t="shared" ref="J816" si="1131">(H816-H817)*100/I816</f>
        <v>2.37057220708446</v>
      </c>
      <c r="K816" s="133" t="s">
        <v>877</v>
      </c>
      <c r="L816" s="363">
        <f t="shared" ref="L816" si="1132">H817-H816</f>
        <v>-0.869999999999997</v>
      </c>
    </row>
    <row r="817" ht="20.25" spans="2:12">
      <c r="B817" s="384"/>
      <c r="C817" s="418"/>
      <c r="D817" s="311">
        <v>11</v>
      </c>
      <c r="E817" s="312">
        <v>4.1019</v>
      </c>
      <c r="F817" s="311">
        <v>2.5</v>
      </c>
      <c r="G817" s="313">
        <v>7.4</v>
      </c>
      <c r="H817" s="306">
        <f t="shared" ref="H817" si="1133">ROUND(D817*100*F817*200*100/50/E817/G817/1000,2)</f>
        <v>36.24</v>
      </c>
      <c r="I817" s="359"/>
      <c r="J817" s="359"/>
      <c r="K817" s="134"/>
      <c r="L817" s="364"/>
    </row>
    <row r="818" ht="20.25" spans="1:12">
      <c r="A818" s="314">
        <v>2.11</v>
      </c>
      <c r="B818" s="419" t="s">
        <v>1027</v>
      </c>
      <c r="C818" s="417"/>
      <c r="D818" s="311">
        <v>11</v>
      </c>
      <c r="E818" s="312">
        <v>2.0931</v>
      </c>
      <c r="F818" s="311">
        <v>1</v>
      </c>
      <c r="G818" s="313">
        <v>6.4</v>
      </c>
      <c r="H818" s="306">
        <f>ROUND(D818*100*F818*250*100/50/E818/G818/1000,2)</f>
        <v>41.06</v>
      </c>
      <c r="I818" s="354">
        <f t="shared" ref="I818" si="1134">ROUND((H818+H819)/2,1)</f>
        <v>41.2</v>
      </c>
      <c r="J818" s="354">
        <f t="shared" ref="J818" si="1135">(H818-H819)*100/I818</f>
        <v>-0.898058252427178</v>
      </c>
      <c r="K818" s="361" t="s">
        <v>1028</v>
      </c>
      <c r="L818" s="363">
        <f t="shared" ref="L818" si="1136">H819-H818</f>
        <v>0.369999999999997</v>
      </c>
    </row>
    <row r="819" ht="20.25" spans="2:12">
      <c r="B819" s="227"/>
      <c r="C819" s="418"/>
      <c r="D819" s="311">
        <v>11</v>
      </c>
      <c r="E819" s="312">
        <v>1.9524</v>
      </c>
      <c r="F819" s="311">
        <v>1</v>
      </c>
      <c r="G819" s="313">
        <v>6.8</v>
      </c>
      <c r="H819" s="306">
        <f t="shared" ref="H819:H821" si="1137">ROUND(D819*100*F819*250*100/50/E819/G819/1000,2)</f>
        <v>41.43</v>
      </c>
      <c r="I819" s="359"/>
      <c r="J819" s="359"/>
      <c r="K819" s="360"/>
      <c r="L819" s="364"/>
    </row>
    <row r="820" ht="20.25" spans="2:12">
      <c r="B820" s="419" t="s">
        <v>1029</v>
      </c>
      <c r="C820" s="417"/>
      <c r="D820" s="311">
        <v>11</v>
      </c>
      <c r="E820" s="312">
        <v>2.4559</v>
      </c>
      <c r="F820" s="311">
        <v>1</v>
      </c>
      <c r="G820" s="313">
        <v>5.6</v>
      </c>
      <c r="H820" s="306">
        <f t="shared" si="1137"/>
        <v>39.99</v>
      </c>
      <c r="I820" s="354">
        <f t="shared" ref="I820" si="1138">ROUND((H820+H821)/2,1)</f>
        <v>39.8</v>
      </c>
      <c r="J820" s="354">
        <f t="shared" ref="J820" si="1139">(H820-H821)*100/I820</f>
        <v>0.979899497487439</v>
      </c>
      <c r="K820" s="361" t="s">
        <v>1028</v>
      </c>
      <c r="L820" s="363">
        <f t="shared" ref="L820" si="1140">H821-H820</f>
        <v>-0.390000000000001</v>
      </c>
    </row>
    <row r="821" ht="20.25" spans="2:12">
      <c r="B821" s="227"/>
      <c r="C821" s="418"/>
      <c r="D821" s="311">
        <v>11</v>
      </c>
      <c r="E821" s="312">
        <v>2.0128</v>
      </c>
      <c r="F821" s="311">
        <v>1</v>
      </c>
      <c r="G821" s="313">
        <v>6.9</v>
      </c>
      <c r="H821" s="306">
        <f t="shared" si="1137"/>
        <v>39.6</v>
      </c>
      <c r="I821" s="359"/>
      <c r="J821" s="359"/>
      <c r="K821" s="360"/>
      <c r="L821" s="364"/>
    </row>
    <row r="822" ht="20.25" spans="1:12">
      <c r="A822" s="314">
        <v>2.24</v>
      </c>
      <c r="B822" s="419" t="s">
        <v>1030</v>
      </c>
      <c r="C822" s="417"/>
      <c r="D822" s="311">
        <v>11</v>
      </c>
      <c r="E822" s="312">
        <v>2.4588</v>
      </c>
      <c r="F822" s="311">
        <v>1</v>
      </c>
      <c r="G822" s="313">
        <v>8.6</v>
      </c>
      <c r="H822" s="306">
        <f t="shared" ref="H822:H827" si="1141">ROUND(D822*100*F822*250*100/50/E822/G822/1000,2)</f>
        <v>26.01</v>
      </c>
      <c r="I822" s="354">
        <f t="shared" ref="I822" si="1142">ROUND((H822+H823)/2,1)</f>
        <v>25.8</v>
      </c>
      <c r="J822" s="354">
        <f t="shared" ref="J822" si="1143">(H822-H823)*100/I822</f>
        <v>1.27906976744187</v>
      </c>
      <c r="K822" s="361" t="s">
        <v>1028</v>
      </c>
      <c r="L822" s="363">
        <f t="shared" ref="L822" si="1144">H823-H822</f>
        <v>-0.330000000000002</v>
      </c>
    </row>
    <row r="823" ht="20.25" spans="2:12">
      <c r="B823" s="227"/>
      <c r="C823" s="418"/>
      <c r="D823" s="311">
        <v>11</v>
      </c>
      <c r="E823" s="312">
        <v>2.7281</v>
      </c>
      <c r="F823" s="311">
        <v>1</v>
      </c>
      <c r="G823" s="313">
        <v>7.85</v>
      </c>
      <c r="H823" s="306">
        <f t="shared" si="1141"/>
        <v>25.68</v>
      </c>
      <c r="I823" s="359"/>
      <c r="J823" s="359"/>
      <c r="K823" s="360"/>
      <c r="L823" s="364"/>
    </row>
    <row r="824" s="319" customFormat="1" ht="20.25" spans="1:14">
      <c r="A824" s="319">
        <v>3.12</v>
      </c>
      <c r="B824" s="420" t="s">
        <v>438</v>
      </c>
      <c r="C824" s="417"/>
      <c r="D824" s="421">
        <v>11.3</v>
      </c>
      <c r="E824" s="422">
        <v>2.5319</v>
      </c>
      <c r="F824" s="421">
        <v>4</v>
      </c>
      <c r="G824" s="423">
        <v>9.3</v>
      </c>
      <c r="H824" s="115">
        <f t="shared" si="1141"/>
        <v>95.98</v>
      </c>
      <c r="I824" s="139" t="e">
        <f>ROUND((H824+H825)/2,1)</f>
        <v>#DIV/0!</v>
      </c>
      <c r="J824" s="139" t="e">
        <f>(H824-H825)*100/I824</f>
        <v>#DIV/0!</v>
      </c>
      <c r="K824" s="133" t="s">
        <v>1028</v>
      </c>
      <c r="L824" s="366" t="e">
        <f>H825-H824</f>
        <v>#DIV/0!</v>
      </c>
      <c r="M824" s="351"/>
      <c r="N824" s="352"/>
    </row>
    <row r="825" s="319" customFormat="1" ht="20.25" spans="2:14">
      <c r="B825" s="384"/>
      <c r="C825" s="418"/>
      <c r="D825" s="421">
        <v>11.3</v>
      </c>
      <c r="E825" s="422"/>
      <c r="F825" s="421">
        <v>1</v>
      </c>
      <c r="G825" s="423">
        <v>6.9</v>
      </c>
      <c r="H825" s="115" t="e">
        <f t="shared" si="1141"/>
        <v>#DIV/0!</v>
      </c>
      <c r="I825" s="140"/>
      <c r="J825" s="140"/>
      <c r="K825" s="134"/>
      <c r="L825" s="367"/>
      <c r="M825" s="351"/>
      <c r="N825" s="352"/>
    </row>
    <row r="826" ht="20.25" spans="2:12">
      <c r="B826" s="424" t="s">
        <v>439</v>
      </c>
      <c r="C826" s="417"/>
      <c r="D826" s="311">
        <v>11.3</v>
      </c>
      <c r="E826" s="312">
        <v>3.1679</v>
      </c>
      <c r="F826" s="311">
        <v>4</v>
      </c>
      <c r="G826" s="313">
        <v>15.9</v>
      </c>
      <c r="H826" s="306">
        <f t="shared" si="1141"/>
        <v>44.87</v>
      </c>
      <c r="I826" s="354" t="e">
        <f>ROUND((H826+H827)/2,1)</f>
        <v>#DIV/0!</v>
      </c>
      <c r="J826" s="354" t="e">
        <f>(H826-H827)*100/I826</f>
        <v>#DIV/0!</v>
      </c>
      <c r="K826" s="361" t="s">
        <v>1028</v>
      </c>
      <c r="L826" s="363" t="e">
        <f>H827-H826</f>
        <v>#DIV/0!</v>
      </c>
    </row>
    <row r="827" ht="20.25" spans="2:12">
      <c r="B827" s="416"/>
      <c r="C827" s="418"/>
      <c r="D827" s="311">
        <v>11.3</v>
      </c>
      <c r="E827" s="312"/>
      <c r="F827" s="311">
        <v>1</v>
      </c>
      <c r="G827" s="313">
        <v>7.85</v>
      </c>
      <c r="H827" s="306" t="e">
        <f t="shared" si="1141"/>
        <v>#DIV/0!</v>
      </c>
      <c r="I827" s="359"/>
      <c r="J827" s="359"/>
      <c r="K827" s="360"/>
      <c r="L827" s="364"/>
    </row>
    <row r="828" ht="20.25" spans="1:12">
      <c r="A828" s="314">
        <v>3.17</v>
      </c>
      <c r="B828" s="419" t="s">
        <v>1031</v>
      </c>
      <c r="C828" s="417"/>
      <c r="D828" s="311">
        <v>11.3</v>
      </c>
      <c r="E828" s="312">
        <v>2.7476</v>
      </c>
      <c r="F828" s="311">
        <v>4</v>
      </c>
      <c r="G828" s="313">
        <v>8.6</v>
      </c>
      <c r="H828" s="306">
        <f t="shared" ref="H828:H829" si="1145">ROUND(D828*100*F828*250*100/50/E828/G828/1000,2)</f>
        <v>95.64</v>
      </c>
      <c r="I828" s="354">
        <f>ROUND((H828+H829)/2,1)</f>
        <v>95.6</v>
      </c>
      <c r="J828" s="354">
        <f>(H828-H829)*100/I828</f>
        <v>0</v>
      </c>
      <c r="K828" s="361" t="s">
        <v>150</v>
      </c>
      <c r="L828" s="363">
        <f>H829-H828</f>
        <v>0</v>
      </c>
    </row>
    <row r="829" ht="20.25" spans="2:12">
      <c r="B829" s="227"/>
      <c r="C829" s="418"/>
      <c r="D829" s="311">
        <v>11.3</v>
      </c>
      <c r="E829" s="312">
        <v>2.7476</v>
      </c>
      <c r="F829" s="311">
        <v>4</v>
      </c>
      <c r="G829" s="313">
        <v>8.6</v>
      </c>
      <c r="H829" s="306">
        <f t="shared" si="1145"/>
        <v>95.64</v>
      </c>
      <c r="I829" s="359"/>
      <c r="J829" s="359"/>
      <c r="K829" s="360"/>
      <c r="L829" s="364"/>
    </row>
    <row r="830" ht="20.25" spans="2:12">
      <c r="B830" s="419" t="s">
        <v>1032</v>
      </c>
      <c r="C830" s="417"/>
      <c r="D830" s="311">
        <v>11.3</v>
      </c>
      <c r="E830" s="312">
        <v>2.4218</v>
      </c>
      <c r="F830" s="311">
        <v>4</v>
      </c>
      <c r="G830" s="313">
        <v>9.8</v>
      </c>
      <c r="H830" s="306">
        <f t="shared" ref="H830:H835" si="1146">ROUND(D830*100*F830*250*100/50/E830/G830/1000,2)</f>
        <v>95.22</v>
      </c>
      <c r="I830" s="354">
        <f t="shared" ref="I830" si="1147">ROUND((H830+H831)/2,1)</f>
        <v>95.2</v>
      </c>
      <c r="J830" s="354">
        <f t="shared" ref="J830" si="1148">(H830-H831)*100/I830</f>
        <v>0</v>
      </c>
      <c r="K830" s="361" t="s">
        <v>150</v>
      </c>
      <c r="L830" s="363">
        <f t="shared" ref="L830" si="1149">H831-H830</f>
        <v>0</v>
      </c>
    </row>
    <row r="831" ht="20.25" spans="2:12">
      <c r="B831" s="227"/>
      <c r="C831" s="418"/>
      <c r="D831" s="311">
        <v>11.3</v>
      </c>
      <c r="E831" s="312">
        <v>2.4218</v>
      </c>
      <c r="F831" s="311">
        <v>4</v>
      </c>
      <c r="G831" s="313">
        <v>9.8</v>
      </c>
      <c r="H831" s="306">
        <f t="shared" si="1146"/>
        <v>95.22</v>
      </c>
      <c r="I831" s="359"/>
      <c r="J831" s="359"/>
      <c r="K831" s="360"/>
      <c r="L831" s="364"/>
    </row>
    <row r="832" ht="20.25" spans="2:12">
      <c r="B832" s="419" t="s">
        <v>1033</v>
      </c>
      <c r="C832" s="417"/>
      <c r="D832" s="311">
        <v>11.3</v>
      </c>
      <c r="E832" s="312">
        <v>2.7097</v>
      </c>
      <c r="F832" s="311">
        <v>4</v>
      </c>
      <c r="G832" s="313">
        <v>8.6</v>
      </c>
      <c r="H832" s="306">
        <f t="shared" si="1146"/>
        <v>96.98</v>
      </c>
      <c r="I832" s="354">
        <f t="shared" ref="I832" si="1150">ROUND((H832+H833)/2,1)</f>
        <v>97</v>
      </c>
      <c r="J832" s="354">
        <f t="shared" ref="J832" si="1151">(H832-H833)*100/I832</f>
        <v>0</v>
      </c>
      <c r="K832" s="361" t="s">
        <v>150</v>
      </c>
      <c r="L832" s="363">
        <f t="shared" ref="L832" si="1152">H833-H832</f>
        <v>0</v>
      </c>
    </row>
    <row r="833" ht="20.25" spans="2:12">
      <c r="B833" s="227"/>
      <c r="C833" s="418"/>
      <c r="D833" s="311">
        <v>11.3</v>
      </c>
      <c r="E833" s="312">
        <v>2.7097</v>
      </c>
      <c r="F833" s="311">
        <v>4</v>
      </c>
      <c r="G833" s="313">
        <v>8.6</v>
      </c>
      <c r="H833" s="306">
        <f t="shared" si="1146"/>
        <v>96.98</v>
      </c>
      <c r="I833" s="359"/>
      <c r="J833" s="359"/>
      <c r="K833" s="360"/>
      <c r="L833" s="364"/>
    </row>
    <row r="834" ht="20.25" spans="2:12">
      <c r="B834" s="419" t="s">
        <v>1034</v>
      </c>
      <c r="C834" s="417"/>
      <c r="D834" s="311">
        <v>11.3</v>
      </c>
      <c r="E834" s="312">
        <v>2.5834</v>
      </c>
      <c r="F834" s="311">
        <v>4</v>
      </c>
      <c r="G834" s="313">
        <v>9.1</v>
      </c>
      <c r="H834" s="306">
        <f t="shared" si="1146"/>
        <v>96.13</v>
      </c>
      <c r="I834" s="354">
        <f t="shared" ref="I834" si="1153">ROUND((H834+H835)/2,1)</f>
        <v>96.1</v>
      </c>
      <c r="J834" s="354">
        <f t="shared" ref="J834" si="1154">(H834-H835)*100/I834</f>
        <v>0</v>
      </c>
      <c r="K834" s="361" t="s">
        <v>150</v>
      </c>
      <c r="L834" s="363">
        <f t="shared" ref="L834" si="1155">H835-H834</f>
        <v>0</v>
      </c>
    </row>
    <row r="835" ht="20.25" spans="2:12">
      <c r="B835" s="227"/>
      <c r="C835" s="418"/>
      <c r="D835" s="311">
        <v>11.3</v>
      </c>
      <c r="E835" s="312">
        <v>2.5834</v>
      </c>
      <c r="F835" s="311">
        <v>4</v>
      </c>
      <c r="G835" s="313">
        <v>9.1</v>
      </c>
      <c r="H835" s="306">
        <f t="shared" si="1146"/>
        <v>96.13</v>
      </c>
      <c r="I835" s="359"/>
      <c r="J835" s="359"/>
      <c r="K835" s="360"/>
      <c r="L835" s="364"/>
    </row>
    <row r="836" ht="20.25" spans="1:12">
      <c r="A836" s="314">
        <v>3.19</v>
      </c>
      <c r="B836" s="419" t="s">
        <v>1035</v>
      </c>
      <c r="C836" s="417"/>
      <c r="D836" s="311">
        <v>11</v>
      </c>
      <c r="E836" s="312">
        <v>6.0602</v>
      </c>
      <c r="F836" s="311">
        <v>1</v>
      </c>
      <c r="G836" s="313">
        <v>7.2</v>
      </c>
      <c r="H836" s="306">
        <f t="shared" ref="H836:H841" si="1156">ROUND(D836*100*F836*250*100/50/E836/G836/1000,2)</f>
        <v>12.61</v>
      </c>
      <c r="I836" s="354">
        <f t="shared" ref="I836" si="1157">ROUND((H836+H837)/2,1)</f>
        <v>12.4</v>
      </c>
      <c r="J836" s="354">
        <f t="shared" ref="J836" si="1158">(H836-H837)*100/I836</f>
        <v>3.06451612903225</v>
      </c>
      <c r="K836" s="361" t="s">
        <v>150</v>
      </c>
      <c r="L836" s="363">
        <f t="shared" ref="L836" si="1159">H837-H836</f>
        <v>-0.379999999999999</v>
      </c>
    </row>
    <row r="837" ht="20.25" spans="2:12">
      <c r="B837" s="227"/>
      <c r="C837" s="418"/>
      <c r="D837" s="311">
        <v>11</v>
      </c>
      <c r="E837" s="312">
        <v>6.3325</v>
      </c>
      <c r="F837" s="311">
        <v>1</v>
      </c>
      <c r="G837" s="313">
        <v>7.1</v>
      </c>
      <c r="H837" s="306">
        <f t="shared" si="1156"/>
        <v>12.23</v>
      </c>
      <c r="I837" s="359"/>
      <c r="J837" s="359"/>
      <c r="K837" s="360"/>
      <c r="L837" s="364"/>
    </row>
    <row r="838" ht="20.25" spans="2:12">
      <c r="B838" s="419" t="s">
        <v>1036</v>
      </c>
      <c r="C838" s="417"/>
      <c r="D838" s="311">
        <v>11</v>
      </c>
      <c r="E838" s="312">
        <v>5.3242</v>
      </c>
      <c r="F838" s="311">
        <v>1</v>
      </c>
      <c r="G838" s="313">
        <v>8.9</v>
      </c>
      <c r="H838" s="306">
        <f t="shared" si="1156"/>
        <v>11.61</v>
      </c>
      <c r="I838" s="354">
        <f t="shared" ref="I838" si="1160">ROUND((H838+H839)/2,1)</f>
        <v>11.4</v>
      </c>
      <c r="J838" s="354">
        <f t="shared" ref="J838" si="1161">(H838-H839)*100/I838</f>
        <v>3.33333333333332</v>
      </c>
      <c r="K838" s="361" t="s">
        <v>150</v>
      </c>
      <c r="L838" s="363">
        <f t="shared" ref="L838" si="1162">H839-H838</f>
        <v>-0.379999999999999</v>
      </c>
    </row>
    <row r="839" ht="20.25" spans="2:12">
      <c r="B839" s="227"/>
      <c r="C839" s="418"/>
      <c r="D839" s="311">
        <v>11</v>
      </c>
      <c r="E839" s="312">
        <v>5.5014</v>
      </c>
      <c r="F839" s="311">
        <v>1</v>
      </c>
      <c r="G839" s="313">
        <v>8.9</v>
      </c>
      <c r="H839" s="306">
        <f t="shared" si="1156"/>
        <v>11.23</v>
      </c>
      <c r="I839" s="359"/>
      <c r="J839" s="359"/>
      <c r="K839" s="360"/>
      <c r="L839" s="364"/>
    </row>
    <row r="840" ht="20.25" spans="2:12">
      <c r="B840" s="419" t="s">
        <v>1037</v>
      </c>
      <c r="C840" s="417"/>
      <c r="D840" s="311">
        <v>11</v>
      </c>
      <c r="E840" s="312">
        <v>5.5828</v>
      </c>
      <c r="F840" s="311">
        <v>1</v>
      </c>
      <c r="G840" s="313">
        <v>8.8</v>
      </c>
      <c r="H840" s="306">
        <f t="shared" si="1156"/>
        <v>11.2</v>
      </c>
      <c r="I840" s="354">
        <f t="shared" ref="I840" si="1163">ROUND((H840+H841)/2,1)</f>
        <v>11.1</v>
      </c>
      <c r="J840" s="354">
        <f t="shared" ref="J840" si="1164">(H840-H841)*100/I840</f>
        <v>1.17117117117116</v>
      </c>
      <c r="K840" s="361" t="s">
        <v>150</v>
      </c>
      <c r="L840" s="363">
        <f t="shared" ref="L840" si="1165">H841-H840</f>
        <v>-0.129999999999999</v>
      </c>
    </row>
    <row r="841" ht="20.25" spans="2:12">
      <c r="B841" s="227"/>
      <c r="C841" s="418"/>
      <c r="D841" s="311">
        <v>11</v>
      </c>
      <c r="E841" s="312">
        <v>5.369</v>
      </c>
      <c r="F841" s="311">
        <v>1</v>
      </c>
      <c r="G841" s="313">
        <v>9.25</v>
      </c>
      <c r="H841" s="306">
        <f t="shared" si="1156"/>
        <v>11.07</v>
      </c>
      <c r="I841" s="359"/>
      <c r="J841" s="359"/>
      <c r="K841" s="360"/>
      <c r="L841" s="364"/>
    </row>
    <row r="842" ht="20.25" spans="1:12">
      <c r="A842" s="314">
        <v>320</v>
      </c>
      <c r="B842" s="419" t="s">
        <v>1038</v>
      </c>
      <c r="C842" s="417"/>
      <c r="D842" s="311">
        <v>11</v>
      </c>
      <c r="E842" s="312">
        <v>2.1629</v>
      </c>
      <c r="F842" s="311">
        <v>1</v>
      </c>
      <c r="G842" s="313">
        <v>9.55</v>
      </c>
      <c r="H842" s="306">
        <f t="shared" ref="H842:H847" si="1166">ROUND(D842*100*F842*250*100/50/E842/G842/1000,2)</f>
        <v>26.63</v>
      </c>
      <c r="I842" s="354">
        <f t="shared" ref="I842" si="1167">ROUND((H842+H843)/2,1)</f>
        <v>26.5</v>
      </c>
      <c r="J842" s="354">
        <f t="shared" ref="J842" si="1168">(H842-H843)*100/I842</f>
        <v>1.24528301886792</v>
      </c>
      <c r="K842" s="361" t="s">
        <v>150</v>
      </c>
      <c r="L842" s="363">
        <f t="shared" ref="L842" si="1169">H843-H842</f>
        <v>-0.329999999999998</v>
      </c>
    </row>
    <row r="843" ht="20.25" spans="2:12">
      <c r="B843" s="227"/>
      <c r="C843" s="418"/>
      <c r="D843" s="311">
        <v>11</v>
      </c>
      <c r="E843" s="312">
        <v>2.2365</v>
      </c>
      <c r="F843" s="311">
        <v>1</v>
      </c>
      <c r="G843" s="313">
        <v>9.35</v>
      </c>
      <c r="H843" s="306">
        <f t="shared" si="1166"/>
        <v>26.3</v>
      </c>
      <c r="I843" s="359"/>
      <c r="J843" s="359"/>
      <c r="K843" s="360"/>
      <c r="L843" s="364"/>
    </row>
    <row r="844" ht="20.25" spans="2:12">
      <c r="B844" s="419" t="s">
        <v>1039</v>
      </c>
      <c r="C844" s="417"/>
      <c r="D844" s="311">
        <v>11</v>
      </c>
      <c r="E844" s="312">
        <v>2.4921</v>
      </c>
      <c r="F844" s="311">
        <v>1</v>
      </c>
      <c r="G844" s="313">
        <v>8.5</v>
      </c>
      <c r="H844" s="306">
        <f t="shared" si="1166"/>
        <v>25.96</v>
      </c>
      <c r="I844" s="354">
        <f t="shared" ref="I844" si="1170">ROUND((H844+H845)/2,1)</f>
        <v>26.1</v>
      </c>
      <c r="J844" s="354">
        <f t="shared" ref="J844" si="1171">(H844-H845)*100/I844</f>
        <v>-0.842911877394632</v>
      </c>
      <c r="K844" s="361" t="s">
        <v>150</v>
      </c>
      <c r="L844" s="363">
        <f t="shared" ref="L844" si="1172">H845-H844</f>
        <v>0.219999999999999</v>
      </c>
    </row>
    <row r="845" ht="20.25" spans="2:12">
      <c r="B845" s="227"/>
      <c r="C845" s="418"/>
      <c r="D845" s="311">
        <v>11</v>
      </c>
      <c r="E845" s="312">
        <v>2.5014</v>
      </c>
      <c r="F845" s="311">
        <v>1</v>
      </c>
      <c r="G845" s="313">
        <v>8.4</v>
      </c>
      <c r="H845" s="306">
        <f t="shared" si="1166"/>
        <v>26.18</v>
      </c>
      <c r="I845" s="359"/>
      <c r="J845" s="359"/>
      <c r="K845" s="360"/>
      <c r="L845" s="364"/>
    </row>
    <row r="846" ht="20.25" spans="2:12">
      <c r="B846" s="419" t="s">
        <v>1040</v>
      </c>
      <c r="C846" s="417"/>
      <c r="D846" s="311">
        <v>11</v>
      </c>
      <c r="E846" s="312">
        <v>3.4411</v>
      </c>
      <c r="F846" s="311">
        <v>1</v>
      </c>
      <c r="G846" s="313">
        <v>6</v>
      </c>
      <c r="H846" s="306">
        <f t="shared" si="1166"/>
        <v>26.64</v>
      </c>
      <c r="I846" s="354">
        <f t="shared" ref="I846" si="1173">ROUND((H846+H847)/2,1)</f>
        <v>26.7</v>
      </c>
      <c r="J846" s="354">
        <f t="shared" ref="J846" si="1174">(H846-H847)*100/I846</f>
        <v>-0.561797752808983</v>
      </c>
      <c r="K846" s="361" t="s">
        <v>150</v>
      </c>
      <c r="L846" s="363">
        <f t="shared" ref="L846" si="1175">H847-H846</f>
        <v>0.149999999999999</v>
      </c>
    </row>
    <row r="847" ht="20.25" spans="2:12">
      <c r="B847" s="227"/>
      <c r="C847" s="418"/>
      <c r="D847" s="311">
        <v>11</v>
      </c>
      <c r="E847" s="312">
        <v>3.1587</v>
      </c>
      <c r="F847" s="311">
        <v>1</v>
      </c>
      <c r="G847" s="313">
        <v>6.5</v>
      </c>
      <c r="H847" s="306">
        <f t="shared" si="1166"/>
        <v>26.79</v>
      </c>
      <c r="I847" s="359"/>
      <c r="J847" s="359"/>
      <c r="K847" s="360"/>
      <c r="L847" s="364"/>
    </row>
    <row r="848" ht="20.25" spans="2:12">
      <c r="B848" s="419" t="s">
        <v>1041</v>
      </c>
      <c r="C848" s="417"/>
      <c r="D848" s="311">
        <v>11</v>
      </c>
      <c r="E848" s="312">
        <v>2.3961</v>
      </c>
      <c r="F848" s="311">
        <v>1</v>
      </c>
      <c r="G848" s="313">
        <v>8.45</v>
      </c>
      <c r="H848" s="306">
        <f t="shared" ref="H848:H851" si="1176">ROUND(D848*100*F848*250*100/50/E848/G848/1000,2)</f>
        <v>27.16</v>
      </c>
      <c r="I848" s="354">
        <f t="shared" ref="I848" si="1177">ROUND((H848+H849)/2,1)</f>
        <v>27.1</v>
      </c>
      <c r="J848" s="354">
        <f t="shared" ref="J848" si="1178">(H848-H849)*100/I848</f>
        <v>0.627306273062737</v>
      </c>
      <c r="K848" s="361" t="s">
        <v>150</v>
      </c>
      <c r="L848" s="363">
        <f t="shared" ref="L848" si="1179">H849-H848</f>
        <v>-0.170000000000002</v>
      </c>
    </row>
    <row r="849" ht="20.25" spans="2:12">
      <c r="B849" s="227"/>
      <c r="C849" s="418"/>
      <c r="D849" s="311">
        <v>11</v>
      </c>
      <c r="E849" s="312">
        <v>2.2519</v>
      </c>
      <c r="F849" s="311">
        <v>1</v>
      </c>
      <c r="G849" s="313">
        <v>9.05</v>
      </c>
      <c r="H849" s="306">
        <f t="shared" si="1176"/>
        <v>26.99</v>
      </c>
      <c r="I849" s="359"/>
      <c r="J849" s="359"/>
      <c r="K849" s="360"/>
      <c r="L849" s="364"/>
    </row>
    <row r="850" ht="20.25" spans="2:12">
      <c r="B850" s="419" t="s">
        <v>1042</v>
      </c>
      <c r="C850" s="417"/>
      <c r="D850" s="311">
        <v>11</v>
      </c>
      <c r="E850" s="312">
        <v>1.482</v>
      </c>
      <c r="F850" s="311">
        <v>1</v>
      </c>
      <c r="G850" s="313">
        <v>12</v>
      </c>
      <c r="H850" s="306">
        <f t="shared" si="1176"/>
        <v>30.93</v>
      </c>
      <c r="I850" s="354">
        <f t="shared" ref="I850" si="1180">ROUND((H850+H851)/2,1)</f>
        <v>30.9</v>
      </c>
      <c r="J850" s="354">
        <f t="shared" ref="J850" si="1181">(H850-H851)*100/I850</f>
        <v>0.45307443365696</v>
      </c>
      <c r="K850" s="361" t="s">
        <v>150</v>
      </c>
      <c r="L850" s="363">
        <f t="shared" ref="L850" si="1182">H851-H850</f>
        <v>-0.140000000000001</v>
      </c>
    </row>
    <row r="851" ht="20.25" spans="2:12">
      <c r="B851" s="227"/>
      <c r="C851" s="418"/>
      <c r="D851" s="311">
        <v>11</v>
      </c>
      <c r="E851" s="312">
        <v>1.5012</v>
      </c>
      <c r="F851" s="311">
        <v>1</v>
      </c>
      <c r="G851" s="313">
        <v>11.9</v>
      </c>
      <c r="H851" s="306">
        <f t="shared" si="1176"/>
        <v>30.79</v>
      </c>
      <c r="I851" s="359"/>
      <c r="J851" s="359"/>
      <c r="K851" s="360"/>
      <c r="L851" s="364"/>
    </row>
    <row r="852" ht="20.25" spans="2:12">
      <c r="B852" s="419" t="s">
        <v>1043</v>
      </c>
      <c r="C852" s="417"/>
      <c r="D852" s="311">
        <v>11</v>
      </c>
      <c r="E852" s="312">
        <v>2.0627</v>
      </c>
      <c r="F852" s="311">
        <v>1</v>
      </c>
      <c r="G852" s="313">
        <v>9.5</v>
      </c>
      <c r="H852" s="306">
        <f t="shared" ref="H852:H860" si="1183">ROUND(D852*100*F852*250*100/50/E852/G852/1000,2)</f>
        <v>28.07</v>
      </c>
      <c r="I852" s="354">
        <f t="shared" ref="I852" si="1184">ROUND((H852+H853)/2,1)</f>
        <v>28.1</v>
      </c>
      <c r="J852" s="354">
        <f t="shared" ref="J852" si="1185">(H852-H853)*100/I852</f>
        <v>-0.213523131672593</v>
      </c>
      <c r="K852" s="361" t="s">
        <v>150</v>
      </c>
      <c r="L852" s="363">
        <f t="shared" ref="L852" si="1186">H853-H852</f>
        <v>0.0599999999999987</v>
      </c>
    </row>
    <row r="853" ht="20.25" spans="2:12">
      <c r="B853" s="227"/>
      <c r="C853" s="418"/>
      <c r="D853" s="311">
        <v>11</v>
      </c>
      <c r="E853" s="312">
        <v>2.1025</v>
      </c>
      <c r="F853" s="311">
        <v>1</v>
      </c>
      <c r="G853" s="313">
        <v>9.3</v>
      </c>
      <c r="H853" s="306">
        <f t="shared" si="1183"/>
        <v>28.13</v>
      </c>
      <c r="I853" s="359"/>
      <c r="J853" s="359"/>
      <c r="K853" s="360"/>
      <c r="L853" s="364"/>
    </row>
    <row r="854" ht="20.25" spans="2:12">
      <c r="B854" s="419" t="s">
        <v>597</v>
      </c>
      <c r="C854" s="417"/>
      <c r="D854" s="311">
        <v>11</v>
      </c>
      <c r="E854" s="312">
        <v>1.0287</v>
      </c>
      <c r="F854" s="311">
        <v>1</v>
      </c>
      <c r="G854" s="313">
        <v>17.3</v>
      </c>
      <c r="H854" s="306">
        <f t="shared" si="1183"/>
        <v>30.9</v>
      </c>
      <c r="I854" s="354">
        <f t="shared" ref="I854" si="1187">ROUND((H854+H855)/2,1)</f>
        <v>30.7</v>
      </c>
      <c r="J854" s="354">
        <f t="shared" ref="J854" si="1188">(H854-H855)*100/I854</f>
        <v>1.3029315960912</v>
      </c>
      <c r="K854" s="361" t="s">
        <v>150</v>
      </c>
      <c r="L854" s="363">
        <f t="shared" ref="L854" si="1189">H855-H854</f>
        <v>-0.399999999999999</v>
      </c>
    </row>
    <row r="855" ht="20.25" spans="2:12">
      <c r="B855" s="227"/>
      <c r="C855" s="418"/>
      <c r="D855" s="311">
        <v>11</v>
      </c>
      <c r="E855" s="312">
        <v>1.5029</v>
      </c>
      <c r="F855" s="311">
        <v>1</v>
      </c>
      <c r="G855" s="313">
        <v>12</v>
      </c>
      <c r="H855" s="306">
        <f t="shared" si="1183"/>
        <v>30.5</v>
      </c>
      <c r="I855" s="359"/>
      <c r="J855" s="359"/>
      <c r="K855" s="360"/>
      <c r="L855" s="364"/>
    </row>
    <row r="856" ht="20.25" spans="2:12">
      <c r="B856" s="419" t="s">
        <v>1044</v>
      </c>
      <c r="C856" s="417"/>
      <c r="D856" s="311">
        <v>11</v>
      </c>
      <c r="E856" s="312">
        <v>2.09</v>
      </c>
      <c r="F856" s="311">
        <v>1</v>
      </c>
      <c r="G856" s="313">
        <v>8.55</v>
      </c>
      <c r="H856" s="306">
        <f t="shared" si="1183"/>
        <v>30.78</v>
      </c>
      <c r="I856" s="354">
        <f t="shared" ref="I856" si="1190">ROUND((H856+H857)/2,1)</f>
        <v>30.7</v>
      </c>
      <c r="J856" s="354">
        <f t="shared" ref="J856" si="1191">(H856-H857)*100/I856</f>
        <v>0.228013029315962</v>
      </c>
      <c r="K856" s="361" t="s">
        <v>150</v>
      </c>
      <c r="L856" s="363">
        <f t="shared" ref="L856" si="1192">H857-H856</f>
        <v>-0.0700000000000003</v>
      </c>
    </row>
    <row r="857" ht="20.25" spans="2:12">
      <c r="B857" s="227"/>
      <c r="C857" s="418"/>
      <c r="D857" s="311">
        <v>11</v>
      </c>
      <c r="E857" s="312">
        <v>1.8559</v>
      </c>
      <c r="F857" s="311">
        <v>1</v>
      </c>
      <c r="G857" s="313">
        <v>9.65</v>
      </c>
      <c r="H857" s="306">
        <f t="shared" si="1183"/>
        <v>30.71</v>
      </c>
      <c r="I857" s="359"/>
      <c r="J857" s="359"/>
      <c r="K857" s="360"/>
      <c r="L857" s="364"/>
    </row>
    <row r="858" ht="20.25" spans="2:12">
      <c r="B858" s="419" t="s">
        <v>1045</v>
      </c>
      <c r="C858" s="417"/>
      <c r="D858" s="311">
        <v>11</v>
      </c>
      <c r="E858" s="312">
        <v>1.4612</v>
      </c>
      <c r="F858" s="311">
        <v>1</v>
      </c>
      <c r="G858" s="313">
        <v>13</v>
      </c>
      <c r="H858" s="306">
        <f t="shared" si="1183"/>
        <v>28.95</v>
      </c>
      <c r="I858" s="354">
        <f t="shared" ref="I858" si="1193">ROUND((H858+H859)/2,1)</f>
        <v>29.1</v>
      </c>
      <c r="J858" s="354">
        <f t="shared" ref="J858" si="1194">(H858-H859)*100/I858</f>
        <v>-1.09965635738832</v>
      </c>
      <c r="K858" s="361" t="s">
        <v>150</v>
      </c>
      <c r="L858" s="363">
        <f t="shared" ref="L858" si="1195">H859-H858</f>
        <v>0.32</v>
      </c>
    </row>
    <row r="859" ht="20.25" spans="2:12">
      <c r="B859" s="227"/>
      <c r="C859" s="418"/>
      <c r="D859" s="311">
        <v>11</v>
      </c>
      <c r="E859" s="312">
        <v>1.5214</v>
      </c>
      <c r="F859" s="311">
        <v>1</v>
      </c>
      <c r="G859" s="313">
        <v>12.35</v>
      </c>
      <c r="H859" s="306">
        <f t="shared" si="1183"/>
        <v>29.27</v>
      </c>
      <c r="I859" s="359"/>
      <c r="J859" s="359"/>
      <c r="K859" s="360"/>
      <c r="L859" s="364"/>
    </row>
    <row r="860" ht="20.25" spans="2:12">
      <c r="B860" s="419" t="s">
        <v>1004</v>
      </c>
      <c r="C860" s="417"/>
      <c r="D860" s="311">
        <v>11</v>
      </c>
      <c r="E860" s="312">
        <v>2.0125</v>
      </c>
      <c r="F860" s="311">
        <v>1</v>
      </c>
      <c r="G860" s="313">
        <v>7.8</v>
      </c>
      <c r="H860" s="306">
        <f t="shared" si="1183"/>
        <v>35.04</v>
      </c>
      <c r="I860" s="354">
        <f t="shared" ref="I860" si="1196">ROUND((H860+H861)/2,1)</f>
        <v>35</v>
      </c>
      <c r="J860" s="354">
        <f t="shared" ref="J860" si="1197">(H860-H861)*100/I860</f>
        <v>0.228571428571424</v>
      </c>
      <c r="K860" s="361" t="s">
        <v>150</v>
      </c>
      <c r="L860" s="363">
        <f t="shared" ref="L860" si="1198">H861-H860</f>
        <v>-0.0799999999999983</v>
      </c>
    </row>
    <row r="861" ht="20.25" spans="2:12">
      <c r="B861" s="227"/>
      <c r="C861" s="418"/>
      <c r="D861" s="311">
        <v>11</v>
      </c>
      <c r="E861" s="312">
        <v>2.0039</v>
      </c>
      <c r="F861" s="311">
        <v>1</v>
      </c>
      <c r="G861" s="313">
        <v>7.85</v>
      </c>
      <c r="H861" s="306">
        <f t="shared" ref="H861" si="1199">ROUND(D861*100*F861*250*100/50/E861/G861/1000,2)</f>
        <v>34.96</v>
      </c>
      <c r="I861" s="359"/>
      <c r="J861" s="359"/>
      <c r="K861" s="360"/>
      <c r="L861" s="364"/>
    </row>
    <row r="862" spans="1:1">
      <c r="A862" s="314">
        <v>3.23</v>
      </c>
    </row>
    <row r="863" ht="20.25" spans="2:12">
      <c r="B863" s="419" t="s">
        <v>1046</v>
      </c>
      <c r="C863" s="417"/>
      <c r="D863" s="311">
        <v>11</v>
      </c>
      <c r="E863" s="312">
        <v>5.4103</v>
      </c>
      <c r="F863" s="311">
        <v>1</v>
      </c>
      <c r="G863" s="313">
        <v>7</v>
      </c>
      <c r="H863" s="306">
        <f t="shared" ref="H863:H866" si="1200">ROUND(D863*100*F863*250*100/50/E863/G863/1000,2)</f>
        <v>14.52</v>
      </c>
      <c r="I863" s="354">
        <f t="shared" ref="I863" si="1201">ROUND((H863+H864)/2,1)</f>
        <v>14.6</v>
      </c>
      <c r="J863" s="354">
        <f t="shared" ref="J863" si="1202">(H863-H864)*100/I863</f>
        <v>-1.23287671232877</v>
      </c>
      <c r="K863" s="361" t="s">
        <v>150</v>
      </c>
      <c r="L863" s="363">
        <f t="shared" ref="L863" si="1203">H864-H863</f>
        <v>0.18</v>
      </c>
    </row>
    <row r="864" ht="20.25" spans="2:12">
      <c r="B864" s="227"/>
      <c r="C864" s="418"/>
      <c r="D864" s="311">
        <v>11</v>
      </c>
      <c r="E864" s="312">
        <v>5.2327</v>
      </c>
      <c r="F864" s="311">
        <v>1</v>
      </c>
      <c r="G864" s="313">
        <v>7.15</v>
      </c>
      <c r="H864" s="306">
        <f t="shared" si="1200"/>
        <v>14.7</v>
      </c>
      <c r="I864" s="359"/>
      <c r="J864" s="359"/>
      <c r="K864" s="360"/>
      <c r="L864" s="364"/>
    </row>
    <row r="865" ht="20.25" spans="2:12">
      <c r="B865" s="419" t="s">
        <v>1047</v>
      </c>
      <c r="C865" s="417"/>
      <c r="D865" s="311">
        <v>11</v>
      </c>
      <c r="E865" s="312">
        <v>3.9937</v>
      </c>
      <c r="F865" s="311">
        <v>2</v>
      </c>
      <c r="G865" s="313">
        <v>7.55</v>
      </c>
      <c r="H865" s="306">
        <f t="shared" si="1200"/>
        <v>36.48</v>
      </c>
      <c r="I865" s="354">
        <f t="shared" ref="I865" si="1204">ROUND((H865+H866)/2,1)</f>
        <v>36.3</v>
      </c>
      <c r="J865" s="354">
        <f t="shared" ref="J865" si="1205">(H865-H866)*100/I865</f>
        <v>1.04683195592285</v>
      </c>
      <c r="K865" s="361" t="s">
        <v>150</v>
      </c>
      <c r="L865" s="363">
        <f t="shared" ref="L865" si="1206">H866-H865</f>
        <v>-0.379999999999995</v>
      </c>
    </row>
    <row r="866" ht="20.25" spans="2:12">
      <c r="B866" s="227"/>
      <c r="C866" s="418"/>
      <c r="D866" s="311">
        <v>11</v>
      </c>
      <c r="E866" s="312">
        <v>4.0098</v>
      </c>
      <c r="F866" s="311">
        <v>2</v>
      </c>
      <c r="G866" s="313">
        <v>7.6</v>
      </c>
      <c r="H866" s="306">
        <f t="shared" si="1200"/>
        <v>36.1</v>
      </c>
      <c r="I866" s="359"/>
      <c r="J866" s="359"/>
      <c r="K866" s="360"/>
      <c r="L866" s="364"/>
    </row>
    <row r="867" ht="20.25" spans="1:12">
      <c r="A867" s="314">
        <v>3.27</v>
      </c>
      <c r="B867" s="419" t="s">
        <v>255</v>
      </c>
      <c r="C867" s="417"/>
      <c r="D867" s="311">
        <v>11</v>
      </c>
      <c r="E867" s="312">
        <v>2.5359</v>
      </c>
      <c r="F867" s="311">
        <v>4</v>
      </c>
      <c r="G867" s="313">
        <v>10.5</v>
      </c>
      <c r="H867" s="306">
        <f t="shared" ref="H867:H868" si="1207">ROUND(D867*100*F867*250*100/50/E867/G867/1000,2)</f>
        <v>82.62</v>
      </c>
      <c r="I867" s="354">
        <f t="shared" ref="I867" si="1208">ROUND((H867+H868)/2,1)</f>
        <v>82.6</v>
      </c>
      <c r="J867" s="354">
        <f t="shared" ref="J867" si="1209">(H867-H868)*100/I867</f>
        <v>0</v>
      </c>
      <c r="K867" s="361" t="s">
        <v>150</v>
      </c>
      <c r="L867" s="363">
        <f t="shared" ref="L867" si="1210">H868-H867</f>
        <v>0</v>
      </c>
    </row>
    <row r="868" ht="20.25" spans="2:12">
      <c r="B868" s="227"/>
      <c r="C868" s="418"/>
      <c r="D868" s="311">
        <v>11</v>
      </c>
      <c r="E868" s="312">
        <v>2.5359</v>
      </c>
      <c r="F868" s="311">
        <v>4</v>
      </c>
      <c r="G868" s="313">
        <v>10.5</v>
      </c>
      <c r="H868" s="306">
        <f t="shared" si="1207"/>
        <v>82.62</v>
      </c>
      <c r="I868" s="359"/>
      <c r="J868" s="359"/>
      <c r="K868" s="360"/>
      <c r="L868" s="364"/>
    </row>
    <row r="869" ht="20.25" spans="1:12">
      <c r="A869" s="314">
        <v>3.31</v>
      </c>
      <c r="B869" s="419" t="s">
        <v>442</v>
      </c>
      <c r="C869" s="417"/>
      <c r="D869" s="311">
        <v>11</v>
      </c>
      <c r="E869" s="312">
        <v>2.5154</v>
      </c>
      <c r="F869" s="311">
        <v>4</v>
      </c>
      <c r="G869" s="313">
        <v>9.3</v>
      </c>
      <c r="H869" s="306">
        <f t="shared" ref="H869:H874" si="1211">ROUND(D869*100*F869*250*100/50/E869/G869/1000,2)</f>
        <v>94.04</v>
      </c>
      <c r="I869" s="354">
        <f t="shared" ref="I869" si="1212">ROUND((H869+H870)/2,1)</f>
        <v>94</v>
      </c>
      <c r="J869" s="354">
        <f t="shared" ref="J869" si="1213">(H869-H870)*100/I869</f>
        <v>0</v>
      </c>
      <c r="K869" s="361" t="s">
        <v>150</v>
      </c>
      <c r="L869" s="363">
        <f t="shared" ref="L869" si="1214">H870-H869</f>
        <v>0</v>
      </c>
    </row>
    <row r="870" ht="20.25" spans="2:12">
      <c r="B870" s="227"/>
      <c r="C870" s="418"/>
      <c r="D870" s="311">
        <v>11</v>
      </c>
      <c r="E870" s="312">
        <v>2.5154</v>
      </c>
      <c r="F870" s="311">
        <v>4</v>
      </c>
      <c r="G870" s="313">
        <v>9.3</v>
      </c>
      <c r="H870" s="306">
        <f t="shared" si="1211"/>
        <v>94.04</v>
      </c>
      <c r="I870" s="359"/>
      <c r="J870" s="359"/>
      <c r="K870" s="360"/>
      <c r="L870" s="364"/>
    </row>
    <row r="871" ht="20.25" spans="1:12">
      <c r="A871" s="314">
        <v>4.2</v>
      </c>
      <c r="B871" s="419" t="s">
        <v>256</v>
      </c>
      <c r="C871" s="417"/>
      <c r="D871" s="311">
        <v>11</v>
      </c>
      <c r="E871" s="312">
        <v>2.6512</v>
      </c>
      <c r="F871" s="311">
        <v>4</v>
      </c>
      <c r="G871" s="313">
        <v>8.6</v>
      </c>
      <c r="H871" s="306">
        <f t="shared" si="1211"/>
        <v>96.49</v>
      </c>
      <c r="I871" s="354">
        <f t="shared" ref="I871" si="1215">ROUND((H871+H872)/2,1)</f>
        <v>96.5</v>
      </c>
      <c r="J871" s="354">
        <f t="shared" ref="J871" si="1216">(H871-H872)*100/I871</f>
        <v>0</v>
      </c>
      <c r="K871" s="361" t="s">
        <v>150</v>
      </c>
      <c r="L871" s="363">
        <f t="shared" ref="L871" si="1217">H872-H871</f>
        <v>0</v>
      </c>
    </row>
    <row r="872" ht="20.25" spans="2:12">
      <c r="B872" s="227"/>
      <c r="C872" s="418"/>
      <c r="D872" s="311">
        <v>11</v>
      </c>
      <c r="E872" s="312">
        <v>2.6512</v>
      </c>
      <c r="F872" s="311">
        <v>4</v>
      </c>
      <c r="G872" s="313">
        <v>8.6</v>
      </c>
      <c r="H872" s="306">
        <f t="shared" si="1211"/>
        <v>96.49</v>
      </c>
      <c r="I872" s="359"/>
      <c r="J872" s="359"/>
      <c r="K872" s="360"/>
      <c r="L872" s="364"/>
    </row>
    <row r="873" ht="20.25" spans="2:12">
      <c r="B873" s="419" t="s">
        <v>1048</v>
      </c>
      <c r="C873" s="417"/>
      <c r="D873" s="311">
        <v>11</v>
      </c>
      <c r="E873" s="312">
        <v>2.606</v>
      </c>
      <c r="F873" s="311">
        <v>4</v>
      </c>
      <c r="G873" s="313">
        <v>9</v>
      </c>
      <c r="H873" s="306">
        <f t="shared" si="1211"/>
        <v>93.8</v>
      </c>
      <c r="I873" s="354">
        <f t="shared" ref="I873" si="1218">ROUND((H873+H874)/2,1)</f>
        <v>93.8</v>
      </c>
      <c r="J873" s="354">
        <f t="shared" ref="J873" si="1219">(H873-H874)*100/I873</f>
        <v>0.0959488272921145</v>
      </c>
      <c r="K873" s="361" t="s">
        <v>150</v>
      </c>
      <c r="L873" s="363">
        <f t="shared" ref="L873" si="1220">H874-H873</f>
        <v>-0.0900000000000034</v>
      </c>
    </row>
    <row r="874" ht="20.25" spans="2:12">
      <c r="B874" s="227"/>
      <c r="C874" s="418"/>
      <c r="D874" s="311">
        <v>11</v>
      </c>
      <c r="E874" s="312">
        <v>2.6086</v>
      </c>
      <c r="F874" s="311">
        <v>4</v>
      </c>
      <c r="G874" s="313">
        <v>9</v>
      </c>
      <c r="H874" s="306">
        <f t="shared" si="1211"/>
        <v>93.71</v>
      </c>
      <c r="I874" s="359"/>
      <c r="J874" s="359"/>
      <c r="K874" s="360"/>
      <c r="L874" s="364"/>
    </row>
    <row r="875" ht="20.25" spans="2:12">
      <c r="B875" s="419" t="s">
        <v>257</v>
      </c>
      <c r="C875" s="417"/>
      <c r="D875" s="311">
        <v>11</v>
      </c>
      <c r="E875" s="312">
        <v>2.4657</v>
      </c>
      <c r="F875" s="311">
        <v>4</v>
      </c>
      <c r="G875" s="313">
        <v>9.2</v>
      </c>
      <c r="H875" s="306">
        <f t="shared" ref="H875:H878" si="1221">ROUND(D875*100*F875*250*100/50/E875/G875/1000,2)</f>
        <v>96.98</v>
      </c>
      <c r="I875" s="354">
        <f t="shared" ref="I875" si="1222">ROUND((H875+H876)/2,1)</f>
        <v>97</v>
      </c>
      <c r="J875" s="354">
        <f t="shared" ref="J875" si="1223">(H875-H876)*100/I875</f>
        <v>0</v>
      </c>
      <c r="K875" s="361" t="s">
        <v>150</v>
      </c>
      <c r="L875" s="363">
        <f t="shared" ref="L875" si="1224">H876-H875</f>
        <v>0</v>
      </c>
    </row>
    <row r="876" ht="20.25" spans="2:12">
      <c r="B876" s="227"/>
      <c r="C876" s="418"/>
      <c r="D876" s="311">
        <v>11</v>
      </c>
      <c r="E876" s="312">
        <v>2.4657</v>
      </c>
      <c r="F876" s="311">
        <v>4</v>
      </c>
      <c r="G876" s="313">
        <v>9.2</v>
      </c>
      <c r="H876" s="306">
        <f t="shared" si="1221"/>
        <v>96.98</v>
      </c>
      <c r="I876" s="359"/>
      <c r="J876" s="359"/>
      <c r="K876" s="360"/>
      <c r="L876" s="364"/>
    </row>
    <row r="877" ht="20.25" spans="1:12">
      <c r="A877" s="314">
        <v>4.8</v>
      </c>
      <c r="B877" s="419" t="s">
        <v>1049</v>
      </c>
      <c r="C877" s="417"/>
      <c r="D877" s="311">
        <v>11</v>
      </c>
      <c r="E877" s="312">
        <v>4.9813</v>
      </c>
      <c r="F877" s="311">
        <v>1</v>
      </c>
      <c r="G877" s="313">
        <v>13.3</v>
      </c>
      <c r="H877" s="306">
        <f t="shared" si="1221"/>
        <v>8.3</v>
      </c>
      <c r="I877" s="354">
        <f t="shared" ref="I877" si="1225">ROUND((H877+H878)/2,1)</f>
        <v>8.3</v>
      </c>
      <c r="J877" s="354">
        <f t="shared" ref="J877" si="1226">(H877-H878)*100/I877</f>
        <v>0.722891566265066</v>
      </c>
      <c r="K877" s="361" t="s">
        <v>150</v>
      </c>
      <c r="L877" s="363">
        <f t="shared" ref="L877" si="1227">H878-H877</f>
        <v>-0.0600000000000005</v>
      </c>
    </row>
    <row r="878" ht="20.25" spans="2:12">
      <c r="B878" s="227"/>
      <c r="C878" s="418"/>
      <c r="D878" s="311">
        <v>11</v>
      </c>
      <c r="E878" s="312">
        <v>5.0212</v>
      </c>
      <c r="F878" s="311">
        <v>1</v>
      </c>
      <c r="G878" s="313">
        <v>13.3</v>
      </c>
      <c r="H878" s="306">
        <f t="shared" si="1221"/>
        <v>8.24</v>
      </c>
      <c r="I878" s="359"/>
      <c r="J878" s="359"/>
      <c r="K878" s="360"/>
      <c r="L878" s="364"/>
    </row>
    <row r="879" ht="20.25" spans="2:12">
      <c r="B879" s="419" t="s">
        <v>258</v>
      </c>
      <c r="C879" s="417"/>
      <c r="D879" s="311">
        <v>11</v>
      </c>
      <c r="E879" s="312">
        <v>1.656</v>
      </c>
      <c r="F879" s="311">
        <v>1</v>
      </c>
      <c r="G879" s="313">
        <v>9.3</v>
      </c>
      <c r="H879" s="306">
        <f t="shared" ref="H879:H880" si="1228">ROUND(D879*100*F879*250*100/50/E879/G879/1000,2)</f>
        <v>35.71</v>
      </c>
      <c r="I879" s="354">
        <f t="shared" ref="I879" si="1229">ROUND((H879+H880)/2,1)</f>
        <v>35.8</v>
      </c>
      <c r="J879" s="354">
        <f t="shared" ref="J879" si="1230">(H879-H880)*100/I879</f>
        <v>-0.530726256983234</v>
      </c>
      <c r="K879" s="361" t="s">
        <v>150</v>
      </c>
      <c r="L879" s="363">
        <f t="shared" ref="L879" si="1231">H880-H879</f>
        <v>0.189999999999998</v>
      </c>
    </row>
    <row r="880" ht="20.25" spans="2:12">
      <c r="B880" s="227"/>
      <c r="C880" s="418"/>
      <c r="D880" s="311">
        <v>11</v>
      </c>
      <c r="E880" s="312">
        <v>1.5021</v>
      </c>
      <c r="F880" s="311">
        <v>1</v>
      </c>
      <c r="G880" s="313">
        <v>10.2</v>
      </c>
      <c r="H880" s="306">
        <f t="shared" si="1228"/>
        <v>35.9</v>
      </c>
      <c r="I880" s="359"/>
      <c r="J880" s="359"/>
      <c r="K880" s="360"/>
      <c r="L880" s="364"/>
    </row>
    <row r="881" ht="20.25" spans="1:12">
      <c r="A881" s="314">
        <v>4.9</v>
      </c>
      <c r="B881" s="419" t="s">
        <v>1050</v>
      </c>
      <c r="C881" s="417"/>
      <c r="D881" s="311">
        <v>11</v>
      </c>
      <c r="E881" s="312">
        <v>2.6259</v>
      </c>
      <c r="F881" s="311">
        <v>2</v>
      </c>
      <c r="G881" s="313">
        <v>11.2</v>
      </c>
      <c r="H881" s="306">
        <f t="shared" ref="H881:H882" si="1232">ROUND(D881*100*F881*250*100/50/E881/G881/1000,2)</f>
        <v>37.4</v>
      </c>
      <c r="I881" s="354">
        <f t="shared" ref="I881" si="1233">ROUND((H881+H882)/2,1)</f>
        <v>37.6</v>
      </c>
      <c r="J881" s="354">
        <f t="shared" ref="J881" si="1234">(H881-H882)*100/I881</f>
        <v>-1.11702127659575</v>
      </c>
      <c r="K881" s="361" t="s">
        <v>150</v>
      </c>
      <c r="L881" s="363">
        <f t="shared" ref="L881" si="1235">H882-H881</f>
        <v>0.420000000000002</v>
      </c>
    </row>
    <row r="882" ht="20.25" spans="2:12">
      <c r="B882" s="227"/>
      <c r="C882" s="418"/>
      <c r="D882" s="311">
        <v>11</v>
      </c>
      <c r="E882" s="312">
        <v>2.5627</v>
      </c>
      <c r="F882" s="311">
        <v>2</v>
      </c>
      <c r="G882" s="313">
        <v>11.35</v>
      </c>
      <c r="H882" s="306">
        <f t="shared" si="1232"/>
        <v>37.82</v>
      </c>
      <c r="I882" s="359"/>
      <c r="J882" s="359"/>
      <c r="K882" s="360"/>
      <c r="L882" s="364"/>
    </row>
    <row r="883" ht="20.25" spans="2:12">
      <c r="B883" s="419" t="s">
        <v>1051</v>
      </c>
      <c r="C883" s="417"/>
      <c r="D883" s="311">
        <v>11</v>
      </c>
      <c r="E883" s="312">
        <v>2.429</v>
      </c>
      <c r="F883" s="311">
        <v>1</v>
      </c>
      <c r="G883" s="313">
        <v>5.9</v>
      </c>
      <c r="H883" s="306">
        <f t="shared" ref="H883:H888" si="1236">ROUND(D883*100*F883*250*100/50/E883/G883/1000,2)</f>
        <v>38.38</v>
      </c>
      <c r="I883" s="354">
        <f t="shared" ref="I883" si="1237">ROUND((H883+H884)/2,1)</f>
        <v>38.7</v>
      </c>
      <c r="J883" s="354">
        <f t="shared" ref="J883" si="1238">(H883-H884)*100/I883</f>
        <v>-1.70542635658914</v>
      </c>
      <c r="K883" s="361" t="s">
        <v>150</v>
      </c>
      <c r="L883" s="363">
        <f t="shared" ref="L883" si="1239">H884-H883</f>
        <v>0.659999999999997</v>
      </c>
    </row>
    <row r="884" ht="20.25" spans="2:12">
      <c r="B884" s="227"/>
      <c r="C884" s="418"/>
      <c r="D884" s="311">
        <v>11</v>
      </c>
      <c r="E884" s="312">
        <v>2.0124</v>
      </c>
      <c r="F884" s="311">
        <v>1</v>
      </c>
      <c r="G884" s="313">
        <v>7</v>
      </c>
      <c r="H884" s="306">
        <f t="shared" si="1236"/>
        <v>39.04</v>
      </c>
      <c r="I884" s="359"/>
      <c r="J884" s="359"/>
      <c r="K884" s="360"/>
      <c r="L884" s="364"/>
    </row>
    <row r="885" ht="20.25" spans="1:12">
      <c r="A885" s="314">
        <v>410</v>
      </c>
      <c r="B885" s="419" t="s">
        <v>256</v>
      </c>
      <c r="C885" s="417"/>
      <c r="D885" s="311">
        <v>10.7</v>
      </c>
      <c r="E885" s="312">
        <v>2.5053</v>
      </c>
      <c r="F885" s="311">
        <v>5</v>
      </c>
      <c r="G885" s="313">
        <v>11.2</v>
      </c>
      <c r="H885" s="306">
        <f t="shared" si="1236"/>
        <v>95.33</v>
      </c>
      <c r="I885" s="354">
        <f t="shared" ref="I885" si="1240">ROUND((H885+H886)/2,1)</f>
        <v>95.3</v>
      </c>
      <c r="J885" s="354">
        <f t="shared" ref="J885" si="1241">(H885-H886)*100/I885</f>
        <v>0</v>
      </c>
      <c r="K885" s="361" t="s">
        <v>150</v>
      </c>
      <c r="L885" s="363">
        <f t="shared" ref="L885" si="1242">H886-H885</f>
        <v>0</v>
      </c>
    </row>
    <row r="886" ht="20.25" spans="2:12">
      <c r="B886" s="227"/>
      <c r="C886" s="418"/>
      <c r="D886" s="311">
        <v>10.7</v>
      </c>
      <c r="E886" s="312">
        <v>2.5053</v>
      </c>
      <c r="F886" s="311">
        <v>5</v>
      </c>
      <c r="G886" s="313">
        <v>11.2</v>
      </c>
      <c r="H886" s="306">
        <f t="shared" si="1236"/>
        <v>95.33</v>
      </c>
      <c r="I886" s="359"/>
      <c r="J886" s="359"/>
      <c r="K886" s="360"/>
      <c r="L886" s="364"/>
    </row>
    <row r="887" ht="20.25" spans="2:12">
      <c r="B887" s="419" t="s">
        <v>1048</v>
      </c>
      <c r="C887" s="417"/>
      <c r="D887" s="311">
        <v>10.7</v>
      </c>
      <c r="E887" s="312">
        <v>2.5506</v>
      </c>
      <c r="F887" s="311">
        <v>5</v>
      </c>
      <c r="G887" s="313">
        <v>11.4</v>
      </c>
      <c r="H887" s="306">
        <f t="shared" si="1236"/>
        <v>92</v>
      </c>
      <c r="I887" s="354">
        <f t="shared" ref="I887" si="1243">ROUND((H887+H888)/2,1)</f>
        <v>92</v>
      </c>
      <c r="J887" s="354">
        <f t="shared" ref="J887" si="1244">(H887-H888)*100/I887</f>
        <v>0</v>
      </c>
      <c r="K887" s="361" t="s">
        <v>150</v>
      </c>
      <c r="L887" s="363">
        <f t="shared" ref="L887" si="1245">H888-H887</f>
        <v>0</v>
      </c>
    </row>
    <row r="888" ht="20.25" spans="2:12">
      <c r="B888" s="227"/>
      <c r="C888" s="418"/>
      <c r="D888" s="311">
        <v>10.7</v>
      </c>
      <c r="E888" s="312">
        <v>2.5506</v>
      </c>
      <c r="F888" s="311">
        <v>5</v>
      </c>
      <c r="G888" s="313">
        <v>11.4</v>
      </c>
      <c r="H888" s="306">
        <f t="shared" si="1236"/>
        <v>92</v>
      </c>
      <c r="I888" s="359"/>
      <c r="J888" s="359"/>
      <c r="K888" s="360"/>
      <c r="L888" s="364"/>
    </row>
    <row r="889" ht="20.25" spans="2:12">
      <c r="B889" s="419" t="s">
        <v>257</v>
      </c>
      <c r="C889" s="417"/>
      <c r="D889" s="311">
        <v>10.7</v>
      </c>
      <c r="E889" s="312">
        <v>2.7657</v>
      </c>
      <c r="F889" s="311">
        <v>5</v>
      </c>
      <c r="G889" s="313">
        <v>10.4</v>
      </c>
      <c r="H889" s="306">
        <f t="shared" ref="H889:H894" si="1246">ROUND(D889*100*F889*250*100/50/E889/G889/1000,2)</f>
        <v>93</v>
      </c>
      <c r="I889" s="354">
        <f t="shared" ref="I889" si="1247">ROUND((H889+H890)/2,1)</f>
        <v>93</v>
      </c>
      <c r="J889" s="354">
        <f t="shared" ref="J889" si="1248">(H889-H890)*100/I889</f>
        <v>0</v>
      </c>
      <c r="K889" s="361" t="s">
        <v>150</v>
      </c>
      <c r="L889" s="363">
        <f t="shared" ref="L889" si="1249">H890-H889</f>
        <v>0</v>
      </c>
    </row>
    <row r="890" ht="20.25" spans="2:12">
      <c r="B890" s="227"/>
      <c r="C890" s="418"/>
      <c r="D890" s="311">
        <v>10.7</v>
      </c>
      <c r="E890" s="312">
        <v>2.7657</v>
      </c>
      <c r="F890" s="311">
        <v>5</v>
      </c>
      <c r="G890" s="313">
        <v>10.4</v>
      </c>
      <c r="H890" s="306">
        <f t="shared" si="1246"/>
        <v>93</v>
      </c>
      <c r="I890" s="359"/>
      <c r="J890" s="359"/>
      <c r="K890" s="360"/>
      <c r="L890" s="364"/>
    </row>
    <row r="891" ht="20.25" spans="1:12">
      <c r="A891" s="314">
        <v>4.2</v>
      </c>
      <c r="B891" s="419" t="s">
        <v>1052</v>
      </c>
      <c r="C891" s="417"/>
      <c r="D891" s="311">
        <v>11</v>
      </c>
      <c r="E891" s="312">
        <v>4.5328</v>
      </c>
      <c r="F891" s="311">
        <v>1</v>
      </c>
      <c r="G891" s="313">
        <v>8.5</v>
      </c>
      <c r="H891" s="306">
        <f t="shared" si="1246"/>
        <v>14.28</v>
      </c>
      <c r="I891" s="354">
        <f t="shared" ref="I891" si="1250">ROUND((H891+H892)/2,1)</f>
        <v>14.4</v>
      </c>
      <c r="J891" s="354">
        <f t="shared" ref="J891" si="1251">(H891-H892)*100/I891</f>
        <v>-2.08333333333334</v>
      </c>
      <c r="K891" s="361" t="s">
        <v>150</v>
      </c>
      <c r="L891" s="363">
        <f t="shared" ref="L891" si="1252">H892-H891</f>
        <v>0.300000000000001</v>
      </c>
    </row>
    <row r="892" ht="20.25" spans="2:12">
      <c r="B892" s="227"/>
      <c r="C892" s="418"/>
      <c r="D892" s="311">
        <v>11</v>
      </c>
      <c r="E892" s="312">
        <v>4.0124</v>
      </c>
      <c r="F892" s="311">
        <v>1</v>
      </c>
      <c r="G892" s="313">
        <v>9.4</v>
      </c>
      <c r="H892" s="306">
        <f t="shared" si="1246"/>
        <v>14.58</v>
      </c>
      <c r="I892" s="359"/>
      <c r="J892" s="359"/>
      <c r="K892" s="360"/>
      <c r="L892" s="364"/>
    </row>
    <row r="893" ht="20.25" spans="2:12">
      <c r="B893" s="419" t="s">
        <v>1053</v>
      </c>
      <c r="C893" s="417"/>
      <c r="D893" s="311">
        <v>11</v>
      </c>
      <c r="E893" s="312">
        <v>2.8756</v>
      </c>
      <c r="F893" s="311">
        <v>1</v>
      </c>
      <c r="G893" s="313">
        <v>13.05</v>
      </c>
      <c r="H893" s="306">
        <f t="shared" si="1246"/>
        <v>14.66</v>
      </c>
      <c r="I893" s="354">
        <f t="shared" ref="I893" si="1253">ROUND((H893+H894)/2,1)</f>
        <v>14.5</v>
      </c>
      <c r="J893" s="354">
        <f t="shared" ref="J893" si="1254">(H893-H894)*100/I893</f>
        <v>2.75862068965517</v>
      </c>
      <c r="K893" s="361" t="s">
        <v>150</v>
      </c>
      <c r="L893" s="363">
        <f t="shared" ref="L893" si="1255">H894-H893</f>
        <v>-0.4</v>
      </c>
    </row>
    <row r="894" ht="20.25" spans="2:12">
      <c r="B894" s="227"/>
      <c r="C894" s="418"/>
      <c r="D894" s="311">
        <v>11</v>
      </c>
      <c r="E894" s="312">
        <v>3.0014</v>
      </c>
      <c r="F894" s="311">
        <v>1</v>
      </c>
      <c r="G894" s="313">
        <v>12.85</v>
      </c>
      <c r="H894" s="306">
        <f t="shared" si="1246"/>
        <v>14.26</v>
      </c>
      <c r="I894" s="359"/>
      <c r="J894" s="359"/>
      <c r="K894" s="360"/>
      <c r="L894" s="364"/>
    </row>
    <row r="895" ht="20.25" spans="2:12">
      <c r="B895" s="419" t="s">
        <v>1054</v>
      </c>
      <c r="C895" s="417"/>
      <c r="D895" s="311">
        <v>11</v>
      </c>
      <c r="E895" s="312">
        <v>2.3775</v>
      </c>
      <c r="F895" s="311">
        <v>1</v>
      </c>
      <c r="G895" s="313">
        <v>8.3</v>
      </c>
      <c r="H895" s="306">
        <f t="shared" ref="H895:H898" si="1256">ROUND(D895*100*F895*250*100/50/E895/G895/1000,2)</f>
        <v>27.87</v>
      </c>
      <c r="I895" s="354">
        <f t="shared" ref="I895" si="1257">ROUND((H895+H896)/2,1)</f>
        <v>27.6</v>
      </c>
      <c r="J895" s="354">
        <f t="shared" ref="J895" si="1258">(H895-H896)*100/I895</f>
        <v>1.88405797101449</v>
      </c>
      <c r="K895" s="361" t="s">
        <v>150</v>
      </c>
      <c r="L895" s="363">
        <f t="shared" ref="L895" si="1259">H896-H895</f>
        <v>-0.52</v>
      </c>
    </row>
    <row r="896" ht="20.25" spans="2:12">
      <c r="B896" s="227"/>
      <c r="C896" s="418"/>
      <c r="D896" s="311">
        <v>11</v>
      </c>
      <c r="E896" s="312">
        <v>2.514</v>
      </c>
      <c r="F896" s="311">
        <v>1</v>
      </c>
      <c r="G896" s="313">
        <v>8</v>
      </c>
      <c r="H896" s="306">
        <f t="shared" si="1256"/>
        <v>27.35</v>
      </c>
      <c r="I896" s="359"/>
      <c r="J896" s="359"/>
      <c r="K896" s="360"/>
      <c r="L896" s="364"/>
    </row>
    <row r="897" ht="42.75" customHeight="1" spans="2:12">
      <c r="B897" s="419" t="s">
        <v>1055</v>
      </c>
      <c r="C897" s="417"/>
      <c r="D897" s="311">
        <v>11</v>
      </c>
      <c r="E897" s="312">
        <v>2.2484</v>
      </c>
      <c r="F897" s="311">
        <v>1</v>
      </c>
      <c r="G897" s="313">
        <v>9.35</v>
      </c>
      <c r="H897" s="306">
        <f t="shared" si="1256"/>
        <v>26.16</v>
      </c>
      <c r="I897" s="354">
        <f t="shared" ref="I897" si="1260">ROUND((H897+H898)/2,1)</f>
        <v>26.2</v>
      </c>
      <c r="J897" s="354">
        <f t="shared" ref="J897" si="1261">(H897-H898)*100/I897</f>
        <v>-0.53435114503817</v>
      </c>
      <c r="K897" s="361" t="s">
        <v>150</v>
      </c>
      <c r="L897" s="363">
        <f t="shared" ref="L897" si="1262">H898-H897</f>
        <v>0.140000000000001</v>
      </c>
    </row>
    <row r="898" ht="20.25" spans="2:12">
      <c r="B898" s="227"/>
      <c r="C898" s="418"/>
      <c r="D898" s="311">
        <v>11</v>
      </c>
      <c r="E898" s="312">
        <v>2.3365</v>
      </c>
      <c r="F898" s="311">
        <v>1</v>
      </c>
      <c r="G898" s="313">
        <v>8.95</v>
      </c>
      <c r="H898" s="306">
        <f t="shared" si="1256"/>
        <v>26.3</v>
      </c>
      <c r="I898" s="359"/>
      <c r="J898" s="359"/>
      <c r="K898" s="360"/>
      <c r="L898" s="364"/>
    </row>
    <row r="899" ht="20.25" spans="2:12">
      <c r="B899" s="419" t="s">
        <v>1056</v>
      </c>
      <c r="C899" s="417"/>
      <c r="D899" s="311">
        <v>11</v>
      </c>
      <c r="E899" s="312">
        <v>2.554</v>
      </c>
      <c r="F899" s="311">
        <v>1</v>
      </c>
      <c r="G899" s="313">
        <v>8.3</v>
      </c>
      <c r="H899" s="306">
        <f t="shared" ref="H899:H902" si="1263">ROUND(D899*100*F899*250*100/50/E899/G899/1000,2)</f>
        <v>25.95</v>
      </c>
      <c r="I899" s="354">
        <f t="shared" ref="I899" si="1264">ROUND((H899+H900)/2,1)</f>
        <v>25.6</v>
      </c>
      <c r="J899" s="354">
        <f t="shared" ref="J899" si="1265">(H899-H900)*100/I899</f>
        <v>2.5</v>
      </c>
      <c r="K899" s="361" t="s">
        <v>150</v>
      </c>
      <c r="L899" s="363">
        <f t="shared" ref="L899" si="1266">H900-H899</f>
        <v>-0.640000000000001</v>
      </c>
    </row>
    <row r="900" ht="20.25" spans="2:12">
      <c r="B900" s="227"/>
      <c r="C900" s="418"/>
      <c r="D900" s="311">
        <v>11</v>
      </c>
      <c r="E900" s="312">
        <v>2.4147</v>
      </c>
      <c r="F900" s="311">
        <v>1</v>
      </c>
      <c r="G900" s="313">
        <v>9</v>
      </c>
      <c r="H900" s="306">
        <f t="shared" si="1263"/>
        <v>25.31</v>
      </c>
      <c r="I900" s="359"/>
      <c r="J900" s="359"/>
      <c r="K900" s="360"/>
      <c r="L900" s="364"/>
    </row>
    <row r="901" ht="20.25" spans="2:12">
      <c r="B901" s="419" t="s">
        <v>1057</v>
      </c>
      <c r="C901" s="417"/>
      <c r="D901" s="311">
        <v>11</v>
      </c>
      <c r="E901" s="312">
        <v>0.7</v>
      </c>
      <c r="F901" s="311">
        <v>1</v>
      </c>
      <c r="G901" s="313">
        <v>11.05</v>
      </c>
      <c r="H901" s="306">
        <f t="shared" si="1263"/>
        <v>71.11</v>
      </c>
      <c r="I901" s="354">
        <f t="shared" ref="I901" si="1267">ROUND((H901+H902)/2,1)</f>
        <v>71.5</v>
      </c>
      <c r="J901" s="354">
        <f t="shared" ref="J901" si="1268">(H901-H902)*100/I901</f>
        <v>-1.04895104895105</v>
      </c>
      <c r="K901" s="361" t="s">
        <v>150</v>
      </c>
      <c r="L901" s="363">
        <f t="shared" ref="L901" si="1269">H902-H901</f>
        <v>0.75</v>
      </c>
    </row>
    <row r="902" ht="20.25" spans="2:12">
      <c r="B902" s="227"/>
      <c r="C902" s="418"/>
      <c r="D902" s="311">
        <v>11</v>
      </c>
      <c r="E902" s="312">
        <v>0.6598</v>
      </c>
      <c r="F902" s="311">
        <v>1</v>
      </c>
      <c r="G902" s="313">
        <v>11.6</v>
      </c>
      <c r="H902" s="306">
        <f t="shared" si="1263"/>
        <v>71.86</v>
      </c>
      <c r="I902" s="359"/>
      <c r="J902" s="359"/>
      <c r="K902" s="360"/>
      <c r="L902" s="364"/>
    </row>
    <row r="903" ht="20.25" spans="2:12">
      <c r="B903" s="419" t="s">
        <v>1058</v>
      </c>
      <c r="C903" s="417"/>
      <c r="D903" s="311">
        <v>11</v>
      </c>
      <c r="E903" s="312">
        <v>0.7517</v>
      </c>
      <c r="F903" s="311">
        <v>1</v>
      </c>
      <c r="G903" s="313">
        <v>9.3</v>
      </c>
      <c r="H903" s="306">
        <f t="shared" ref="H903:H904" si="1270">ROUND(D903*100*F903*250*100/50/E903/G903/1000,2)</f>
        <v>78.67</v>
      </c>
      <c r="I903" s="354">
        <f t="shared" ref="I903" si="1271">ROUND((H903+H904)/2,1)</f>
        <v>79.5</v>
      </c>
      <c r="J903" s="354">
        <f t="shared" ref="J903" si="1272">(H903-H904)*100/I903</f>
        <v>-2.16352201257861</v>
      </c>
      <c r="K903" s="361" t="s">
        <v>150</v>
      </c>
      <c r="L903" s="363">
        <f t="shared" ref="L903" si="1273">H904-H903</f>
        <v>1.72</v>
      </c>
    </row>
    <row r="904" ht="20.25" spans="2:12">
      <c r="B904" s="227"/>
      <c r="C904" s="418"/>
      <c r="D904" s="311">
        <v>11</v>
      </c>
      <c r="E904" s="312">
        <v>0.6028</v>
      </c>
      <c r="F904" s="311">
        <v>1</v>
      </c>
      <c r="G904" s="313">
        <v>11.35</v>
      </c>
      <c r="H904" s="306">
        <f t="shared" si="1270"/>
        <v>80.39</v>
      </c>
      <c r="I904" s="359"/>
      <c r="J904" s="359"/>
      <c r="K904" s="360"/>
      <c r="L904" s="364"/>
    </row>
    <row r="905" ht="20.25" spans="1:12">
      <c r="A905" s="314">
        <v>4.232</v>
      </c>
      <c r="B905" s="419" t="s">
        <v>266</v>
      </c>
      <c r="C905" s="417"/>
      <c r="D905" s="311">
        <v>11</v>
      </c>
      <c r="E905" s="312">
        <v>2</v>
      </c>
      <c r="F905" s="311">
        <v>1</v>
      </c>
      <c r="G905" s="313">
        <v>9.8</v>
      </c>
      <c r="H905" s="306">
        <f t="shared" ref="H905:H916" si="1274">ROUND(D905*100*F905*250*100/50/E905/G905/1000,2)</f>
        <v>28.06</v>
      </c>
      <c r="I905" s="354">
        <f t="shared" ref="I905" si="1275">ROUND((H905+H906)/2,1)</f>
        <v>60</v>
      </c>
      <c r="J905" s="354">
        <f t="shared" ref="J905" si="1276">(H905-H906)*100/I905</f>
        <v>-106.566666666667</v>
      </c>
      <c r="K905" s="361" t="s">
        <v>150</v>
      </c>
      <c r="L905" s="363">
        <f t="shared" ref="L905" si="1277">H906-H905</f>
        <v>63.94</v>
      </c>
    </row>
    <row r="906" ht="20.25" spans="2:12">
      <c r="B906" s="227"/>
      <c r="C906" s="418"/>
      <c r="D906" s="311">
        <v>11</v>
      </c>
      <c r="E906" s="312">
        <v>2.44</v>
      </c>
      <c r="F906" s="311">
        <v>4</v>
      </c>
      <c r="G906" s="313">
        <v>9.8</v>
      </c>
      <c r="H906" s="306">
        <f t="shared" si="1274"/>
        <v>92</v>
      </c>
      <c r="I906" s="359"/>
      <c r="J906" s="359"/>
      <c r="K906" s="360"/>
      <c r="L906" s="364"/>
    </row>
    <row r="907" spans="1:8">
      <c r="A907" s="314">
        <v>4.24</v>
      </c>
      <c r="B907" s="295" t="s">
        <v>1059</v>
      </c>
      <c r="D907" s="323">
        <v>11</v>
      </c>
      <c r="E907" s="40">
        <v>2.5772</v>
      </c>
      <c r="F907" s="323">
        <v>4</v>
      </c>
      <c r="G907" s="324">
        <v>8.9</v>
      </c>
      <c r="H907" s="324">
        <f t="shared" si="1274"/>
        <v>95.91</v>
      </c>
    </row>
    <row r="908" spans="4:8">
      <c r="D908" s="323">
        <v>11</v>
      </c>
      <c r="E908" s="40">
        <v>2.5772</v>
      </c>
      <c r="F908" s="323">
        <v>4</v>
      </c>
      <c r="G908" s="324">
        <v>8.9</v>
      </c>
      <c r="H908" s="324">
        <f t="shared" si="1274"/>
        <v>95.91</v>
      </c>
    </row>
    <row r="909" ht="20.25" spans="1:12">
      <c r="A909" s="314">
        <v>5.6</v>
      </c>
      <c r="B909" s="419" t="s">
        <v>1060</v>
      </c>
      <c r="C909" s="417"/>
      <c r="D909" s="311">
        <v>11</v>
      </c>
      <c r="E909" s="312">
        <v>0.9851</v>
      </c>
      <c r="F909" s="311">
        <v>1</v>
      </c>
      <c r="G909" s="313">
        <v>7.75</v>
      </c>
      <c r="H909" s="306">
        <f t="shared" si="1274"/>
        <v>72.04</v>
      </c>
      <c r="I909" s="354">
        <f>ROUND((H909+H910)/2,1)</f>
        <v>72.4</v>
      </c>
      <c r="J909" s="354">
        <f>(H909-H910)*100/I909</f>
        <v>-0.897790055248607</v>
      </c>
      <c r="K909" s="361" t="s">
        <v>150</v>
      </c>
      <c r="L909" s="363">
        <f>H910-H909</f>
        <v>0.649999999999991</v>
      </c>
    </row>
    <row r="910" ht="20.25" spans="2:12">
      <c r="B910" s="227"/>
      <c r="C910" s="418"/>
      <c r="D910" s="311">
        <v>11</v>
      </c>
      <c r="E910" s="312">
        <v>0.8954</v>
      </c>
      <c r="F910" s="311">
        <v>1</v>
      </c>
      <c r="G910" s="313">
        <v>8.45</v>
      </c>
      <c r="H910" s="306">
        <f t="shared" si="1274"/>
        <v>72.69</v>
      </c>
      <c r="I910" s="359"/>
      <c r="J910" s="359"/>
      <c r="K910" s="360"/>
      <c r="L910" s="364"/>
    </row>
    <row r="911" ht="20.25" spans="1:12">
      <c r="A911" s="314">
        <v>5.8</v>
      </c>
      <c r="B911" s="419" t="s">
        <v>1061</v>
      </c>
      <c r="C911" s="417"/>
      <c r="D911" s="311">
        <v>11</v>
      </c>
      <c r="E911" s="312">
        <v>0.7923</v>
      </c>
      <c r="F911" s="311">
        <v>1</v>
      </c>
      <c r="G911" s="313">
        <v>10.5</v>
      </c>
      <c r="H911" s="306">
        <f t="shared" si="1274"/>
        <v>66.11</v>
      </c>
      <c r="I911" s="354">
        <f>ROUND((H911+H912)/2,1)</f>
        <v>66.6</v>
      </c>
      <c r="J911" s="354">
        <f>(H911-H912)*100/I911</f>
        <v>-1.35135135135136</v>
      </c>
      <c r="K911" s="361" t="s">
        <v>150</v>
      </c>
      <c r="L911" s="363">
        <f>H912-H911</f>
        <v>0.900000000000006</v>
      </c>
    </row>
    <row r="912" ht="33" customHeight="1" spans="2:12">
      <c r="B912" s="227"/>
      <c r="C912" s="418"/>
      <c r="D912" s="311">
        <v>11</v>
      </c>
      <c r="E912" s="312">
        <v>0.855</v>
      </c>
      <c r="F912" s="311">
        <v>1</v>
      </c>
      <c r="G912" s="313">
        <v>9.6</v>
      </c>
      <c r="H912" s="306">
        <f t="shared" si="1274"/>
        <v>67.01</v>
      </c>
      <c r="I912" s="359"/>
      <c r="J912" s="359"/>
      <c r="K912" s="360"/>
      <c r="L912" s="364"/>
    </row>
    <row r="913" ht="20.25" spans="2:14">
      <c r="B913" s="425" t="s">
        <v>1062</v>
      </c>
      <c r="C913" s="417"/>
      <c r="D913" s="311">
        <v>11</v>
      </c>
      <c r="E913" s="312">
        <v>0.8754</v>
      </c>
      <c r="F913" s="311">
        <v>1</v>
      </c>
      <c r="G913" s="313">
        <v>10.45</v>
      </c>
      <c r="H913" s="306">
        <f t="shared" si="1274"/>
        <v>60.12</v>
      </c>
      <c r="I913" s="354">
        <f>ROUND((H913+H914)/2,1)</f>
        <v>60.4</v>
      </c>
      <c r="J913" s="354">
        <f>(H913-H914)*100/I913</f>
        <v>-0.976821192052986</v>
      </c>
      <c r="K913" s="361" t="s">
        <v>150</v>
      </c>
      <c r="L913" s="363">
        <f>H914-H913</f>
        <v>0.590000000000003</v>
      </c>
      <c r="M913" s="397">
        <v>20.2</v>
      </c>
      <c r="N913" s="329">
        <f>I913/(100-M913)*100</f>
        <v>75.6892230576441</v>
      </c>
    </row>
    <row r="914" ht="20.25" spans="2:13">
      <c r="B914" s="426"/>
      <c r="C914" s="418"/>
      <c r="D914" s="311">
        <v>11</v>
      </c>
      <c r="E914" s="312">
        <v>0.8273</v>
      </c>
      <c r="F914" s="311">
        <v>1</v>
      </c>
      <c r="G914" s="313">
        <v>10.95</v>
      </c>
      <c r="H914" s="306">
        <f t="shared" si="1274"/>
        <v>60.71</v>
      </c>
      <c r="I914" s="359"/>
      <c r="J914" s="359"/>
      <c r="K914" s="360"/>
      <c r="L914" s="364"/>
      <c r="M914" s="397">
        <v>20.2</v>
      </c>
    </row>
    <row r="915" ht="20.25" spans="2:14">
      <c r="B915" s="425" t="s">
        <v>1063</v>
      </c>
      <c r="C915" s="417"/>
      <c r="D915" s="311">
        <v>11</v>
      </c>
      <c r="E915" s="312">
        <v>0.9751</v>
      </c>
      <c r="F915" s="311">
        <v>1</v>
      </c>
      <c r="G915" s="313">
        <v>9.25</v>
      </c>
      <c r="H915" s="306">
        <f t="shared" si="1274"/>
        <v>60.98</v>
      </c>
      <c r="I915" s="354">
        <f>ROUND((H915+H916)/2,1)</f>
        <v>61.2</v>
      </c>
      <c r="J915" s="354">
        <f>(H915-H916)*100/I915</f>
        <v>-0.816993464052288</v>
      </c>
      <c r="K915" s="361" t="s">
        <v>150</v>
      </c>
      <c r="L915" s="363">
        <f>H916-H915</f>
        <v>0.5</v>
      </c>
      <c r="M915" s="397">
        <v>20.2</v>
      </c>
      <c r="N915" s="329">
        <f>I915/(100-M915)*100</f>
        <v>76.6917293233083</v>
      </c>
    </row>
    <row r="916" ht="20.25" spans="2:13">
      <c r="B916" s="426"/>
      <c r="C916" s="418"/>
      <c r="D916" s="311">
        <v>11</v>
      </c>
      <c r="E916" s="312">
        <v>0.8901</v>
      </c>
      <c r="F916" s="311">
        <v>1</v>
      </c>
      <c r="G916" s="313">
        <v>10.05</v>
      </c>
      <c r="H916" s="306">
        <f t="shared" si="1274"/>
        <v>61.48</v>
      </c>
      <c r="I916" s="359"/>
      <c r="J916" s="359"/>
      <c r="K916" s="360"/>
      <c r="L916" s="364"/>
      <c r="M916" s="397">
        <v>20.2</v>
      </c>
    </row>
    <row r="917" ht="20.25" spans="2:12">
      <c r="B917" s="419" t="s">
        <v>1064</v>
      </c>
      <c r="C917" s="417" t="s">
        <v>1065</v>
      </c>
      <c r="D917" s="311">
        <v>11</v>
      </c>
      <c r="E917" s="312">
        <v>0.6626</v>
      </c>
      <c r="F917" s="311">
        <v>1</v>
      </c>
      <c r="G917" s="313">
        <v>11.2</v>
      </c>
      <c r="H917" s="306">
        <f t="shared" ref="H917:H945" si="1278">ROUND(D917*100*F917*250*100/50/E917/G917/1000,2)</f>
        <v>74.11</v>
      </c>
      <c r="I917" s="354">
        <f>ROUND((H917+H918)/2,1)</f>
        <v>74</v>
      </c>
      <c r="J917" s="354">
        <f>(H917-H918)*100/I917</f>
        <v>0.17567567567567</v>
      </c>
      <c r="K917" s="361" t="s">
        <v>150</v>
      </c>
      <c r="L917" s="363">
        <f>H918-H917</f>
        <v>-0.129999999999995</v>
      </c>
    </row>
    <row r="918" ht="20.25" spans="2:12">
      <c r="B918" s="227"/>
      <c r="C918" s="418"/>
      <c r="D918" s="311">
        <v>11</v>
      </c>
      <c r="E918" s="312">
        <v>0.7014</v>
      </c>
      <c r="F918" s="311">
        <v>1</v>
      </c>
      <c r="G918" s="313">
        <v>10.6</v>
      </c>
      <c r="H918" s="306">
        <f t="shared" si="1278"/>
        <v>73.98</v>
      </c>
      <c r="I918" s="359"/>
      <c r="J918" s="359"/>
      <c r="K918" s="360"/>
      <c r="L918" s="364"/>
    </row>
    <row r="919" ht="20.25" spans="2:12">
      <c r="B919" s="427" t="s">
        <v>1066</v>
      </c>
      <c r="C919" s="417" t="s">
        <v>1067</v>
      </c>
      <c r="D919" s="311">
        <v>11</v>
      </c>
      <c r="E919" s="312">
        <v>0.6615</v>
      </c>
      <c r="F919" s="311">
        <v>1</v>
      </c>
      <c r="G919" s="313">
        <v>11.3</v>
      </c>
      <c r="H919" s="306">
        <f t="shared" si="1278"/>
        <v>73.58</v>
      </c>
      <c r="I919" s="354">
        <f>ROUND((H919+H920)/2,1)</f>
        <v>73.1</v>
      </c>
      <c r="J919" s="354">
        <f>(H919-H920)*100/I919</f>
        <v>1.43638850889193</v>
      </c>
      <c r="K919" s="361" t="s">
        <v>150</v>
      </c>
      <c r="L919" s="363">
        <f>H920-H919</f>
        <v>-1.05</v>
      </c>
    </row>
    <row r="920" ht="20.25" spans="2:12">
      <c r="B920" s="428"/>
      <c r="C920" s="418"/>
      <c r="D920" s="311">
        <v>11</v>
      </c>
      <c r="E920" s="312">
        <v>0.6018</v>
      </c>
      <c r="F920" s="311">
        <v>1</v>
      </c>
      <c r="G920" s="313">
        <v>12.6</v>
      </c>
      <c r="H920" s="306">
        <f t="shared" si="1278"/>
        <v>72.53</v>
      </c>
      <c r="I920" s="359"/>
      <c r="J920" s="359"/>
      <c r="K920" s="360"/>
      <c r="L920" s="364"/>
    </row>
    <row r="921" ht="20.25" spans="2:12">
      <c r="B921" s="427" t="s">
        <v>1068</v>
      </c>
      <c r="C921" s="417"/>
      <c r="D921" s="311">
        <v>11</v>
      </c>
      <c r="E921" s="312">
        <v>0.8045</v>
      </c>
      <c r="F921" s="311">
        <v>1</v>
      </c>
      <c r="G921" s="313">
        <v>9.35</v>
      </c>
      <c r="H921" s="306">
        <f t="shared" si="1278"/>
        <v>73.12</v>
      </c>
      <c r="I921" s="354">
        <f>ROUND((H921+H922)/2,1)</f>
        <v>73.4</v>
      </c>
      <c r="J921" s="354">
        <f>(H921-H922)*100/I921</f>
        <v>-0.708446866485008</v>
      </c>
      <c r="K921" s="361" t="s">
        <v>150</v>
      </c>
      <c r="L921" s="363">
        <f>H922-H921</f>
        <v>0.519999999999996</v>
      </c>
    </row>
    <row r="922" ht="20.25" spans="2:12">
      <c r="B922" s="428"/>
      <c r="C922" s="418"/>
      <c r="D922" s="311">
        <v>11</v>
      </c>
      <c r="E922" s="312">
        <v>0.7432</v>
      </c>
      <c r="F922" s="311">
        <v>1</v>
      </c>
      <c r="G922" s="313">
        <v>10.05</v>
      </c>
      <c r="H922" s="306">
        <f t="shared" si="1278"/>
        <v>73.64</v>
      </c>
      <c r="I922" s="359"/>
      <c r="J922" s="359"/>
      <c r="K922" s="360"/>
      <c r="L922" s="364"/>
    </row>
    <row r="923" ht="20.25" spans="2:12">
      <c r="B923" s="419" t="s">
        <v>1069</v>
      </c>
      <c r="C923" s="417" t="s">
        <v>1070</v>
      </c>
      <c r="D923" s="311">
        <v>11</v>
      </c>
      <c r="E923" s="312">
        <v>0.6452</v>
      </c>
      <c r="F923" s="311">
        <v>1</v>
      </c>
      <c r="G923" s="313">
        <v>11.5</v>
      </c>
      <c r="H923" s="306">
        <f t="shared" si="1278"/>
        <v>74.13</v>
      </c>
      <c r="I923" s="354">
        <f>ROUND((H923+H924)/2,1)</f>
        <v>74.1</v>
      </c>
      <c r="J923" s="354">
        <f>(H923-H924)*100/I923</f>
        <v>0.121457489878528</v>
      </c>
      <c r="K923" s="361" t="s">
        <v>150</v>
      </c>
      <c r="L923" s="363">
        <f>H924-H923</f>
        <v>-0.0899999999999892</v>
      </c>
    </row>
    <row r="924" ht="39" customHeight="1" spans="2:12">
      <c r="B924" s="227"/>
      <c r="C924" s="418"/>
      <c r="D924" s="311">
        <v>11</v>
      </c>
      <c r="E924" s="312">
        <v>0.7041</v>
      </c>
      <c r="F924" s="311">
        <v>1</v>
      </c>
      <c r="G924" s="313">
        <v>10.55</v>
      </c>
      <c r="H924" s="306">
        <f t="shared" si="1278"/>
        <v>74.04</v>
      </c>
      <c r="I924" s="359"/>
      <c r="J924" s="359"/>
      <c r="K924" s="360"/>
      <c r="L924" s="364"/>
    </row>
    <row r="925" ht="20.25" spans="2:12">
      <c r="B925" s="419" t="s">
        <v>1071</v>
      </c>
      <c r="C925" s="417" t="s">
        <v>1072</v>
      </c>
      <c r="D925" s="311">
        <v>11</v>
      </c>
      <c r="E925" s="312">
        <v>0.7809</v>
      </c>
      <c r="F925" s="311">
        <v>1</v>
      </c>
      <c r="G925" s="313">
        <v>8.95</v>
      </c>
      <c r="H925" s="306">
        <f t="shared" si="1278"/>
        <v>78.69</v>
      </c>
      <c r="I925" s="354">
        <f t="shared" ref="I925:I929" si="1279">ROUND((H925+H926)/2,1)</f>
        <v>78.8</v>
      </c>
      <c r="J925" s="354">
        <f t="shared" ref="J925:J929" si="1280">(H925-H926)*100/I925</f>
        <v>-0.329949238578687</v>
      </c>
      <c r="K925" s="361" t="s">
        <v>150</v>
      </c>
      <c r="L925" s="363">
        <f t="shared" ref="L925:L929" si="1281">H926-H925</f>
        <v>0.260000000000005</v>
      </c>
    </row>
    <row r="926" ht="20.25" spans="2:12">
      <c r="B926" s="227"/>
      <c r="C926" s="418"/>
      <c r="D926" s="311">
        <v>11</v>
      </c>
      <c r="E926" s="312">
        <v>0.8054</v>
      </c>
      <c r="F926" s="311">
        <v>1</v>
      </c>
      <c r="G926" s="313">
        <v>8.65</v>
      </c>
      <c r="H926" s="306">
        <f t="shared" si="1278"/>
        <v>78.95</v>
      </c>
      <c r="I926" s="359"/>
      <c r="J926" s="359"/>
      <c r="K926" s="360"/>
      <c r="L926" s="364"/>
    </row>
    <row r="927" ht="20.25" spans="2:12">
      <c r="B927" s="419" t="s">
        <v>1073</v>
      </c>
      <c r="C927" s="417" t="s">
        <v>1074</v>
      </c>
      <c r="D927" s="311">
        <v>11</v>
      </c>
      <c r="E927" s="312">
        <v>0.6783</v>
      </c>
      <c r="F927" s="311">
        <v>1</v>
      </c>
      <c r="G927" s="313">
        <v>10.8</v>
      </c>
      <c r="H927" s="306">
        <f t="shared" si="1278"/>
        <v>75.08</v>
      </c>
      <c r="I927" s="354">
        <f t="shared" si="1279"/>
        <v>74.7</v>
      </c>
      <c r="J927" s="354">
        <f t="shared" si="1280"/>
        <v>1.08433734939759</v>
      </c>
      <c r="K927" s="361" t="s">
        <v>150</v>
      </c>
      <c r="L927" s="363">
        <f t="shared" si="1281"/>
        <v>-0.810000000000002</v>
      </c>
    </row>
    <row r="928" ht="20.25" spans="2:12">
      <c r="B928" s="227"/>
      <c r="C928" s="418"/>
      <c r="D928" s="311">
        <v>11</v>
      </c>
      <c r="E928" s="312">
        <v>0.6583</v>
      </c>
      <c r="F928" s="311">
        <v>1</v>
      </c>
      <c r="G928" s="313">
        <v>11.25</v>
      </c>
      <c r="H928" s="306">
        <f t="shared" si="1278"/>
        <v>74.27</v>
      </c>
      <c r="I928" s="359"/>
      <c r="J928" s="359"/>
      <c r="K928" s="360"/>
      <c r="L928" s="364"/>
    </row>
    <row r="929" ht="20.25" spans="2:14">
      <c r="B929" s="429" t="s">
        <v>1075</v>
      </c>
      <c r="C929" s="417"/>
      <c r="D929" s="311">
        <v>11</v>
      </c>
      <c r="E929" s="312">
        <v>0.947</v>
      </c>
      <c r="F929" s="311">
        <v>1</v>
      </c>
      <c r="G929" s="313">
        <v>8.75</v>
      </c>
      <c r="H929" s="306">
        <f t="shared" si="1278"/>
        <v>66.38</v>
      </c>
      <c r="I929" s="354">
        <f t="shared" si="1279"/>
        <v>65.9</v>
      </c>
      <c r="J929" s="354">
        <f t="shared" si="1280"/>
        <v>1.36570561456751</v>
      </c>
      <c r="K929" s="361" t="s">
        <v>150</v>
      </c>
      <c r="L929" s="363">
        <f t="shared" si="1281"/>
        <v>-0.899999999999991</v>
      </c>
      <c r="M929" s="397">
        <v>18.7</v>
      </c>
      <c r="N929" s="329">
        <f>I929/(100-M929)*100</f>
        <v>81.0578105781058</v>
      </c>
    </row>
    <row r="930" ht="20.25" spans="2:14">
      <c r="B930" s="430"/>
      <c r="C930" s="418"/>
      <c r="D930" s="311">
        <v>11</v>
      </c>
      <c r="E930" s="312">
        <v>0.8889</v>
      </c>
      <c r="F930" s="311">
        <v>1</v>
      </c>
      <c r="G930" s="313">
        <v>9.45</v>
      </c>
      <c r="H930" s="306">
        <f t="shared" si="1278"/>
        <v>65.48</v>
      </c>
      <c r="I930" s="359"/>
      <c r="J930" s="359"/>
      <c r="K930" s="360"/>
      <c r="L930" s="364"/>
      <c r="N930" s="329">
        <f>I930/(100-M930)*100</f>
        <v>0</v>
      </c>
    </row>
    <row r="931" ht="20.25" spans="2:14">
      <c r="B931" s="429" t="s">
        <v>1075</v>
      </c>
      <c r="C931" s="417"/>
      <c r="D931" s="311">
        <v>11</v>
      </c>
      <c r="E931" s="312">
        <v>0.798</v>
      </c>
      <c r="F931" s="311">
        <v>1</v>
      </c>
      <c r="G931" s="313">
        <v>10.35</v>
      </c>
      <c r="H931" s="306">
        <f t="shared" si="1278"/>
        <v>66.59</v>
      </c>
      <c r="I931" s="354">
        <f>ROUND((H931+H932)/2,1)</f>
        <v>66.7</v>
      </c>
      <c r="J931" s="354">
        <f>(H931-H932)*100/I931</f>
        <v>-0.464767616191907</v>
      </c>
      <c r="K931" s="361" t="s">
        <v>150</v>
      </c>
      <c r="L931" s="363">
        <f>H932-H931</f>
        <v>0.310000000000002</v>
      </c>
      <c r="M931" s="397">
        <v>18.7</v>
      </c>
      <c r="N931" s="329">
        <f>I931/(100-M931)*100</f>
        <v>82.0418204182042</v>
      </c>
    </row>
    <row r="932" ht="20.25" spans="2:13">
      <c r="B932" s="430"/>
      <c r="C932" s="418"/>
      <c r="D932" s="311">
        <v>11</v>
      </c>
      <c r="E932" s="312">
        <v>0.8021</v>
      </c>
      <c r="F932" s="311">
        <v>1</v>
      </c>
      <c r="G932" s="313">
        <v>10.25</v>
      </c>
      <c r="H932" s="306">
        <f t="shared" si="1278"/>
        <v>66.9</v>
      </c>
      <c r="I932" s="359"/>
      <c r="J932" s="359"/>
      <c r="K932" s="360"/>
      <c r="L932" s="364"/>
      <c r="M932" s="397"/>
    </row>
    <row r="933" ht="20.25" spans="2:13">
      <c r="B933" s="419" t="s">
        <v>1076</v>
      </c>
      <c r="C933" s="417" t="s">
        <v>1077</v>
      </c>
      <c r="D933" s="311">
        <v>11</v>
      </c>
      <c r="E933" s="312">
        <v>0.8458</v>
      </c>
      <c r="F933" s="311">
        <v>1</v>
      </c>
      <c r="G933" s="313">
        <v>10</v>
      </c>
      <c r="H933" s="306">
        <f t="shared" si="1278"/>
        <v>65.03</v>
      </c>
      <c r="I933" s="354">
        <f t="shared" ref="I933:I937" si="1282">ROUND((H933+H934)/2,1)</f>
        <v>64.6</v>
      </c>
      <c r="J933" s="354">
        <f t="shared" ref="J933:J937" si="1283">(H933-H934)*100/I933</f>
        <v>1.30030959752323</v>
      </c>
      <c r="K933" s="361" t="s">
        <v>150</v>
      </c>
      <c r="L933" s="363">
        <f t="shared" ref="L933:L937" si="1284">H934-H933</f>
        <v>-0.840000000000003</v>
      </c>
      <c r="M933" s="397"/>
    </row>
    <row r="934" ht="20.25" spans="2:13">
      <c r="B934" s="227"/>
      <c r="C934" s="418"/>
      <c r="D934" s="311">
        <v>11</v>
      </c>
      <c r="E934" s="312">
        <v>0.7451</v>
      </c>
      <c r="F934" s="311">
        <v>1</v>
      </c>
      <c r="G934" s="313">
        <v>11.5</v>
      </c>
      <c r="H934" s="306">
        <f t="shared" si="1278"/>
        <v>64.19</v>
      </c>
      <c r="I934" s="359"/>
      <c r="J934" s="359"/>
      <c r="K934" s="360"/>
      <c r="L934" s="364"/>
      <c r="M934" s="397"/>
    </row>
    <row r="935" ht="20.25" spans="2:13">
      <c r="B935" s="419" t="s">
        <v>1078</v>
      </c>
      <c r="C935" s="417" t="s">
        <v>1079</v>
      </c>
      <c r="D935" s="311">
        <v>11</v>
      </c>
      <c r="E935" s="312">
        <v>0.6942</v>
      </c>
      <c r="F935" s="311">
        <v>1</v>
      </c>
      <c r="G935" s="313">
        <v>10.35</v>
      </c>
      <c r="H935" s="306">
        <f t="shared" si="1278"/>
        <v>76.55</v>
      </c>
      <c r="I935" s="354">
        <f t="shared" si="1282"/>
        <v>75.8</v>
      </c>
      <c r="J935" s="354">
        <f t="shared" si="1283"/>
        <v>1.99208443271767</v>
      </c>
      <c r="K935" s="361" t="s">
        <v>150</v>
      </c>
      <c r="L935" s="363">
        <f t="shared" si="1284"/>
        <v>-1.50999999999999</v>
      </c>
      <c r="M935" s="397"/>
    </row>
    <row r="936" ht="20.25" spans="2:13">
      <c r="B936" s="227"/>
      <c r="C936" s="418"/>
      <c r="D936" s="311">
        <v>11</v>
      </c>
      <c r="E936" s="312">
        <v>0.7014</v>
      </c>
      <c r="F936" s="311">
        <v>1</v>
      </c>
      <c r="G936" s="313">
        <v>10.45</v>
      </c>
      <c r="H936" s="306">
        <f t="shared" si="1278"/>
        <v>75.04</v>
      </c>
      <c r="I936" s="359"/>
      <c r="J936" s="359"/>
      <c r="K936" s="360"/>
      <c r="L936" s="364"/>
      <c r="M936" s="397"/>
    </row>
    <row r="937" ht="20.25" spans="2:13">
      <c r="B937" s="427" t="s">
        <v>1080</v>
      </c>
      <c r="C937" s="417" t="s">
        <v>1081</v>
      </c>
      <c r="D937" s="311">
        <v>11</v>
      </c>
      <c r="E937" s="312">
        <v>0.6847</v>
      </c>
      <c r="F937" s="311">
        <v>1</v>
      </c>
      <c r="G937" s="313">
        <v>10.5</v>
      </c>
      <c r="H937" s="306">
        <f t="shared" si="1278"/>
        <v>76.5</v>
      </c>
      <c r="I937" s="354">
        <f t="shared" si="1282"/>
        <v>76.4</v>
      </c>
      <c r="J937" s="354">
        <f t="shared" si="1283"/>
        <v>0.248691099476437</v>
      </c>
      <c r="K937" s="361" t="s">
        <v>150</v>
      </c>
      <c r="L937" s="363">
        <f t="shared" si="1284"/>
        <v>-0.189999999999998</v>
      </c>
      <c r="M937" s="397"/>
    </row>
    <row r="938" ht="20.25" spans="2:13">
      <c r="B938" s="428"/>
      <c r="C938" s="418"/>
      <c r="D938" s="311">
        <v>11</v>
      </c>
      <c r="E938" s="312">
        <v>0.6523</v>
      </c>
      <c r="F938" s="311">
        <v>1</v>
      </c>
      <c r="G938" s="313">
        <v>11.05</v>
      </c>
      <c r="H938" s="306">
        <f t="shared" si="1278"/>
        <v>76.31</v>
      </c>
      <c r="I938" s="359"/>
      <c r="J938" s="359"/>
      <c r="K938" s="360"/>
      <c r="L938" s="364"/>
      <c r="M938" s="397"/>
    </row>
    <row r="939" ht="20.25" spans="2:13">
      <c r="B939" s="427" t="s">
        <v>1082</v>
      </c>
      <c r="C939" s="417"/>
      <c r="D939" s="311">
        <v>11</v>
      </c>
      <c r="E939" s="312">
        <v>0.6259</v>
      </c>
      <c r="F939" s="311">
        <v>1</v>
      </c>
      <c r="G939" s="313">
        <v>11.45</v>
      </c>
      <c r="H939" s="306">
        <f t="shared" si="1278"/>
        <v>76.75</v>
      </c>
      <c r="I939" s="354">
        <f t="shared" ref="I939:I943" si="1285">ROUND((H939+H940)/2,1)</f>
        <v>76.2</v>
      </c>
      <c r="J939" s="354">
        <f t="shared" ref="J939:J943" si="1286">(H939-H940)*100/I939</f>
        <v>1.49606299212598</v>
      </c>
      <c r="K939" s="361" t="s">
        <v>150</v>
      </c>
      <c r="L939" s="363">
        <f t="shared" ref="L939:L943" si="1287">H940-H939</f>
        <v>-1.14</v>
      </c>
      <c r="M939" s="397"/>
    </row>
    <row r="940" ht="20.25" spans="2:13">
      <c r="B940" s="428"/>
      <c r="C940" s="418"/>
      <c r="D940" s="311">
        <v>11</v>
      </c>
      <c r="E940" s="312">
        <v>0.778</v>
      </c>
      <c r="F940" s="311">
        <v>1</v>
      </c>
      <c r="G940" s="313">
        <v>9.35</v>
      </c>
      <c r="H940" s="306">
        <f t="shared" si="1278"/>
        <v>75.61</v>
      </c>
      <c r="I940" s="359"/>
      <c r="J940" s="359"/>
      <c r="K940" s="360"/>
      <c r="L940" s="364"/>
      <c r="M940" s="397"/>
    </row>
    <row r="941" ht="20.25" spans="2:12">
      <c r="B941" s="419" t="s">
        <v>1083</v>
      </c>
      <c r="C941" s="417" t="s">
        <v>1084</v>
      </c>
      <c r="D941" s="311">
        <v>11</v>
      </c>
      <c r="E941" s="312">
        <v>0.7553</v>
      </c>
      <c r="F941" s="311">
        <v>1</v>
      </c>
      <c r="G941" s="313">
        <v>9.6</v>
      </c>
      <c r="H941" s="306">
        <f t="shared" si="1278"/>
        <v>75.85</v>
      </c>
      <c r="I941" s="354">
        <f t="shared" si="1285"/>
        <v>75.6</v>
      </c>
      <c r="J941" s="354">
        <f t="shared" si="1286"/>
        <v>0.62169312169312</v>
      </c>
      <c r="K941" s="361" t="s">
        <v>150</v>
      </c>
      <c r="L941" s="363">
        <f t="shared" si="1287"/>
        <v>-0.469999999999999</v>
      </c>
    </row>
    <row r="942" ht="20.25" spans="2:12">
      <c r="B942" s="227"/>
      <c r="C942" s="418"/>
      <c r="D942" s="311">
        <v>11</v>
      </c>
      <c r="E942" s="312">
        <v>0.6982</v>
      </c>
      <c r="F942" s="311">
        <v>1</v>
      </c>
      <c r="G942" s="313">
        <v>10.45</v>
      </c>
      <c r="H942" s="306">
        <f t="shared" si="1278"/>
        <v>75.38</v>
      </c>
      <c r="I942" s="359"/>
      <c r="J942" s="359"/>
      <c r="K942" s="360"/>
      <c r="L942" s="364"/>
    </row>
    <row r="943" ht="20.25" spans="2:12">
      <c r="B943" s="419" t="s">
        <v>1085</v>
      </c>
      <c r="C943" s="417" t="s">
        <v>1084</v>
      </c>
      <c r="D943" s="311">
        <v>11</v>
      </c>
      <c r="E943" s="312">
        <v>0.7553</v>
      </c>
      <c r="F943" s="311">
        <v>1</v>
      </c>
      <c r="G943" s="313">
        <v>9.6</v>
      </c>
      <c r="H943" s="306">
        <f t="shared" si="1278"/>
        <v>75.85</v>
      </c>
      <c r="I943" s="354">
        <f t="shared" si="1285"/>
        <v>75.6</v>
      </c>
      <c r="J943" s="354">
        <f t="shared" si="1286"/>
        <v>0.62169312169312</v>
      </c>
      <c r="K943" s="361" t="s">
        <v>150</v>
      </c>
      <c r="L943" s="363">
        <f t="shared" si="1287"/>
        <v>-0.469999999999999</v>
      </c>
    </row>
    <row r="944" ht="20.25" spans="2:12">
      <c r="B944" s="227"/>
      <c r="C944" s="418"/>
      <c r="D944" s="311">
        <v>11</v>
      </c>
      <c r="E944" s="312">
        <v>0.6982</v>
      </c>
      <c r="F944" s="311">
        <v>1</v>
      </c>
      <c r="G944" s="313">
        <v>10.45</v>
      </c>
      <c r="H944" s="306">
        <f t="shared" si="1278"/>
        <v>75.38</v>
      </c>
      <c r="I944" s="359"/>
      <c r="J944" s="359"/>
      <c r="K944" s="360"/>
      <c r="L944" s="364"/>
    </row>
    <row r="945" ht="20.25" spans="2:12">
      <c r="B945" s="419" t="s">
        <v>1064</v>
      </c>
      <c r="C945" s="417" t="s">
        <v>1065</v>
      </c>
      <c r="D945" s="311">
        <v>11</v>
      </c>
      <c r="E945" s="312">
        <v>0.7002</v>
      </c>
      <c r="F945" s="311">
        <v>1</v>
      </c>
      <c r="G945" s="313">
        <v>10.55</v>
      </c>
      <c r="H945" s="306">
        <f t="shared" si="1278"/>
        <v>74.45</v>
      </c>
      <c r="I945" s="354">
        <f>ROUND((H945+H946)/2,1)</f>
        <v>74.7</v>
      </c>
      <c r="J945" s="354">
        <f>(H945-H946)*100/I945</f>
        <v>-0.535475234270404</v>
      </c>
      <c r="K945" s="361" t="s">
        <v>150</v>
      </c>
      <c r="L945" s="363">
        <f>H946-H945</f>
        <v>0.399999999999991</v>
      </c>
    </row>
    <row r="946" ht="20.25" spans="2:12">
      <c r="B946" s="227"/>
      <c r="C946" s="418"/>
      <c r="D946" s="311">
        <v>11</v>
      </c>
      <c r="E946" s="312">
        <v>0.6932</v>
      </c>
      <c r="F946" s="311">
        <v>1</v>
      </c>
      <c r="G946" s="313">
        <v>10.6</v>
      </c>
      <c r="H946" s="306">
        <f t="shared" ref="H946:H962" si="1288">ROUND(D946*100*F946*250*100/50/E946/G946/1000,2)</f>
        <v>74.85</v>
      </c>
      <c r="I946" s="359"/>
      <c r="J946" s="359"/>
      <c r="K946" s="360"/>
      <c r="L946" s="364"/>
    </row>
    <row r="947" ht="20.25" spans="2:12">
      <c r="B947" s="427" t="s">
        <v>1066</v>
      </c>
      <c r="C947" s="417" t="s">
        <v>1067</v>
      </c>
      <c r="D947" s="311">
        <v>11</v>
      </c>
      <c r="E947" s="312">
        <v>0.7143</v>
      </c>
      <c r="F947" s="311">
        <v>1</v>
      </c>
      <c r="G947" s="313">
        <v>10.55</v>
      </c>
      <c r="H947" s="306">
        <f t="shared" si="1288"/>
        <v>72.98</v>
      </c>
      <c r="I947" s="354">
        <f>ROUND((H947+H948)/2,1)</f>
        <v>72.8</v>
      </c>
      <c r="J947" s="354">
        <f>(H947-H948)*100/I947</f>
        <v>0.631868131868143</v>
      </c>
      <c r="K947" s="361" t="s">
        <v>883</v>
      </c>
      <c r="L947" s="363">
        <f>H948-H947</f>
        <v>-0.460000000000008</v>
      </c>
    </row>
    <row r="948" ht="20.25" spans="2:12">
      <c r="B948" s="428"/>
      <c r="C948" s="418"/>
      <c r="D948" s="311">
        <v>11</v>
      </c>
      <c r="E948" s="312">
        <v>0.7328</v>
      </c>
      <c r="F948" s="311">
        <v>1</v>
      </c>
      <c r="G948" s="313">
        <v>10.35</v>
      </c>
      <c r="H948" s="306">
        <f t="shared" si="1288"/>
        <v>72.52</v>
      </c>
      <c r="I948" s="359"/>
      <c r="J948" s="359"/>
      <c r="K948" s="360"/>
      <c r="L948" s="364"/>
    </row>
    <row r="949" ht="20.25" spans="2:12">
      <c r="B949" s="419" t="s">
        <v>1069</v>
      </c>
      <c r="C949" s="417" t="s">
        <v>1070</v>
      </c>
      <c r="D949" s="311">
        <v>11</v>
      </c>
      <c r="E949" s="312">
        <v>0.8021</v>
      </c>
      <c r="F949" s="311">
        <v>1</v>
      </c>
      <c r="G949" s="313">
        <v>9.3</v>
      </c>
      <c r="H949" s="306">
        <f t="shared" si="1288"/>
        <v>73.73</v>
      </c>
      <c r="I949" s="354">
        <f>ROUND((H949+H950)/2,1)</f>
        <v>73.9</v>
      </c>
      <c r="J949" s="354">
        <f>(H949-H950)*100/I949</f>
        <v>-0.419485791610287</v>
      </c>
      <c r="K949" s="361" t="s">
        <v>885</v>
      </c>
      <c r="L949" s="363">
        <f>H950-H949</f>
        <v>0.310000000000002</v>
      </c>
    </row>
    <row r="950" ht="20.25" spans="2:12">
      <c r="B950" s="227"/>
      <c r="C950" s="418"/>
      <c r="D950" s="311">
        <v>11</v>
      </c>
      <c r="E950" s="312">
        <v>0.7041</v>
      </c>
      <c r="F950" s="311">
        <v>1</v>
      </c>
      <c r="G950" s="313">
        <v>10.55</v>
      </c>
      <c r="H950" s="306">
        <f t="shared" si="1288"/>
        <v>74.04</v>
      </c>
      <c r="I950" s="359"/>
      <c r="J950" s="359"/>
      <c r="K950" s="360"/>
      <c r="L950" s="364"/>
    </row>
    <row r="951" ht="20.25" spans="2:12">
      <c r="B951" s="419" t="s">
        <v>1071</v>
      </c>
      <c r="C951" s="417" t="s">
        <v>1072</v>
      </c>
      <c r="D951" s="311">
        <v>11</v>
      </c>
      <c r="E951" s="312">
        <v>0.7142</v>
      </c>
      <c r="F951" s="311">
        <v>1</v>
      </c>
      <c r="G951" s="313">
        <v>9.8</v>
      </c>
      <c r="H951" s="306">
        <f t="shared" si="1288"/>
        <v>78.58</v>
      </c>
      <c r="I951" s="354">
        <f>ROUND((H951+H952)/2,1)</f>
        <v>79.5</v>
      </c>
      <c r="J951" s="354">
        <f>(H951-H952)*100/I951</f>
        <v>-2.23899371069183</v>
      </c>
      <c r="K951" s="361" t="s">
        <v>887</v>
      </c>
      <c r="L951" s="363">
        <f>H952-H951</f>
        <v>1.78</v>
      </c>
    </row>
    <row r="952" ht="20.25" spans="2:12">
      <c r="B952" s="227"/>
      <c r="C952" s="418"/>
      <c r="D952" s="311">
        <v>11</v>
      </c>
      <c r="E952" s="312">
        <v>0.732</v>
      </c>
      <c r="F952" s="311">
        <v>1</v>
      </c>
      <c r="G952" s="313">
        <v>9.35</v>
      </c>
      <c r="H952" s="306">
        <f t="shared" si="1288"/>
        <v>80.36</v>
      </c>
      <c r="I952" s="359"/>
      <c r="J952" s="359"/>
      <c r="K952" s="360"/>
      <c r="L952" s="364"/>
    </row>
    <row r="953" ht="20.25" spans="2:12">
      <c r="B953" s="419" t="s">
        <v>1073</v>
      </c>
      <c r="C953" s="417" t="s">
        <v>1074</v>
      </c>
      <c r="D953" s="311">
        <v>11</v>
      </c>
      <c r="E953" s="312">
        <v>0.6598</v>
      </c>
      <c r="F953" s="311">
        <v>1</v>
      </c>
      <c r="G953" s="313">
        <v>11</v>
      </c>
      <c r="H953" s="306">
        <f t="shared" si="1288"/>
        <v>75.78</v>
      </c>
      <c r="I953" s="354">
        <f>ROUND((H953+H954)/2,1)</f>
        <v>75.4</v>
      </c>
      <c r="J953" s="354">
        <f>(H953-H954)*100/I953</f>
        <v>0.888594164456236</v>
      </c>
      <c r="K953" s="361" t="s">
        <v>891</v>
      </c>
      <c r="L953" s="363">
        <f>H954-H953</f>
        <v>-0.670000000000002</v>
      </c>
    </row>
    <row r="954" ht="20.25" spans="2:12">
      <c r="B954" s="227"/>
      <c r="C954" s="418"/>
      <c r="D954" s="311">
        <v>11</v>
      </c>
      <c r="E954" s="312">
        <v>0.6627</v>
      </c>
      <c r="F954" s="311">
        <v>1</v>
      </c>
      <c r="G954" s="313">
        <v>11.05</v>
      </c>
      <c r="H954" s="306">
        <f t="shared" si="1288"/>
        <v>75.11</v>
      </c>
      <c r="I954" s="359"/>
      <c r="J954" s="359"/>
      <c r="K954" s="360"/>
      <c r="L954" s="364"/>
    </row>
    <row r="955" ht="20.25" spans="2:12">
      <c r="B955" s="419" t="s">
        <v>1076</v>
      </c>
      <c r="C955" s="417" t="s">
        <v>1077</v>
      </c>
      <c r="D955" s="311">
        <v>11</v>
      </c>
      <c r="E955" s="312">
        <v>0.9051</v>
      </c>
      <c r="F955" s="311">
        <v>1</v>
      </c>
      <c r="G955" s="313">
        <v>9.35</v>
      </c>
      <c r="H955" s="306">
        <f t="shared" si="1288"/>
        <v>64.99</v>
      </c>
      <c r="I955" s="354">
        <f>ROUND((H955+H956)/2,1)</f>
        <v>65.1</v>
      </c>
      <c r="J955" s="354">
        <f>(H955-H956)*100/I955</f>
        <v>-0.276497695852545</v>
      </c>
      <c r="K955" s="361" t="s">
        <v>893</v>
      </c>
      <c r="L955" s="363">
        <f>H956-H955</f>
        <v>0.180000000000007</v>
      </c>
    </row>
    <row r="956" ht="20.25" spans="2:12">
      <c r="B956" s="227"/>
      <c r="C956" s="418"/>
      <c r="D956" s="311">
        <v>11</v>
      </c>
      <c r="E956" s="312">
        <v>0.7743</v>
      </c>
      <c r="F956" s="311">
        <v>1</v>
      </c>
      <c r="G956" s="313">
        <v>10.9</v>
      </c>
      <c r="H956" s="306">
        <f t="shared" si="1288"/>
        <v>65.17</v>
      </c>
      <c r="I956" s="359"/>
      <c r="J956" s="359"/>
      <c r="K956" s="360"/>
      <c r="L956" s="364"/>
    </row>
    <row r="957" ht="20.25" spans="2:12">
      <c r="B957" s="419" t="s">
        <v>1078</v>
      </c>
      <c r="C957" s="417" t="s">
        <v>1079</v>
      </c>
      <c r="D957" s="311">
        <v>11</v>
      </c>
      <c r="E957" s="312">
        <v>0.6329</v>
      </c>
      <c r="F957" s="311">
        <v>1</v>
      </c>
      <c r="G957" s="313">
        <v>11.5</v>
      </c>
      <c r="H957" s="306">
        <f t="shared" si="1288"/>
        <v>75.57</v>
      </c>
      <c r="I957" s="354">
        <f>ROUND((H957+H958)/2,1)</f>
        <v>74.9</v>
      </c>
      <c r="J957" s="354">
        <f>(H957-H958)*100/I957</f>
        <v>1.68224299065419</v>
      </c>
      <c r="K957" s="361" t="s">
        <v>895</v>
      </c>
      <c r="L957" s="363">
        <f>H958-H957</f>
        <v>-1.25999999999999</v>
      </c>
    </row>
    <row r="958" ht="20.25" spans="2:12">
      <c r="B958" s="227"/>
      <c r="C958" s="418"/>
      <c r="D958" s="311">
        <v>11</v>
      </c>
      <c r="E958" s="312">
        <v>0.6408</v>
      </c>
      <c r="F958" s="311">
        <v>1</v>
      </c>
      <c r="G958" s="313">
        <v>11.55</v>
      </c>
      <c r="H958" s="306">
        <f t="shared" si="1288"/>
        <v>74.31</v>
      </c>
      <c r="I958" s="359"/>
      <c r="J958" s="359"/>
      <c r="K958" s="360"/>
      <c r="L958" s="364"/>
    </row>
    <row r="959" ht="20.25" spans="2:12">
      <c r="B959" s="427" t="s">
        <v>1080</v>
      </c>
      <c r="C959" s="417" t="s">
        <v>1081</v>
      </c>
      <c r="D959" s="311">
        <v>11</v>
      </c>
      <c r="E959" s="312">
        <v>0.7013</v>
      </c>
      <c r="F959" s="311">
        <v>1</v>
      </c>
      <c r="G959" s="313">
        <v>10.25</v>
      </c>
      <c r="H959" s="306">
        <f t="shared" si="1288"/>
        <v>76.51</v>
      </c>
      <c r="I959" s="354">
        <f t="shared" ref="I959:I964" si="1289">ROUND((H959+H960)/2,1)</f>
        <v>76.6</v>
      </c>
      <c r="J959" s="354">
        <f t="shared" ref="J959:J964" si="1290">(H959-H960)*100/I959</f>
        <v>-0.182767624020888</v>
      </c>
      <c r="K959" s="361" t="s">
        <v>1013</v>
      </c>
      <c r="L959" s="363">
        <f>H960-H959</f>
        <v>0.140000000000001</v>
      </c>
    </row>
    <row r="960" ht="20.25" spans="2:12">
      <c r="B960" s="428"/>
      <c r="C960" s="418"/>
      <c r="D960" s="311">
        <v>11</v>
      </c>
      <c r="E960" s="312">
        <v>0.7322</v>
      </c>
      <c r="F960" s="311">
        <v>1</v>
      </c>
      <c r="G960" s="313">
        <v>9.8</v>
      </c>
      <c r="H960" s="306">
        <f t="shared" si="1288"/>
        <v>76.65</v>
      </c>
      <c r="I960" s="359"/>
      <c r="J960" s="359"/>
      <c r="K960" s="360"/>
      <c r="L960" s="364"/>
    </row>
    <row r="961" ht="20.25" spans="2:12">
      <c r="B961" s="427"/>
      <c r="C961" s="417" t="s">
        <v>1084</v>
      </c>
      <c r="D961" s="311">
        <v>11</v>
      </c>
      <c r="E961" s="312">
        <v>0.7981</v>
      </c>
      <c r="F961" s="311">
        <v>1</v>
      </c>
      <c r="G961" s="313">
        <v>9.15</v>
      </c>
      <c r="H961" s="306">
        <f t="shared" si="1288"/>
        <v>75.32</v>
      </c>
      <c r="I961" s="354">
        <f t="shared" si="1289"/>
        <v>75.8</v>
      </c>
      <c r="J961" s="354">
        <f t="shared" si="1290"/>
        <v>-1.18733509234829</v>
      </c>
      <c r="K961" s="361" t="s">
        <v>1086</v>
      </c>
      <c r="L961" s="363">
        <f>H962-H961</f>
        <v>0.900000000000006</v>
      </c>
    </row>
    <row r="962" ht="20.25" spans="2:12">
      <c r="B962" s="428"/>
      <c r="C962" s="418"/>
      <c r="D962" s="311">
        <v>11</v>
      </c>
      <c r="E962" s="312">
        <v>0.704</v>
      </c>
      <c r="F962" s="311">
        <v>1</v>
      </c>
      <c r="G962" s="313">
        <v>10.25</v>
      </c>
      <c r="H962" s="306">
        <f t="shared" si="1288"/>
        <v>76.22</v>
      </c>
      <c r="I962" s="359"/>
      <c r="J962" s="359"/>
      <c r="K962" s="360"/>
      <c r="L962" s="364"/>
    </row>
    <row r="963" ht="59.1" customHeight="1"/>
    <row r="964" ht="20.25" spans="2:14">
      <c r="B964" s="429" t="s">
        <v>1075</v>
      </c>
      <c r="C964" s="417" t="s">
        <v>1087</v>
      </c>
      <c r="D964" s="311">
        <v>11</v>
      </c>
      <c r="E964" s="312">
        <v>0.7983</v>
      </c>
      <c r="F964" s="311">
        <v>1</v>
      </c>
      <c r="G964" s="313">
        <v>10.45</v>
      </c>
      <c r="H964" s="306">
        <f>ROUND(D964*100*F964*250*100/50/E964/G964/1000,2)</f>
        <v>65.93</v>
      </c>
      <c r="I964" s="354">
        <f t="shared" si="1289"/>
        <v>66.5</v>
      </c>
      <c r="J964" s="354">
        <f t="shared" si="1290"/>
        <v>-1.66917293233083</v>
      </c>
      <c r="K964" s="361" t="s">
        <v>150</v>
      </c>
      <c r="L964" s="363">
        <v>0</v>
      </c>
      <c r="M964" s="397">
        <v>18.7</v>
      </c>
      <c r="N964" s="329">
        <f>I964/(100-M964)*100</f>
        <v>81.7958179581796</v>
      </c>
    </row>
    <row r="965" ht="20.25" spans="2:13">
      <c r="B965" s="430"/>
      <c r="C965" s="418"/>
      <c r="D965" s="311">
        <v>11</v>
      </c>
      <c r="E965" s="312">
        <v>0.774</v>
      </c>
      <c r="F965" s="311">
        <v>1</v>
      </c>
      <c r="G965" s="313">
        <v>10.6</v>
      </c>
      <c r="H965" s="306">
        <f t="shared" ref="H965:H975" si="1291">ROUND(D965*100*F965*250*100/50/E965/G965/1000,2)</f>
        <v>67.04</v>
      </c>
      <c r="I965" s="359"/>
      <c r="J965" s="359"/>
      <c r="K965" s="360"/>
      <c r="L965" s="364"/>
      <c r="M965" s="397"/>
    </row>
    <row r="966" ht="20.25" spans="2:14">
      <c r="B966" s="429" t="s">
        <v>1075</v>
      </c>
      <c r="C966" s="417" t="s">
        <v>1088</v>
      </c>
      <c r="D966" s="311">
        <v>11</v>
      </c>
      <c r="E966" s="312">
        <v>0.794</v>
      </c>
      <c r="F966" s="311">
        <v>1</v>
      </c>
      <c r="G966" s="313">
        <v>10.4</v>
      </c>
      <c r="H966" s="306">
        <f t="shared" si="1291"/>
        <v>66.61</v>
      </c>
      <c r="I966" s="354">
        <f>ROUND((H966+H967)/2,1)</f>
        <v>66.2</v>
      </c>
      <c r="J966" s="354">
        <f>(H966-H967)*100/I966</f>
        <v>1.13293051359517</v>
      </c>
      <c r="K966" s="361" t="s">
        <v>150</v>
      </c>
      <c r="L966" s="363">
        <v>0</v>
      </c>
      <c r="M966" s="397">
        <v>18.7</v>
      </c>
      <c r="N966" s="329">
        <f>I966/(100-M966)*100</f>
        <v>81.4268142681427</v>
      </c>
    </row>
    <row r="967" ht="20.25" spans="2:12">
      <c r="B967" s="430"/>
      <c r="C967" s="418"/>
      <c r="D967" s="311">
        <v>11</v>
      </c>
      <c r="E967" s="312">
        <v>0.7768</v>
      </c>
      <c r="F967" s="311">
        <v>1</v>
      </c>
      <c r="G967" s="313">
        <v>10.75</v>
      </c>
      <c r="H967" s="306">
        <f t="shared" si="1291"/>
        <v>65.86</v>
      </c>
      <c r="I967" s="359"/>
      <c r="J967" s="359"/>
      <c r="K967" s="360"/>
      <c r="L967" s="364"/>
    </row>
    <row r="968" ht="20.25" spans="2:14">
      <c r="B968" s="425" t="s">
        <v>1062</v>
      </c>
      <c r="C968" s="417" t="s">
        <v>1089</v>
      </c>
      <c r="D968" s="311">
        <v>11</v>
      </c>
      <c r="E968" s="312">
        <v>0.7045</v>
      </c>
      <c r="F968" s="311">
        <v>1</v>
      </c>
      <c r="G968" s="313">
        <v>12.85</v>
      </c>
      <c r="H968" s="306">
        <f t="shared" si="1291"/>
        <v>60.75</v>
      </c>
      <c r="I968" s="354">
        <f t="shared" ref="I968:I972" si="1292">ROUND((H968+H969)/2,1)</f>
        <v>60.4</v>
      </c>
      <c r="J968" s="354">
        <f t="shared" ref="J968:J972" si="1293">(H968-H969)*100/I968</f>
        <v>1.14238410596026</v>
      </c>
      <c r="K968" s="361" t="s">
        <v>150</v>
      </c>
      <c r="L968" s="363">
        <v>1.01</v>
      </c>
      <c r="M968" s="397">
        <v>20.2</v>
      </c>
      <c r="N968" s="329">
        <f>I968/(100-M968)*100</f>
        <v>75.6892230576441</v>
      </c>
    </row>
    <row r="969" ht="20.25" spans="2:13">
      <c r="B969" s="426"/>
      <c r="C969" s="418"/>
      <c r="D969" s="311">
        <v>11</v>
      </c>
      <c r="E969" s="312">
        <v>0.7126</v>
      </c>
      <c r="F969" s="311">
        <v>1</v>
      </c>
      <c r="G969" s="313">
        <v>12.85</v>
      </c>
      <c r="H969" s="306">
        <f t="shared" si="1291"/>
        <v>60.06</v>
      </c>
      <c r="I969" s="359"/>
      <c r="J969" s="359"/>
      <c r="K969" s="360"/>
      <c r="L969" s="364"/>
      <c r="M969" s="397">
        <v>20.2</v>
      </c>
    </row>
    <row r="970" ht="20.25" spans="2:14">
      <c r="B970" s="425" t="s">
        <v>1063</v>
      </c>
      <c r="C970" s="417" t="s">
        <v>1090</v>
      </c>
      <c r="D970" s="311">
        <v>11</v>
      </c>
      <c r="E970" s="312">
        <v>0.7628</v>
      </c>
      <c r="F970" s="311">
        <v>1</v>
      </c>
      <c r="G970" s="313">
        <v>11.9</v>
      </c>
      <c r="H970" s="306">
        <f t="shared" si="1291"/>
        <v>60.59</v>
      </c>
      <c r="I970" s="354">
        <f t="shared" si="1292"/>
        <v>61</v>
      </c>
      <c r="J970" s="354">
        <f t="shared" si="1293"/>
        <v>-1.24590163934426</v>
      </c>
      <c r="K970" s="361" t="s">
        <v>150</v>
      </c>
      <c r="L970" s="363">
        <v>0.590000000000003</v>
      </c>
      <c r="M970" s="397">
        <v>20.2</v>
      </c>
      <c r="N970" s="329">
        <f>I970/(100-M970)*100</f>
        <v>76.4411027568922</v>
      </c>
    </row>
    <row r="971" ht="20.25" spans="2:13">
      <c r="B971" s="426"/>
      <c r="C971" s="418"/>
      <c r="D971" s="311">
        <v>11</v>
      </c>
      <c r="E971" s="312">
        <v>0.7143</v>
      </c>
      <c r="F971" s="311">
        <v>1</v>
      </c>
      <c r="G971" s="313">
        <v>12.55</v>
      </c>
      <c r="H971" s="306">
        <f t="shared" si="1291"/>
        <v>61.35</v>
      </c>
      <c r="I971" s="359"/>
      <c r="J971" s="359"/>
      <c r="K971" s="360"/>
      <c r="L971" s="364"/>
      <c r="M971" s="397"/>
    </row>
    <row r="972" ht="20.25" spans="1:12">
      <c r="A972" s="314">
        <v>5.12</v>
      </c>
      <c r="B972" s="419" t="s">
        <v>1091</v>
      </c>
      <c r="C972" s="417"/>
      <c r="D972" s="311">
        <v>11</v>
      </c>
      <c r="E972" s="312">
        <v>2.8541</v>
      </c>
      <c r="F972" s="311">
        <v>1</v>
      </c>
      <c r="G972" s="313">
        <v>16.8</v>
      </c>
      <c r="H972" s="306">
        <f t="shared" si="1291"/>
        <v>11.47</v>
      </c>
      <c r="I972" s="354">
        <f t="shared" si="1292"/>
        <v>11.3</v>
      </c>
      <c r="J972" s="354">
        <f t="shared" si="1293"/>
        <v>3.09734513274338</v>
      </c>
      <c r="K972" s="361" t="s">
        <v>150</v>
      </c>
      <c r="L972" s="363">
        <f>H973-H972</f>
        <v>-0.350000000000001</v>
      </c>
    </row>
    <row r="973" ht="20.25" spans="2:12">
      <c r="B973" s="227"/>
      <c r="C973" s="418"/>
      <c r="D973" s="311">
        <v>11</v>
      </c>
      <c r="E973" s="312">
        <v>3.1917</v>
      </c>
      <c r="F973" s="311">
        <v>1</v>
      </c>
      <c r="G973" s="313">
        <v>15.5</v>
      </c>
      <c r="H973" s="306">
        <f t="shared" si="1291"/>
        <v>11.12</v>
      </c>
      <c r="I973" s="359"/>
      <c r="J973" s="359"/>
      <c r="K973" s="360"/>
      <c r="L973" s="364"/>
    </row>
    <row r="974" ht="20.25" spans="1:12">
      <c r="A974" s="314">
        <v>5.14</v>
      </c>
      <c r="B974" s="419" t="s">
        <v>268</v>
      </c>
      <c r="C974" s="417"/>
      <c r="D974" s="311">
        <v>11</v>
      </c>
      <c r="E974" s="312">
        <v>2.7727</v>
      </c>
      <c r="F974" s="311">
        <v>4</v>
      </c>
      <c r="G974" s="313">
        <v>17.6</v>
      </c>
      <c r="H974" s="306">
        <f t="shared" si="1291"/>
        <v>45.08</v>
      </c>
      <c r="I974" s="354">
        <f>ROUND((H974+H975)/2,1)</f>
        <v>45.1</v>
      </c>
      <c r="J974" s="354">
        <f>(H974-H975)*100/I974</f>
        <v>0</v>
      </c>
      <c r="K974" s="361" t="s">
        <v>150</v>
      </c>
      <c r="L974" s="363">
        <f>H975-H974</f>
        <v>0</v>
      </c>
    </row>
    <row r="975" ht="20.25" spans="2:12">
      <c r="B975" s="227"/>
      <c r="C975" s="418"/>
      <c r="D975" s="311">
        <v>11</v>
      </c>
      <c r="E975" s="312">
        <v>2.7727</v>
      </c>
      <c r="F975" s="311">
        <v>4</v>
      </c>
      <c r="G975" s="313">
        <v>17.6</v>
      </c>
      <c r="H975" s="306">
        <f t="shared" si="1291"/>
        <v>45.08</v>
      </c>
      <c r="I975" s="359"/>
      <c r="J975" s="359"/>
      <c r="K975" s="360"/>
      <c r="L975" s="364"/>
    </row>
    <row r="976" ht="20.25" spans="1:12">
      <c r="A976" s="314">
        <v>5.15</v>
      </c>
      <c r="B976" s="419" t="s">
        <v>600</v>
      </c>
      <c r="C976" s="417"/>
      <c r="D976" s="311">
        <v>11</v>
      </c>
      <c r="E976" s="312">
        <v>5.4365</v>
      </c>
      <c r="F976" s="311">
        <v>1</v>
      </c>
      <c r="G976" s="313">
        <v>6.75</v>
      </c>
      <c r="H976" s="306">
        <f t="shared" ref="H976:H1035" si="1294">ROUND(D976*100*F976*250*100/50/E976/G976/1000,2)</f>
        <v>14.99</v>
      </c>
      <c r="I976" s="354">
        <f>ROUND((H976+H977)/2,1)</f>
        <v>15</v>
      </c>
      <c r="J976" s="354">
        <f>(H976-H977)*100/I976</f>
        <v>0.466666666666669</v>
      </c>
      <c r="K976" s="361" t="s">
        <v>150</v>
      </c>
      <c r="L976" s="363">
        <f>H977-H976</f>
        <v>-0.0700000000000003</v>
      </c>
    </row>
    <row r="977" ht="20.25" spans="2:12">
      <c r="B977" s="227"/>
      <c r="C977" s="418"/>
      <c r="D977" s="311">
        <v>11</v>
      </c>
      <c r="E977" s="312">
        <v>5.5027</v>
      </c>
      <c r="F977" s="311">
        <v>1</v>
      </c>
      <c r="G977" s="313">
        <v>6.7</v>
      </c>
      <c r="H977" s="306">
        <f t="shared" si="1294"/>
        <v>14.92</v>
      </c>
      <c r="I977" s="359"/>
      <c r="J977" s="359"/>
      <c r="K977" s="360"/>
      <c r="L977" s="364"/>
    </row>
    <row r="978" ht="20.25" spans="2:12">
      <c r="B978" s="419" t="s">
        <v>601</v>
      </c>
      <c r="C978" s="417"/>
      <c r="D978" s="311">
        <v>11</v>
      </c>
      <c r="E978" s="312">
        <v>5.2588</v>
      </c>
      <c r="F978" s="311">
        <v>1</v>
      </c>
      <c r="G978" s="313">
        <v>7.4</v>
      </c>
      <c r="H978" s="306">
        <f t="shared" si="1294"/>
        <v>14.13</v>
      </c>
      <c r="I978" s="354">
        <f>ROUND((H978+H979)/2,1)</f>
        <v>14.1</v>
      </c>
      <c r="J978" s="354">
        <f>(H978-H979)*100/I978</f>
        <v>0.851063829787241</v>
      </c>
      <c r="K978" s="361" t="s">
        <v>150</v>
      </c>
      <c r="L978" s="363">
        <f>H979-H978</f>
        <v>-0.120000000000001</v>
      </c>
    </row>
    <row r="979" ht="20.25" spans="2:12">
      <c r="B979" s="227"/>
      <c r="C979" s="418"/>
      <c r="D979" s="311">
        <v>11</v>
      </c>
      <c r="E979" s="312">
        <v>5.0002</v>
      </c>
      <c r="F979" s="311">
        <v>1</v>
      </c>
      <c r="G979" s="313">
        <v>7.85</v>
      </c>
      <c r="H979" s="306">
        <f t="shared" si="1294"/>
        <v>14.01</v>
      </c>
      <c r="I979" s="359"/>
      <c r="J979" s="359"/>
      <c r="K979" s="360"/>
      <c r="L979" s="364"/>
    </row>
    <row r="980" ht="20.25" spans="2:12">
      <c r="B980" s="419" t="s">
        <v>602</v>
      </c>
      <c r="C980" s="417"/>
      <c r="D980" s="311">
        <v>11</v>
      </c>
      <c r="E980" s="312">
        <v>5.3656</v>
      </c>
      <c r="F980" s="311">
        <v>1</v>
      </c>
      <c r="G980" s="313">
        <v>5.5</v>
      </c>
      <c r="H980" s="306">
        <f t="shared" si="1294"/>
        <v>18.64</v>
      </c>
      <c r="I980" s="354">
        <f>ROUND((H980+H981)/2,1)</f>
        <v>18.4</v>
      </c>
      <c r="J980" s="354">
        <f>(H980-H981)*100/I980</f>
        <v>2.8804347826087</v>
      </c>
      <c r="K980" s="361" t="s">
        <v>150</v>
      </c>
      <c r="L980" s="363">
        <f>H981-H980</f>
        <v>-0.530000000000001</v>
      </c>
    </row>
    <row r="981" ht="20.25" spans="2:12">
      <c r="B981" s="227"/>
      <c r="C981" s="418"/>
      <c r="D981" s="311">
        <v>11</v>
      </c>
      <c r="E981" s="312">
        <v>5.5731</v>
      </c>
      <c r="F981" s="311">
        <v>1</v>
      </c>
      <c r="G981" s="313">
        <v>5.45</v>
      </c>
      <c r="H981" s="306">
        <f t="shared" si="1294"/>
        <v>18.11</v>
      </c>
      <c r="I981" s="359"/>
      <c r="J981" s="359"/>
      <c r="K981" s="360"/>
      <c r="L981" s="364"/>
    </row>
    <row r="982" ht="20.25" spans="2:12">
      <c r="B982" s="419" t="s">
        <v>603</v>
      </c>
      <c r="C982" s="417"/>
      <c r="D982" s="311">
        <v>11</v>
      </c>
      <c r="E982" s="312">
        <v>4.961</v>
      </c>
      <c r="F982" s="311">
        <v>1</v>
      </c>
      <c r="G982" s="313">
        <v>5.25</v>
      </c>
      <c r="H982" s="306">
        <f t="shared" si="1294"/>
        <v>21.12</v>
      </c>
      <c r="I982" s="354">
        <f t="shared" ref="I982:I986" si="1295">ROUND((H982+H983)/2,1)</f>
        <v>20.9</v>
      </c>
      <c r="J982" s="354">
        <f t="shared" ref="J982:J986" si="1296">(H982-H983)*100/I982</f>
        <v>2.34449760765551</v>
      </c>
      <c r="K982" s="361" t="s">
        <v>150</v>
      </c>
      <c r="L982" s="363">
        <f t="shared" ref="L982:L986" si="1297">H983-H982</f>
        <v>-0.490000000000002</v>
      </c>
    </row>
    <row r="983" ht="20.25" spans="2:12">
      <c r="B983" s="227"/>
      <c r="C983" s="418"/>
      <c r="D983" s="311">
        <v>11</v>
      </c>
      <c r="E983" s="312">
        <v>5.0299</v>
      </c>
      <c r="F983" s="311">
        <v>1</v>
      </c>
      <c r="G983" s="313">
        <v>5.3</v>
      </c>
      <c r="H983" s="306">
        <f t="shared" si="1294"/>
        <v>20.63</v>
      </c>
      <c r="I983" s="359"/>
      <c r="J983" s="359"/>
      <c r="K983" s="360"/>
      <c r="L983" s="364"/>
    </row>
    <row r="984" ht="20.25" spans="2:12">
      <c r="B984" s="419" t="s">
        <v>604</v>
      </c>
      <c r="C984" s="417"/>
      <c r="D984" s="311">
        <v>11</v>
      </c>
      <c r="E984" s="312">
        <v>5.398</v>
      </c>
      <c r="F984" s="311">
        <v>1</v>
      </c>
      <c r="G984" s="313">
        <v>7</v>
      </c>
      <c r="H984" s="306">
        <f t="shared" si="1294"/>
        <v>14.56</v>
      </c>
      <c r="I984" s="354">
        <f t="shared" si="1295"/>
        <v>14.7</v>
      </c>
      <c r="J984" s="354">
        <f t="shared" si="1296"/>
        <v>-1.36054421768707</v>
      </c>
      <c r="K984" s="361" t="s">
        <v>150</v>
      </c>
      <c r="L984" s="363">
        <f t="shared" si="1297"/>
        <v>0.199999999999999</v>
      </c>
    </row>
    <row r="985" ht="20.25" spans="2:12">
      <c r="B985" s="227"/>
      <c r="C985" s="418"/>
      <c r="D985" s="311">
        <v>11</v>
      </c>
      <c r="E985" s="312">
        <v>5.36</v>
      </c>
      <c r="F985" s="311">
        <v>1</v>
      </c>
      <c r="G985" s="313">
        <v>6.95</v>
      </c>
      <c r="H985" s="306">
        <f t="shared" si="1294"/>
        <v>14.76</v>
      </c>
      <c r="I985" s="359"/>
      <c r="J985" s="359"/>
      <c r="K985" s="360"/>
      <c r="L985" s="364"/>
    </row>
    <row r="986" ht="20.25" spans="1:12">
      <c r="A986" s="314">
        <v>5.18</v>
      </c>
      <c r="B986" s="419" t="s">
        <v>1092</v>
      </c>
      <c r="C986" s="417"/>
      <c r="D986" s="311">
        <v>11</v>
      </c>
      <c r="E986" s="312">
        <v>3.0186</v>
      </c>
      <c r="F986" s="311">
        <v>1</v>
      </c>
      <c r="G986" s="313">
        <v>5.9</v>
      </c>
      <c r="H986" s="306">
        <f t="shared" si="1294"/>
        <v>30.88</v>
      </c>
      <c r="I986" s="354">
        <f t="shared" si="1295"/>
        <v>30.9</v>
      </c>
      <c r="J986" s="354">
        <f t="shared" si="1296"/>
        <v>0.1294498381877</v>
      </c>
      <c r="K986" s="361" t="s">
        <v>150</v>
      </c>
      <c r="L986" s="363">
        <f t="shared" si="1297"/>
        <v>-0.0399999999999991</v>
      </c>
    </row>
    <row r="987" ht="20.25" spans="2:12">
      <c r="B987" s="227"/>
      <c r="C987" s="418"/>
      <c r="D987" s="311">
        <v>11</v>
      </c>
      <c r="E987" s="312">
        <v>2.5658</v>
      </c>
      <c r="F987" s="311">
        <v>1</v>
      </c>
      <c r="G987" s="313">
        <v>6.95</v>
      </c>
      <c r="H987" s="306">
        <f t="shared" si="1294"/>
        <v>30.84</v>
      </c>
      <c r="I987" s="359"/>
      <c r="J987" s="359"/>
      <c r="K987" s="360"/>
      <c r="L987" s="364"/>
    </row>
    <row r="988" ht="20.25" spans="2:12">
      <c r="B988" s="419" t="s">
        <v>1093</v>
      </c>
      <c r="C988" s="417"/>
      <c r="D988" s="311">
        <v>11</v>
      </c>
      <c r="E988" s="312">
        <v>2.9838</v>
      </c>
      <c r="F988" s="311">
        <v>1</v>
      </c>
      <c r="G988" s="313">
        <v>13.3</v>
      </c>
      <c r="H988" s="306">
        <f t="shared" si="1294"/>
        <v>13.86</v>
      </c>
      <c r="I988" s="354">
        <f t="shared" ref="I988:I992" si="1298">ROUND((H988+H989)/2,1)</f>
        <v>13.8</v>
      </c>
      <c r="J988" s="354">
        <f t="shared" ref="J988:J992" si="1299">(H988-H989)*100/I988</f>
        <v>1.08695652173912</v>
      </c>
      <c r="K988" s="361" t="s">
        <v>150</v>
      </c>
      <c r="L988" s="363">
        <f t="shared" ref="L988:L992" si="1300">H989-H988</f>
        <v>-0.149999999999999</v>
      </c>
    </row>
    <row r="989" ht="20.25" spans="2:12">
      <c r="B989" s="227"/>
      <c r="C989" s="418"/>
      <c r="D989" s="311">
        <v>11</v>
      </c>
      <c r="E989" s="312">
        <v>3.017</v>
      </c>
      <c r="F989" s="311">
        <v>1</v>
      </c>
      <c r="G989" s="313">
        <v>13.3</v>
      </c>
      <c r="H989" s="306">
        <f t="shared" si="1294"/>
        <v>13.71</v>
      </c>
      <c r="I989" s="359"/>
      <c r="J989" s="359"/>
      <c r="K989" s="360"/>
      <c r="L989" s="364"/>
    </row>
    <row r="990" ht="20.25" spans="2:12">
      <c r="B990" s="419" t="s">
        <v>1094</v>
      </c>
      <c r="C990" s="417"/>
      <c r="D990" s="311">
        <v>11</v>
      </c>
      <c r="E990" s="312">
        <v>1.3522</v>
      </c>
      <c r="F990" s="311">
        <v>1</v>
      </c>
      <c r="G990" s="313">
        <v>5.55</v>
      </c>
      <c r="H990" s="306">
        <f t="shared" si="1294"/>
        <v>73.29</v>
      </c>
      <c r="I990" s="354">
        <f t="shared" si="1298"/>
        <v>73.4</v>
      </c>
      <c r="J990" s="354">
        <f t="shared" si="1299"/>
        <v>-0.313351498637588</v>
      </c>
      <c r="K990" s="361" t="s">
        <v>150</v>
      </c>
      <c r="L990" s="363">
        <f t="shared" si="1300"/>
        <v>0.22999999999999</v>
      </c>
    </row>
    <row r="991" ht="20.25" spans="2:12">
      <c r="B991" s="227"/>
      <c r="C991" s="418"/>
      <c r="D991" s="311">
        <v>11</v>
      </c>
      <c r="E991" s="312">
        <v>1.2898</v>
      </c>
      <c r="F991" s="311">
        <v>1</v>
      </c>
      <c r="G991" s="313">
        <v>5.8</v>
      </c>
      <c r="H991" s="306">
        <f t="shared" si="1294"/>
        <v>73.52</v>
      </c>
      <c r="I991" s="359"/>
      <c r="J991" s="359"/>
      <c r="K991" s="360"/>
      <c r="L991" s="364"/>
    </row>
    <row r="992" ht="20.25" spans="2:12">
      <c r="B992" s="419" t="s">
        <v>1095</v>
      </c>
      <c r="C992" s="417"/>
      <c r="D992" s="311">
        <v>11</v>
      </c>
      <c r="E992" s="312">
        <v>2.6855</v>
      </c>
      <c r="F992" s="311">
        <v>1</v>
      </c>
      <c r="G992" s="313">
        <v>7.75</v>
      </c>
      <c r="H992" s="306">
        <f t="shared" si="1294"/>
        <v>26.43</v>
      </c>
      <c r="I992" s="354">
        <f t="shared" si="1298"/>
        <v>26.4</v>
      </c>
      <c r="J992" s="354">
        <f t="shared" si="1299"/>
        <v>0.227272727272722</v>
      </c>
      <c r="K992" s="361" t="s">
        <v>150</v>
      </c>
      <c r="L992" s="363">
        <f t="shared" si="1300"/>
        <v>-0.0599999999999987</v>
      </c>
    </row>
    <row r="993" ht="20.25" spans="2:12">
      <c r="B993" s="227"/>
      <c r="C993" s="418"/>
      <c r="D993" s="311">
        <v>11</v>
      </c>
      <c r="E993" s="312">
        <v>2.5914</v>
      </c>
      <c r="F993" s="311">
        <v>1</v>
      </c>
      <c r="G993" s="313">
        <v>8.05</v>
      </c>
      <c r="H993" s="306">
        <f t="shared" si="1294"/>
        <v>26.37</v>
      </c>
      <c r="I993" s="359"/>
      <c r="J993" s="359"/>
      <c r="K993" s="360"/>
      <c r="L993" s="364"/>
    </row>
    <row r="994" ht="20.25" spans="1:12">
      <c r="A994" s="314">
        <v>5.19</v>
      </c>
      <c r="B994" s="419" t="s">
        <v>1096</v>
      </c>
      <c r="C994" s="417"/>
      <c r="D994" s="311">
        <v>11</v>
      </c>
      <c r="E994" s="312">
        <v>2.4544</v>
      </c>
      <c r="F994" s="311">
        <v>1</v>
      </c>
      <c r="G994" s="313">
        <v>10.6</v>
      </c>
      <c r="H994" s="306">
        <f t="shared" si="1294"/>
        <v>21.14</v>
      </c>
      <c r="I994" s="354">
        <f t="shared" ref="I994:I998" si="1301">ROUND((H994+H995)/2,1)</f>
        <v>21.1</v>
      </c>
      <c r="J994" s="354">
        <f t="shared" ref="J994:J998" si="1302">(H994-H995)*100/I994</f>
        <v>0.236966824644553</v>
      </c>
      <c r="K994" s="361" t="s">
        <v>150</v>
      </c>
      <c r="L994" s="363">
        <f t="shared" ref="L994:L998" si="1303">H995-H994</f>
        <v>-0.0500000000000007</v>
      </c>
    </row>
    <row r="995" ht="20.25" spans="2:12">
      <c r="B995" s="227"/>
      <c r="C995" s="418"/>
      <c r="D995" s="311">
        <v>11</v>
      </c>
      <c r="E995" s="312">
        <v>2.4958</v>
      </c>
      <c r="F995" s="311">
        <v>1</v>
      </c>
      <c r="G995" s="313">
        <v>10.45</v>
      </c>
      <c r="H995" s="306">
        <f t="shared" si="1294"/>
        <v>21.09</v>
      </c>
      <c r="I995" s="359"/>
      <c r="J995" s="359"/>
      <c r="K995" s="360"/>
      <c r="L995" s="364"/>
    </row>
    <row r="996" ht="20.25" spans="2:12">
      <c r="B996" s="419" t="s">
        <v>1097</v>
      </c>
      <c r="C996" s="417"/>
      <c r="D996" s="311">
        <v>11</v>
      </c>
      <c r="E996" s="312">
        <v>1.238</v>
      </c>
      <c r="F996" s="311">
        <v>1</v>
      </c>
      <c r="G996" s="313">
        <v>9.2</v>
      </c>
      <c r="H996" s="306">
        <f t="shared" si="1294"/>
        <v>48.29</v>
      </c>
      <c r="I996" s="354">
        <f t="shared" si="1301"/>
        <v>48.8</v>
      </c>
      <c r="J996" s="354">
        <f t="shared" si="1302"/>
        <v>-1.92622950819672</v>
      </c>
      <c r="K996" s="361" t="s">
        <v>150</v>
      </c>
      <c r="L996" s="363">
        <f t="shared" si="1303"/>
        <v>0.939999999999998</v>
      </c>
    </row>
    <row r="997" ht="20.25" spans="2:12">
      <c r="B997" s="227"/>
      <c r="C997" s="418"/>
      <c r="D997" s="311">
        <v>11</v>
      </c>
      <c r="E997" s="312">
        <v>1.1173</v>
      </c>
      <c r="F997" s="311">
        <v>1</v>
      </c>
      <c r="G997" s="313">
        <v>10</v>
      </c>
      <c r="H997" s="306">
        <f t="shared" si="1294"/>
        <v>49.23</v>
      </c>
      <c r="I997" s="359"/>
      <c r="J997" s="359"/>
      <c r="K997" s="360"/>
      <c r="L997" s="364"/>
    </row>
    <row r="998" ht="20.25" spans="1:12">
      <c r="A998" s="314">
        <v>5.22</v>
      </c>
      <c r="B998" s="419" t="s">
        <v>1098</v>
      </c>
      <c r="C998" s="417"/>
      <c r="D998" s="311">
        <v>11.1</v>
      </c>
      <c r="E998" s="312">
        <v>8.91971</v>
      </c>
      <c r="F998" s="311">
        <v>2</v>
      </c>
      <c r="G998" s="313">
        <v>11.2</v>
      </c>
      <c r="H998" s="306">
        <f t="shared" si="1294"/>
        <v>11.11</v>
      </c>
      <c r="I998" s="354">
        <f t="shared" si="1301"/>
        <v>11.2</v>
      </c>
      <c r="J998" s="354">
        <f t="shared" si="1302"/>
        <v>-1.96428571428572</v>
      </c>
      <c r="K998" s="361" t="s">
        <v>150</v>
      </c>
      <c r="L998" s="363">
        <f t="shared" si="1303"/>
        <v>0.220000000000001</v>
      </c>
    </row>
    <row r="999" ht="20.25" spans="2:12">
      <c r="B999" s="227"/>
      <c r="C999" s="418"/>
      <c r="D999" s="311">
        <v>11.1</v>
      </c>
      <c r="E999" s="312">
        <v>9.239</v>
      </c>
      <c r="F999" s="311">
        <v>2</v>
      </c>
      <c r="G999" s="313">
        <v>10.6</v>
      </c>
      <c r="H999" s="306">
        <f t="shared" si="1294"/>
        <v>11.33</v>
      </c>
      <c r="I999" s="359"/>
      <c r="J999" s="359"/>
      <c r="K999" s="360"/>
      <c r="L999" s="364"/>
    </row>
    <row r="1000" ht="20.25" spans="1:12">
      <c r="A1000" s="314">
        <v>5.23</v>
      </c>
      <c r="B1000" s="419" t="s">
        <v>1099</v>
      </c>
      <c r="C1000" s="417"/>
      <c r="D1000" s="311">
        <v>11</v>
      </c>
      <c r="E1000" s="312">
        <v>3.2028</v>
      </c>
      <c r="F1000" s="311">
        <v>1</v>
      </c>
      <c r="G1000" s="313">
        <v>12.95</v>
      </c>
      <c r="H1000" s="306">
        <f t="shared" si="1294"/>
        <v>13.26</v>
      </c>
      <c r="I1000" s="354">
        <f t="shared" ref="I1000:I1004" si="1304">ROUND((H1000+H1001)/2,1)</f>
        <v>13.3</v>
      </c>
      <c r="J1000" s="354">
        <f t="shared" ref="J1000:J1004" si="1305">(H1000-H1001)*100/I1000</f>
        <v>-1.05263157894737</v>
      </c>
      <c r="K1000" s="361" t="s">
        <v>150</v>
      </c>
      <c r="L1000" s="363">
        <f t="shared" ref="L1000:L1004" si="1306">H1001-H1000</f>
        <v>0.140000000000001</v>
      </c>
    </row>
    <row r="1001" ht="20.25" spans="2:12">
      <c r="B1001" s="227"/>
      <c r="C1001" s="418"/>
      <c r="D1001" s="311">
        <v>11</v>
      </c>
      <c r="E1001" s="312">
        <v>3.0071</v>
      </c>
      <c r="F1001" s="311">
        <v>1</v>
      </c>
      <c r="G1001" s="313">
        <v>13.65</v>
      </c>
      <c r="H1001" s="306">
        <f t="shared" si="1294"/>
        <v>13.4</v>
      </c>
      <c r="I1001" s="359"/>
      <c r="J1001" s="359"/>
      <c r="K1001" s="360"/>
      <c r="L1001" s="364"/>
    </row>
    <row r="1002" ht="20.25" spans="1:12">
      <c r="A1002" s="314">
        <v>6.2</v>
      </c>
      <c r="B1002" s="419" t="s">
        <v>1100</v>
      </c>
      <c r="C1002" s="417"/>
      <c r="D1002" s="311">
        <v>11.1</v>
      </c>
      <c r="E1002" s="312">
        <v>3.1922</v>
      </c>
      <c r="F1002" s="311">
        <v>1</v>
      </c>
      <c r="G1002" s="313">
        <v>13.3</v>
      </c>
      <c r="H1002" s="306">
        <f t="shared" si="1294"/>
        <v>13.07</v>
      </c>
      <c r="I1002" s="354">
        <f t="shared" si="1304"/>
        <v>13.1</v>
      </c>
      <c r="J1002" s="354">
        <f t="shared" si="1305"/>
        <v>-0.305343511450375</v>
      </c>
      <c r="K1002" s="361" t="s">
        <v>150</v>
      </c>
      <c r="L1002" s="363">
        <f t="shared" si="1306"/>
        <v>0.0399999999999991</v>
      </c>
    </row>
    <row r="1003" ht="20.25" spans="2:12">
      <c r="B1003" s="227"/>
      <c r="C1003" s="418"/>
      <c r="D1003" s="311">
        <v>11.1</v>
      </c>
      <c r="E1003" s="312">
        <v>3.5265</v>
      </c>
      <c r="F1003" s="311">
        <v>1</v>
      </c>
      <c r="G1003" s="313">
        <v>12</v>
      </c>
      <c r="H1003" s="306">
        <f t="shared" si="1294"/>
        <v>13.11</v>
      </c>
      <c r="I1003" s="359"/>
      <c r="J1003" s="359"/>
      <c r="K1003" s="360"/>
      <c r="L1003" s="364"/>
    </row>
    <row r="1004" ht="20.25" spans="2:12">
      <c r="B1004" s="419" t="s">
        <v>1101</v>
      </c>
      <c r="C1004" s="417"/>
      <c r="D1004" s="311">
        <v>11.1</v>
      </c>
      <c r="E1004" s="312">
        <v>3.3266</v>
      </c>
      <c r="F1004" s="311">
        <v>2</v>
      </c>
      <c r="G1004" s="313">
        <v>6.8</v>
      </c>
      <c r="H1004" s="306">
        <f t="shared" si="1294"/>
        <v>49.07</v>
      </c>
      <c r="I1004" s="354">
        <f t="shared" si="1304"/>
        <v>49.2</v>
      </c>
      <c r="J1004" s="354">
        <f t="shared" si="1305"/>
        <v>-0.508130081300813</v>
      </c>
      <c r="K1004" s="361" t="s">
        <v>150</v>
      </c>
      <c r="L1004" s="363">
        <f t="shared" si="1306"/>
        <v>0.25</v>
      </c>
    </row>
    <row r="1005" ht="20.25" spans="2:12">
      <c r="B1005" s="227"/>
      <c r="C1005" s="418"/>
      <c r="D1005" s="311">
        <v>11.1</v>
      </c>
      <c r="E1005" s="312">
        <v>3.001</v>
      </c>
      <c r="F1005" s="311">
        <v>2</v>
      </c>
      <c r="G1005" s="313">
        <v>7.5</v>
      </c>
      <c r="H1005" s="306">
        <f t="shared" si="1294"/>
        <v>49.32</v>
      </c>
      <c r="I1005" s="359"/>
      <c r="J1005" s="359"/>
      <c r="K1005" s="360"/>
      <c r="L1005" s="364"/>
    </row>
    <row r="1006" ht="20.25" spans="2:12">
      <c r="B1006" s="419" t="s">
        <v>1102</v>
      </c>
      <c r="C1006" s="417"/>
      <c r="D1006" s="311">
        <v>11.1</v>
      </c>
      <c r="E1006" s="312">
        <v>3.0324</v>
      </c>
      <c r="F1006" s="311">
        <v>2</v>
      </c>
      <c r="G1006" s="313">
        <v>5.6</v>
      </c>
      <c r="H1006" s="306">
        <f t="shared" si="1294"/>
        <v>65.37</v>
      </c>
      <c r="I1006" s="354">
        <f t="shared" ref="I1006:I1010" si="1307">ROUND((H1006+H1007)/2,1)</f>
        <v>65.2</v>
      </c>
      <c r="J1006" s="354">
        <f t="shared" ref="J1006:J1010" si="1308">(H1006-H1007)*100/I1006</f>
        <v>0.582822085889585</v>
      </c>
      <c r="K1006" s="361" t="s">
        <v>150</v>
      </c>
      <c r="L1006" s="363">
        <f t="shared" ref="L1006:L1010" si="1309">H1007-H1006</f>
        <v>-0.38000000000001</v>
      </c>
    </row>
    <row r="1007" ht="20.25" spans="2:12">
      <c r="B1007" s="227"/>
      <c r="C1007" s="418"/>
      <c r="D1007" s="311">
        <v>11.1</v>
      </c>
      <c r="E1007" s="312">
        <v>2.895</v>
      </c>
      <c r="F1007" s="311">
        <v>2</v>
      </c>
      <c r="G1007" s="313">
        <v>5.9</v>
      </c>
      <c r="H1007" s="306">
        <f t="shared" si="1294"/>
        <v>64.99</v>
      </c>
      <c r="I1007" s="359"/>
      <c r="J1007" s="359"/>
      <c r="K1007" s="360"/>
      <c r="L1007" s="364"/>
    </row>
    <row r="1008" ht="20.25" spans="2:12">
      <c r="B1008" s="419" t="s">
        <v>1103</v>
      </c>
      <c r="C1008" s="417"/>
      <c r="D1008" s="311">
        <v>11.1</v>
      </c>
      <c r="E1008" s="312">
        <v>2.4591</v>
      </c>
      <c r="F1008" s="311">
        <v>2</v>
      </c>
      <c r="G1008" s="313">
        <v>8.4</v>
      </c>
      <c r="H1008" s="306">
        <f t="shared" si="1294"/>
        <v>53.74</v>
      </c>
      <c r="I1008" s="354">
        <f t="shared" si="1307"/>
        <v>53.7</v>
      </c>
      <c r="J1008" s="354">
        <f t="shared" si="1308"/>
        <v>0.148975791433902</v>
      </c>
      <c r="K1008" s="361" t="s">
        <v>150</v>
      </c>
      <c r="L1008" s="363">
        <f t="shared" si="1309"/>
        <v>-0.0800000000000054</v>
      </c>
    </row>
    <row r="1009" ht="20.25" spans="2:12">
      <c r="B1009" s="227"/>
      <c r="C1009" s="418"/>
      <c r="D1009" s="311">
        <v>11.1</v>
      </c>
      <c r="E1009" s="312">
        <v>2.5076</v>
      </c>
      <c r="F1009" s="311">
        <v>2</v>
      </c>
      <c r="G1009" s="313">
        <v>8.25</v>
      </c>
      <c r="H1009" s="306">
        <f t="shared" si="1294"/>
        <v>53.66</v>
      </c>
      <c r="I1009" s="359"/>
      <c r="J1009" s="359"/>
      <c r="K1009" s="360"/>
      <c r="L1009" s="364"/>
    </row>
    <row r="1010" ht="20.25" spans="1:12">
      <c r="A1010" s="314">
        <v>6.5</v>
      </c>
      <c r="B1010" s="419" t="s">
        <v>1098</v>
      </c>
      <c r="C1010" s="417"/>
      <c r="D1010" s="311">
        <v>11.1</v>
      </c>
      <c r="E1010" s="312">
        <v>5.698</v>
      </c>
      <c r="F1010" s="311">
        <v>1</v>
      </c>
      <c r="G1010" s="313">
        <v>8.4</v>
      </c>
      <c r="H1010" s="306">
        <f t="shared" si="1294"/>
        <v>11.6</v>
      </c>
      <c r="I1010" s="354">
        <f t="shared" si="1307"/>
        <v>11.6</v>
      </c>
      <c r="J1010" s="354">
        <f t="shared" si="1308"/>
        <v>-0.258620689655182</v>
      </c>
      <c r="K1010" s="361" t="s">
        <v>150</v>
      </c>
      <c r="L1010" s="363">
        <f t="shared" si="1309"/>
        <v>0.0300000000000011</v>
      </c>
    </row>
    <row r="1011" ht="20.25" spans="2:12">
      <c r="B1011" s="227"/>
      <c r="C1011" s="418"/>
      <c r="D1011" s="311">
        <v>11.1</v>
      </c>
      <c r="E1011" s="312">
        <v>5.7832</v>
      </c>
      <c r="F1011" s="311">
        <v>1</v>
      </c>
      <c r="G1011" s="313">
        <v>8.25</v>
      </c>
      <c r="H1011" s="306">
        <f t="shared" si="1294"/>
        <v>11.63</v>
      </c>
      <c r="I1011" s="359"/>
      <c r="J1011" s="359"/>
      <c r="K1011" s="360"/>
      <c r="L1011" s="364"/>
    </row>
    <row r="1012" ht="20.25" spans="1:12">
      <c r="A1012" s="314">
        <v>6.11</v>
      </c>
      <c r="B1012" s="419" t="s">
        <v>1104</v>
      </c>
      <c r="C1012" s="417"/>
      <c r="D1012" s="311">
        <v>11</v>
      </c>
      <c r="E1012" s="312">
        <v>3.77</v>
      </c>
      <c r="F1012" s="311">
        <v>1</v>
      </c>
      <c r="G1012" s="313">
        <v>10.6</v>
      </c>
      <c r="H1012" s="306">
        <f t="shared" si="1294"/>
        <v>13.76</v>
      </c>
      <c r="I1012" s="354">
        <f t="shared" ref="I1012:I1016" si="1310">ROUND((H1012+H1013)/2,1)</f>
        <v>13.8</v>
      </c>
      <c r="J1012" s="354">
        <f t="shared" ref="J1012:J1016" si="1311">(H1012-H1013)*100/I1012</f>
        <v>-0.144927536231881</v>
      </c>
      <c r="K1012" s="361" t="s">
        <v>150</v>
      </c>
      <c r="L1012" s="363">
        <f t="shared" ref="L1012:L1016" si="1312">H1013-H1012</f>
        <v>0.0199999999999996</v>
      </c>
    </row>
    <row r="1013" ht="20.25" spans="2:12">
      <c r="B1013" s="227"/>
      <c r="C1013" s="418"/>
      <c r="D1013" s="311">
        <v>11</v>
      </c>
      <c r="E1013" s="312">
        <v>3.9524</v>
      </c>
      <c r="F1013" s="311">
        <v>1</v>
      </c>
      <c r="G1013" s="313">
        <v>10.1</v>
      </c>
      <c r="H1013" s="306">
        <f t="shared" si="1294"/>
        <v>13.78</v>
      </c>
      <c r="I1013" s="359"/>
      <c r="J1013" s="359"/>
      <c r="K1013" s="360"/>
      <c r="L1013" s="364"/>
    </row>
    <row r="1014" ht="20.25" spans="2:12">
      <c r="B1014" s="419" t="s">
        <v>1105</v>
      </c>
      <c r="C1014" s="417"/>
      <c r="D1014" s="311">
        <v>11</v>
      </c>
      <c r="E1014" s="312">
        <v>5.8308</v>
      </c>
      <c r="F1014" s="311">
        <v>5</v>
      </c>
      <c r="G1014" s="313">
        <v>9.7</v>
      </c>
      <c r="H1014" s="306">
        <f t="shared" si="1294"/>
        <v>48.62</v>
      </c>
      <c r="I1014" s="354">
        <f t="shared" si="1310"/>
        <v>48.5</v>
      </c>
      <c r="J1014" s="354">
        <f t="shared" si="1311"/>
        <v>0.371134020618556</v>
      </c>
      <c r="K1014" s="361" t="s">
        <v>150</v>
      </c>
      <c r="L1014" s="363">
        <f t="shared" si="1312"/>
        <v>-0.18</v>
      </c>
    </row>
    <row r="1015" ht="20.25" spans="2:12">
      <c r="B1015" s="227"/>
      <c r="C1015" s="418"/>
      <c r="D1015" s="311">
        <v>11</v>
      </c>
      <c r="E1015" s="312">
        <v>5.0019</v>
      </c>
      <c r="F1015" s="311">
        <v>5</v>
      </c>
      <c r="G1015" s="313">
        <v>11.35</v>
      </c>
      <c r="H1015" s="306">
        <f t="shared" si="1294"/>
        <v>48.44</v>
      </c>
      <c r="I1015" s="359"/>
      <c r="J1015" s="359"/>
      <c r="K1015" s="360"/>
      <c r="L1015" s="364"/>
    </row>
    <row r="1016" ht="20.25" spans="1:12">
      <c r="A1016" s="314">
        <v>6.15</v>
      </c>
      <c r="B1016" s="419" t="s">
        <v>1106</v>
      </c>
      <c r="C1016" s="417"/>
      <c r="D1016" s="311">
        <v>11</v>
      </c>
      <c r="E1016" s="312">
        <v>2.9958</v>
      </c>
      <c r="F1016" s="311">
        <v>1</v>
      </c>
      <c r="G1016" s="313">
        <v>6.3</v>
      </c>
      <c r="H1016" s="306">
        <f t="shared" si="1294"/>
        <v>29.14</v>
      </c>
      <c r="I1016" s="354">
        <f t="shared" si="1310"/>
        <v>29.1</v>
      </c>
      <c r="J1016" s="354">
        <f t="shared" si="1311"/>
        <v>0.343642611683854</v>
      </c>
      <c r="K1016" s="361" t="s">
        <v>150</v>
      </c>
      <c r="L1016" s="363">
        <f t="shared" si="1312"/>
        <v>-0.100000000000001</v>
      </c>
    </row>
    <row r="1017" ht="20.25" spans="2:12">
      <c r="B1017" s="227"/>
      <c r="C1017" s="418"/>
      <c r="D1017" s="311">
        <v>11</v>
      </c>
      <c r="E1017" s="312">
        <v>2.5255</v>
      </c>
      <c r="F1017" s="311">
        <v>1</v>
      </c>
      <c r="G1017" s="313">
        <v>7.5</v>
      </c>
      <c r="H1017" s="306">
        <f t="shared" si="1294"/>
        <v>29.04</v>
      </c>
      <c r="I1017" s="359"/>
      <c r="J1017" s="359"/>
      <c r="K1017" s="360"/>
      <c r="L1017" s="364"/>
    </row>
    <row r="1018" ht="20.25" spans="2:12">
      <c r="B1018" s="419" t="s">
        <v>1107</v>
      </c>
      <c r="C1018" s="417"/>
      <c r="D1018" s="311">
        <v>11</v>
      </c>
      <c r="E1018" s="312">
        <v>3.0595</v>
      </c>
      <c r="F1018" s="311">
        <v>1</v>
      </c>
      <c r="G1018" s="313">
        <v>8.05</v>
      </c>
      <c r="H1018" s="306">
        <f t="shared" si="1294"/>
        <v>22.33</v>
      </c>
      <c r="I1018" s="354">
        <f t="shared" ref="I1018:I1022" si="1313">ROUND((H1018+H1019)/2,1)</f>
        <v>22.5</v>
      </c>
      <c r="J1018" s="354">
        <f t="shared" ref="J1018:J1022" si="1314">(H1018-H1019)*100/I1018</f>
        <v>-1.37777777777779</v>
      </c>
      <c r="K1018" s="361" t="s">
        <v>150</v>
      </c>
      <c r="L1018" s="363">
        <f t="shared" ref="L1018:L1022" si="1315">H1019-H1018</f>
        <v>0.310000000000002</v>
      </c>
    </row>
    <row r="1019" ht="20.25" spans="2:12">
      <c r="B1019" s="227"/>
      <c r="C1019" s="418"/>
      <c r="D1019" s="311">
        <v>11</v>
      </c>
      <c r="E1019" s="312">
        <v>2.612</v>
      </c>
      <c r="F1019" s="311">
        <v>1</v>
      </c>
      <c r="G1019" s="313">
        <v>9.3</v>
      </c>
      <c r="H1019" s="306">
        <f t="shared" si="1294"/>
        <v>22.64</v>
      </c>
      <c r="I1019" s="359"/>
      <c r="J1019" s="359"/>
      <c r="K1019" s="360"/>
      <c r="L1019" s="364"/>
    </row>
    <row r="1020" ht="20.25" spans="2:12">
      <c r="B1020" s="419" t="s">
        <v>1108</v>
      </c>
      <c r="C1020" s="417"/>
      <c r="D1020" s="311">
        <v>11</v>
      </c>
      <c r="E1020" s="312">
        <v>3.2291</v>
      </c>
      <c r="F1020" s="311">
        <v>1</v>
      </c>
      <c r="G1020" s="313">
        <v>8</v>
      </c>
      <c r="H1020" s="306">
        <f t="shared" si="1294"/>
        <v>21.29</v>
      </c>
      <c r="I1020" s="354">
        <f t="shared" si="1313"/>
        <v>21.3</v>
      </c>
      <c r="J1020" s="354">
        <f t="shared" si="1314"/>
        <v>-0.0938967136150215</v>
      </c>
      <c r="K1020" s="361" t="s">
        <v>150</v>
      </c>
      <c r="L1020" s="363">
        <f t="shared" si="1315"/>
        <v>0.0199999999999996</v>
      </c>
    </row>
    <row r="1021" ht="20.25" spans="2:12">
      <c r="B1021" s="227"/>
      <c r="C1021" s="418"/>
      <c r="D1021" s="311">
        <v>11</v>
      </c>
      <c r="E1021" s="312">
        <v>3.0017</v>
      </c>
      <c r="F1021" s="311">
        <v>1</v>
      </c>
      <c r="G1021" s="313">
        <v>8.6</v>
      </c>
      <c r="H1021" s="306">
        <f t="shared" si="1294"/>
        <v>21.31</v>
      </c>
      <c r="I1021" s="359"/>
      <c r="J1021" s="359"/>
      <c r="K1021" s="360"/>
      <c r="L1021" s="364"/>
    </row>
    <row r="1022" ht="20.25" spans="2:12">
      <c r="B1022" s="419" t="s">
        <v>1109</v>
      </c>
      <c r="C1022" s="417"/>
      <c r="D1022" s="311">
        <v>11</v>
      </c>
      <c r="E1022" s="312">
        <v>2.3354</v>
      </c>
      <c r="F1022" s="311">
        <v>1</v>
      </c>
      <c r="G1022" s="313">
        <v>6.15</v>
      </c>
      <c r="H1022" s="306">
        <f t="shared" si="1294"/>
        <v>38.29</v>
      </c>
      <c r="I1022" s="354">
        <f t="shared" si="1313"/>
        <v>38.8</v>
      </c>
      <c r="J1022" s="354">
        <f t="shared" si="1314"/>
        <v>-2.47422680412371</v>
      </c>
      <c r="K1022" s="361" t="s">
        <v>150</v>
      </c>
      <c r="L1022" s="363">
        <f t="shared" si="1315"/>
        <v>0.960000000000001</v>
      </c>
    </row>
    <row r="1023" ht="20.25" spans="2:12">
      <c r="B1023" s="227"/>
      <c r="C1023" s="418"/>
      <c r="D1023" s="311">
        <v>11</v>
      </c>
      <c r="E1023" s="312">
        <v>2.0019</v>
      </c>
      <c r="F1023" s="311">
        <v>1</v>
      </c>
      <c r="G1023" s="313">
        <v>7</v>
      </c>
      <c r="H1023" s="306">
        <f t="shared" si="1294"/>
        <v>39.25</v>
      </c>
      <c r="I1023" s="359"/>
      <c r="J1023" s="359"/>
      <c r="K1023" s="360"/>
      <c r="L1023" s="364"/>
    </row>
    <row r="1024" ht="20.25" spans="1:12">
      <c r="A1024" s="314">
        <v>6.18</v>
      </c>
      <c r="B1024" s="431" t="s">
        <v>1110</v>
      </c>
      <c r="C1024" s="417"/>
      <c r="D1024" s="311">
        <v>11</v>
      </c>
      <c r="E1024" s="312">
        <v>0.8418</v>
      </c>
      <c r="F1024" s="311">
        <v>1</v>
      </c>
      <c r="G1024" s="313">
        <v>9.6</v>
      </c>
      <c r="H1024" s="306">
        <f t="shared" si="1294"/>
        <v>68.06</v>
      </c>
      <c r="I1024" s="354">
        <f>ROUND((H1024+H1025)/2,1)</f>
        <v>68.1</v>
      </c>
      <c r="J1024" s="354">
        <f>(H1024-H1025)*100/I1024</f>
        <v>0</v>
      </c>
      <c r="K1024" s="361" t="s">
        <v>150</v>
      </c>
      <c r="L1024" s="363">
        <f>H1025-H1024</f>
        <v>0</v>
      </c>
    </row>
    <row r="1025" ht="20.25" spans="2:12">
      <c r="B1025" s="432"/>
      <c r="C1025" s="418"/>
      <c r="D1025" s="311">
        <v>11</v>
      </c>
      <c r="E1025" s="312">
        <v>0.8418</v>
      </c>
      <c r="F1025" s="311">
        <v>1</v>
      </c>
      <c r="G1025" s="313">
        <v>9.6</v>
      </c>
      <c r="H1025" s="306">
        <f t="shared" si="1294"/>
        <v>68.06</v>
      </c>
      <c r="I1025" s="359"/>
      <c r="J1025" s="359"/>
      <c r="K1025" s="360"/>
      <c r="L1025" s="364"/>
    </row>
    <row r="1026" ht="20.25" spans="2:13">
      <c r="B1026" s="419" t="s">
        <v>1111</v>
      </c>
      <c r="C1026" s="417"/>
      <c r="D1026" s="311">
        <v>11</v>
      </c>
      <c r="E1026" s="312">
        <v>1.1491</v>
      </c>
      <c r="F1026" s="311">
        <v>1</v>
      </c>
      <c r="G1026" s="313">
        <v>6.5</v>
      </c>
      <c r="H1026" s="306">
        <f t="shared" si="1294"/>
        <v>73.64</v>
      </c>
      <c r="I1026" s="354">
        <f t="shared" ref="I1026:I1030" si="1316">ROUND((H1026+H1027)/2,1)</f>
        <v>76.6</v>
      </c>
      <c r="J1026" s="354">
        <f t="shared" ref="J1026:J1030" si="1317">(H1026-H1027)*100/I1026</f>
        <v>-7.63707571801566</v>
      </c>
      <c r="K1026" s="361" t="s">
        <v>150</v>
      </c>
      <c r="L1026" s="363">
        <f t="shared" ref="L1026:L1030" si="1318">H1027-H1026</f>
        <v>5.84999999999999</v>
      </c>
      <c r="M1026" s="397"/>
    </row>
    <row r="1027" ht="32.1" customHeight="1" spans="2:12">
      <c r="B1027" s="227"/>
      <c r="C1027" s="418"/>
      <c r="D1027" s="311">
        <v>11</v>
      </c>
      <c r="E1027" s="312">
        <v>1.0028</v>
      </c>
      <c r="F1027" s="311">
        <v>1</v>
      </c>
      <c r="G1027" s="313">
        <v>6.9</v>
      </c>
      <c r="H1027" s="306">
        <f t="shared" si="1294"/>
        <v>79.49</v>
      </c>
      <c r="I1027" s="359"/>
      <c r="J1027" s="359"/>
      <c r="K1027" s="360"/>
      <c r="L1027" s="364"/>
    </row>
    <row r="1028" ht="20.25" spans="1:12">
      <c r="A1028" s="314">
        <v>6.22</v>
      </c>
      <c r="B1028" s="419" t="s">
        <v>1112</v>
      </c>
      <c r="C1028" s="417"/>
      <c r="D1028" s="311">
        <v>11</v>
      </c>
      <c r="E1028" s="312">
        <v>2.978</v>
      </c>
      <c r="F1028" s="311">
        <v>1</v>
      </c>
      <c r="G1028" s="313">
        <v>7.3</v>
      </c>
      <c r="H1028" s="306">
        <f t="shared" si="1294"/>
        <v>25.3</v>
      </c>
      <c r="I1028" s="354">
        <f t="shared" si="1316"/>
        <v>25.2</v>
      </c>
      <c r="J1028" s="354">
        <f t="shared" si="1317"/>
        <v>0.555555555555558</v>
      </c>
      <c r="K1028" s="361" t="s">
        <v>150</v>
      </c>
      <c r="L1028" s="363">
        <f t="shared" si="1318"/>
        <v>-0.140000000000001</v>
      </c>
    </row>
    <row r="1029" ht="20.25" spans="2:12">
      <c r="B1029" s="227"/>
      <c r="C1029" s="418"/>
      <c r="D1029" s="311">
        <v>11</v>
      </c>
      <c r="E1029" s="312">
        <v>2.821</v>
      </c>
      <c r="F1029" s="311">
        <v>1</v>
      </c>
      <c r="G1029" s="313">
        <v>7.75</v>
      </c>
      <c r="H1029" s="306">
        <f t="shared" si="1294"/>
        <v>25.16</v>
      </c>
      <c r="I1029" s="359"/>
      <c r="J1029" s="359"/>
      <c r="K1029" s="360"/>
      <c r="L1029" s="364"/>
    </row>
    <row r="1030" ht="20.25" spans="2:12">
      <c r="B1030" s="419" t="s">
        <v>1113</v>
      </c>
      <c r="C1030" s="417"/>
      <c r="D1030" s="311">
        <v>11</v>
      </c>
      <c r="E1030" s="312">
        <v>2.8146</v>
      </c>
      <c r="F1030" s="311">
        <v>2</v>
      </c>
      <c r="G1030" s="313">
        <v>8.9</v>
      </c>
      <c r="H1030" s="306">
        <f t="shared" si="1294"/>
        <v>43.91</v>
      </c>
      <c r="I1030" s="354">
        <f t="shared" si="1316"/>
        <v>43.9</v>
      </c>
      <c r="J1030" s="354">
        <f t="shared" si="1317"/>
        <v>0.205011389521632</v>
      </c>
      <c r="K1030" s="361" t="s">
        <v>150</v>
      </c>
      <c r="L1030" s="363">
        <f t="shared" si="1318"/>
        <v>-0.0899999999999963</v>
      </c>
    </row>
    <row r="1031" ht="20.25" spans="2:12">
      <c r="B1031" s="227"/>
      <c r="C1031" s="418"/>
      <c r="D1031" s="311">
        <v>11</v>
      </c>
      <c r="E1031" s="312">
        <v>2.9021</v>
      </c>
      <c r="F1031" s="311">
        <v>2</v>
      </c>
      <c r="G1031" s="313">
        <v>8.65</v>
      </c>
      <c r="H1031" s="306">
        <f t="shared" si="1294"/>
        <v>43.82</v>
      </c>
      <c r="I1031" s="359"/>
      <c r="J1031" s="359"/>
      <c r="K1031" s="360"/>
      <c r="L1031" s="364"/>
    </row>
    <row r="1032" ht="20.25" spans="1:12">
      <c r="A1032" s="314">
        <v>6.29</v>
      </c>
      <c r="B1032" s="419" t="s">
        <v>1114</v>
      </c>
      <c r="C1032" s="417"/>
      <c r="D1032" s="311">
        <v>11</v>
      </c>
      <c r="E1032" s="312">
        <v>1.2905</v>
      </c>
      <c r="F1032" s="311">
        <v>1</v>
      </c>
      <c r="G1032" s="313">
        <v>12.75</v>
      </c>
      <c r="H1032" s="306">
        <f t="shared" si="1294"/>
        <v>33.43</v>
      </c>
      <c r="I1032" s="354">
        <f>ROUND((H1032+H1033)/2,1)</f>
        <v>33.8</v>
      </c>
      <c r="J1032" s="354">
        <f>(H1032-H1033)*100/I1032</f>
        <v>-2.42603550295858</v>
      </c>
      <c r="K1032" s="361" t="s">
        <v>150</v>
      </c>
      <c r="L1032" s="363">
        <f>H1033-H1032</f>
        <v>0.82</v>
      </c>
    </row>
    <row r="1033" ht="20.25" spans="2:12">
      <c r="B1033" s="227"/>
      <c r="C1033" s="418"/>
      <c r="D1033" s="311">
        <v>11</v>
      </c>
      <c r="E1033" s="312">
        <v>1.3328</v>
      </c>
      <c r="F1033" s="311">
        <v>1</v>
      </c>
      <c r="G1033" s="313">
        <v>12.05</v>
      </c>
      <c r="H1033" s="306">
        <f t="shared" si="1294"/>
        <v>34.25</v>
      </c>
      <c r="I1033" s="359"/>
      <c r="J1033" s="359"/>
      <c r="K1033" s="360"/>
      <c r="L1033" s="364"/>
    </row>
    <row r="1034" ht="20.25" spans="2:12">
      <c r="B1034" s="419" t="s">
        <v>1114</v>
      </c>
      <c r="C1034" s="417"/>
      <c r="D1034" s="311">
        <v>11</v>
      </c>
      <c r="E1034" s="312">
        <v>3.0519</v>
      </c>
      <c r="F1034" s="311">
        <v>4</v>
      </c>
      <c r="G1034" s="313">
        <v>8</v>
      </c>
      <c r="H1034" s="306">
        <f t="shared" si="1294"/>
        <v>90.11</v>
      </c>
      <c r="I1034" s="354">
        <f>ROUND((H1034+H1035)/2,1)</f>
        <v>62.2</v>
      </c>
      <c r="J1034" s="354">
        <f>(H1034-H1035)*100/I1034</f>
        <v>89.8070739549839</v>
      </c>
      <c r="K1034" s="361" t="s">
        <v>150</v>
      </c>
      <c r="L1034" s="363">
        <f>H1035-H1034</f>
        <v>-55.86</v>
      </c>
    </row>
    <row r="1035" ht="20.25" spans="2:12">
      <c r="B1035" s="227"/>
      <c r="C1035" s="418"/>
      <c r="D1035" s="311">
        <v>11</v>
      </c>
      <c r="E1035" s="312">
        <v>1.3328</v>
      </c>
      <c r="F1035" s="311">
        <v>1</v>
      </c>
      <c r="G1035" s="313">
        <v>12.05</v>
      </c>
      <c r="H1035" s="306">
        <f t="shared" si="1294"/>
        <v>34.25</v>
      </c>
      <c r="I1035" s="359"/>
      <c r="J1035" s="359"/>
      <c r="K1035" s="360"/>
      <c r="L1035" s="364"/>
    </row>
    <row r="1036" ht="20.25" spans="1:12">
      <c r="A1036" s="314">
        <v>6.3</v>
      </c>
      <c r="B1036" s="419" t="s">
        <v>1115</v>
      </c>
      <c r="C1036" s="417"/>
      <c r="D1036" s="311">
        <v>11</v>
      </c>
      <c r="E1036" s="312">
        <v>1.6575</v>
      </c>
      <c r="F1036" s="311">
        <v>2</v>
      </c>
      <c r="G1036" s="313">
        <v>7.95</v>
      </c>
      <c r="H1036" s="306">
        <f t="shared" ref="H1036:H1051" si="1319">ROUND(D1036*100*F1036*250*100/50/E1036/G1036/1000,2)</f>
        <v>83.48</v>
      </c>
      <c r="I1036" s="354">
        <f t="shared" ref="I1036" si="1320">ROUND((H1036+H1037)/2,1)</f>
        <v>83.4</v>
      </c>
      <c r="J1036" s="354">
        <f t="shared" ref="J1036" si="1321">(H1036-H1037)*100/I1036</f>
        <v>0.155875299760203</v>
      </c>
      <c r="K1036" s="361" t="s">
        <v>150</v>
      </c>
      <c r="L1036" s="363">
        <f t="shared" ref="L1036" si="1322">H1037-H1036</f>
        <v>-0.13000000000001</v>
      </c>
    </row>
    <row r="1037" ht="20.25" spans="2:12">
      <c r="B1037" s="227"/>
      <c r="C1037" s="418"/>
      <c r="D1037" s="311">
        <v>11</v>
      </c>
      <c r="E1037" s="312">
        <v>1.5526</v>
      </c>
      <c r="F1037" s="311">
        <v>2</v>
      </c>
      <c r="G1037" s="313">
        <v>8.5</v>
      </c>
      <c r="H1037" s="306">
        <f t="shared" si="1319"/>
        <v>83.35</v>
      </c>
      <c r="I1037" s="359"/>
      <c r="J1037" s="359"/>
      <c r="K1037" s="360"/>
      <c r="L1037" s="364"/>
    </row>
    <row r="1038" ht="20.25" spans="2:12">
      <c r="B1038" s="419" t="s">
        <v>1116</v>
      </c>
      <c r="C1038" s="417"/>
      <c r="D1038" s="311">
        <v>11</v>
      </c>
      <c r="E1038" s="312">
        <v>0.9869</v>
      </c>
      <c r="F1038" s="311">
        <v>1</v>
      </c>
      <c r="G1038" s="313">
        <v>8.1</v>
      </c>
      <c r="H1038" s="306">
        <f t="shared" si="1319"/>
        <v>68.8</v>
      </c>
      <c r="I1038" s="354">
        <f t="shared" ref="I1038:I1042" si="1323">ROUND((H1038+H1039)/2,1)</f>
        <v>92.5</v>
      </c>
      <c r="J1038" s="354">
        <f t="shared" ref="J1038:J1042" si="1324">(H1038-H1039)*100/I1038</f>
        <v>-51.1351351351351</v>
      </c>
      <c r="K1038" s="361" t="s">
        <v>150</v>
      </c>
      <c r="L1038" s="363">
        <f t="shared" ref="L1038:L1042" si="1325">H1039-H1038</f>
        <v>47.3</v>
      </c>
    </row>
    <row r="1039" ht="20.25" spans="2:12">
      <c r="B1039" s="227"/>
      <c r="C1039" s="418"/>
      <c r="D1039" s="311">
        <v>11</v>
      </c>
      <c r="E1039" s="312">
        <v>0.9869</v>
      </c>
      <c r="F1039" s="311">
        <v>2</v>
      </c>
      <c r="G1039" s="313">
        <v>9.6</v>
      </c>
      <c r="H1039" s="306">
        <f t="shared" si="1319"/>
        <v>116.1</v>
      </c>
      <c r="I1039" s="359"/>
      <c r="J1039" s="359"/>
      <c r="K1039" s="360"/>
      <c r="L1039" s="364"/>
    </row>
    <row r="1040" ht="20.25" spans="2:12">
      <c r="B1040" s="419" t="s">
        <v>1117</v>
      </c>
      <c r="C1040" s="417"/>
      <c r="D1040" s="311">
        <v>11</v>
      </c>
      <c r="E1040" s="312">
        <v>3.218</v>
      </c>
      <c r="F1040" s="311">
        <v>1</v>
      </c>
      <c r="G1040" s="313">
        <v>8.1</v>
      </c>
      <c r="H1040" s="306">
        <f t="shared" si="1319"/>
        <v>21.1</v>
      </c>
      <c r="I1040" s="354">
        <f t="shared" si="1323"/>
        <v>21.2</v>
      </c>
      <c r="J1040" s="354">
        <f t="shared" si="1324"/>
        <v>-1.08490566037734</v>
      </c>
      <c r="K1040" s="361" t="s">
        <v>150</v>
      </c>
      <c r="L1040" s="363">
        <f t="shared" si="1325"/>
        <v>0.229999999999997</v>
      </c>
    </row>
    <row r="1041" ht="20.25" spans="2:12">
      <c r="B1041" s="227"/>
      <c r="C1041" s="418"/>
      <c r="D1041" s="311">
        <v>11</v>
      </c>
      <c r="E1041" s="312">
        <v>3.2239</v>
      </c>
      <c r="F1041" s="311">
        <v>1</v>
      </c>
      <c r="G1041" s="313">
        <v>8</v>
      </c>
      <c r="H1041" s="306">
        <f t="shared" si="1319"/>
        <v>21.33</v>
      </c>
      <c r="I1041" s="359"/>
      <c r="J1041" s="359"/>
      <c r="K1041" s="360"/>
      <c r="L1041" s="364"/>
    </row>
    <row r="1042" ht="20.25" spans="1:12">
      <c r="A1042" s="314">
        <v>7.02</v>
      </c>
      <c r="B1042" s="419" t="s">
        <v>1116</v>
      </c>
      <c r="C1042" s="417"/>
      <c r="D1042" s="311">
        <v>11</v>
      </c>
      <c r="E1042" s="312">
        <v>0.6428</v>
      </c>
      <c r="F1042" s="311">
        <v>1</v>
      </c>
      <c r="G1042" s="313">
        <v>12.1</v>
      </c>
      <c r="H1042" s="306">
        <f t="shared" si="1319"/>
        <v>70.71</v>
      </c>
      <c r="I1042" s="354">
        <f t="shared" si="1323"/>
        <v>71.3</v>
      </c>
      <c r="J1042" s="354">
        <f t="shared" si="1324"/>
        <v>-1.57082748948107</v>
      </c>
      <c r="K1042" s="361" t="s">
        <v>150</v>
      </c>
      <c r="L1042" s="363">
        <f t="shared" si="1325"/>
        <v>1.12</v>
      </c>
    </row>
    <row r="1043" ht="20.25" spans="2:12">
      <c r="B1043" s="227"/>
      <c r="C1043" s="418"/>
      <c r="D1043" s="311">
        <v>11</v>
      </c>
      <c r="E1043" s="312">
        <v>0.6601</v>
      </c>
      <c r="F1043" s="311">
        <v>1</v>
      </c>
      <c r="G1043" s="313">
        <v>11.6</v>
      </c>
      <c r="H1043" s="306">
        <f t="shared" si="1319"/>
        <v>71.83</v>
      </c>
      <c r="I1043" s="359"/>
      <c r="J1043" s="359"/>
      <c r="K1043" s="360"/>
      <c r="L1043" s="364"/>
    </row>
    <row r="1044" ht="20.25" spans="2:12">
      <c r="B1044" s="419" t="s">
        <v>1118</v>
      </c>
      <c r="C1044" s="417"/>
      <c r="D1044" s="311">
        <v>11</v>
      </c>
      <c r="E1044" s="312">
        <v>0.8252</v>
      </c>
      <c r="F1044" s="311">
        <v>1</v>
      </c>
      <c r="G1044" s="313">
        <v>9.65</v>
      </c>
      <c r="H1044" s="306">
        <f t="shared" si="1319"/>
        <v>69.07</v>
      </c>
      <c r="I1044" s="354">
        <f t="shared" ref="I1044:I1048" si="1326">ROUND((H1044+H1045)/2,1)</f>
        <v>68.8</v>
      </c>
      <c r="J1044" s="354">
        <f t="shared" ref="J1044:J1048" si="1327">(H1044-H1045)*100/I1044</f>
        <v>0.697674418604636</v>
      </c>
      <c r="K1044" s="361" t="s">
        <v>150</v>
      </c>
      <c r="L1044" s="363">
        <f t="shared" ref="L1044:L1048" si="1328">H1045-H1044</f>
        <v>-0.47999999999999</v>
      </c>
    </row>
    <row r="1045" ht="20.25" spans="2:12">
      <c r="B1045" s="227"/>
      <c r="C1045" s="418"/>
      <c r="D1045" s="311">
        <v>11</v>
      </c>
      <c r="E1045" s="312">
        <v>0.8059</v>
      </c>
      <c r="F1045" s="311">
        <v>1</v>
      </c>
      <c r="G1045" s="313">
        <v>9.95</v>
      </c>
      <c r="H1045" s="306">
        <f t="shared" si="1319"/>
        <v>68.59</v>
      </c>
      <c r="I1045" s="359"/>
      <c r="J1045" s="359"/>
      <c r="K1045" s="360"/>
      <c r="L1045" s="364"/>
    </row>
    <row r="1046" ht="20.25" spans="2:12">
      <c r="B1046" s="419" t="s">
        <v>1119</v>
      </c>
      <c r="C1046" s="417"/>
      <c r="D1046" s="311">
        <v>11</v>
      </c>
      <c r="E1046" s="312">
        <v>0.8201</v>
      </c>
      <c r="F1046" s="311">
        <v>1</v>
      </c>
      <c r="G1046" s="313">
        <v>10.75</v>
      </c>
      <c r="H1046" s="306">
        <f t="shared" si="1319"/>
        <v>62.39</v>
      </c>
      <c r="I1046" s="354">
        <f t="shared" si="1326"/>
        <v>62.4</v>
      </c>
      <c r="J1046" s="354">
        <f t="shared" si="1327"/>
        <v>0.0641025641025627</v>
      </c>
      <c r="K1046" s="361" t="s">
        <v>150</v>
      </c>
      <c r="L1046" s="363">
        <f t="shared" si="1328"/>
        <v>-0.0399999999999991</v>
      </c>
    </row>
    <row r="1047" ht="20.25" spans="2:12">
      <c r="B1047" s="227"/>
      <c r="C1047" s="418"/>
      <c r="D1047" s="311">
        <v>11</v>
      </c>
      <c r="E1047" s="312">
        <v>0.8056</v>
      </c>
      <c r="F1047" s="311">
        <v>1</v>
      </c>
      <c r="G1047" s="313">
        <v>10.95</v>
      </c>
      <c r="H1047" s="306">
        <f t="shared" si="1319"/>
        <v>62.35</v>
      </c>
      <c r="I1047" s="359"/>
      <c r="J1047" s="359"/>
      <c r="K1047" s="360"/>
      <c r="L1047" s="364"/>
    </row>
    <row r="1048" ht="20.25" spans="2:12">
      <c r="B1048" s="419" t="s">
        <v>1105</v>
      </c>
      <c r="C1048" s="417"/>
      <c r="D1048" s="311">
        <v>11</v>
      </c>
      <c r="E1048" s="312">
        <v>1.6557</v>
      </c>
      <c r="F1048" s="311">
        <v>1</v>
      </c>
      <c r="G1048" s="313">
        <v>6.95</v>
      </c>
      <c r="H1048" s="306">
        <f t="shared" si="1319"/>
        <v>47.8</v>
      </c>
      <c r="I1048" s="354">
        <f t="shared" si="1326"/>
        <v>48.3</v>
      </c>
      <c r="J1048" s="354">
        <f t="shared" si="1327"/>
        <v>-1.8840579710145</v>
      </c>
      <c r="K1048" s="361" t="s">
        <v>150</v>
      </c>
      <c r="L1048" s="363">
        <f t="shared" si="1328"/>
        <v>0.910000000000004</v>
      </c>
    </row>
    <row r="1049" ht="20.25" spans="2:12">
      <c r="B1049" s="227"/>
      <c r="C1049" s="418"/>
      <c r="D1049" s="311">
        <v>11</v>
      </c>
      <c r="E1049" s="312">
        <v>1.6851</v>
      </c>
      <c r="F1049" s="311">
        <v>1</v>
      </c>
      <c r="G1049" s="313">
        <v>6.7</v>
      </c>
      <c r="H1049" s="306">
        <f t="shared" si="1319"/>
        <v>48.71</v>
      </c>
      <c r="I1049" s="359"/>
      <c r="J1049" s="359"/>
      <c r="K1049" s="360"/>
      <c r="L1049" s="364"/>
    </row>
    <row r="1050" ht="20.25" spans="1:12">
      <c r="A1050" s="314">
        <v>7.4</v>
      </c>
      <c r="B1050" s="26" t="s">
        <v>286</v>
      </c>
      <c r="D1050" s="311">
        <v>11.1</v>
      </c>
      <c r="E1050" s="312">
        <v>2.6245</v>
      </c>
      <c r="F1050" s="311">
        <v>4</v>
      </c>
      <c r="G1050" s="313">
        <v>9.6</v>
      </c>
      <c r="H1050" s="306">
        <f t="shared" si="1319"/>
        <v>88.11</v>
      </c>
      <c r="I1050" s="354">
        <f t="shared" ref="I1050:I1052" si="1329">ROUND((H1050+H1051)/2,1)</f>
        <v>88.1</v>
      </c>
      <c r="J1050" s="354">
        <f t="shared" ref="J1050:J1052" si="1330">(H1050-H1051)*100/I1050</f>
        <v>0</v>
      </c>
      <c r="K1050" s="361" t="s">
        <v>150</v>
      </c>
      <c r="L1050" s="363">
        <f t="shared" ref="L1050:L1054" si="1331">H1051-H1050</f>
        <v>0</v>
      </c>
    </row>
    <row r="1051" ht="20.25" spans="2:12">
      <c r="B1051" s="33"/>
      <c r="D1051" s="311">
        <v>11.1</v>
      </c>
      <c r="E1051" s="312">
        <v>2.6245</v>
      </c>
      <c r="F1051" s="311">
        <v>4</v>
      </c>
      <c r="G1051" s="313">
        <v>9.6</v>
      </c>
      <c r="H1051" s="306">
        <f t="shared" si="1319"/>
        <v>88.11</v>
      </c>
      <c r="I1051" s="359"/>
      <c r="J1051" s="359"/>
      <c r="K1051" s="360"/>
      <c r="L1051" s="364"/>
    </row>
    <row r="1052" ht="20.25" spans="2:12">
      <c r="B1052" s="26" t="s">
        <v>287</v>
      </c>
      <c r="C1052" s="302" t="s">
        <v>1120</v>
      </c>
      <c r="D1052" s="311">
        <v>11</v>
      </c>
      <c r="E1052" s="312">
        <v>5.1463</v>
      </c>
      <c r="F1052" s="311">
        <v>4</v>
      </c>
      <c r="G1052" s="313">
        <v>12.8</v>
      </c>
      <c r="H1052" s="306">
        <f>ROUND(D1052*100*F1052*100*100/10/E1052/G1052/1000,2)</f>
        <v>66.8</v>
      </c>
      <c r="I1052" s="354">
        <f t="shared" si="1329"/>
        <v>66.8</v>
      </c>
      <c r="J1052" s="354">
        <f t="shared" si="1330"/>
        <v>0</v>
      </c>
      <c r="K1052" s="361" t="s">
        <v>150</v>
      </c>
      <c r="L1052" s="363">
        <f t="shared" si="1331"/>
        <v>0</v>
      </c>
    </row>
    <row r="1053" ht="20.25" spans="2:12">
      <c r="B1053" s="33"/>
      <c r="C1053" s="302" t="s">
        <v>1120</v>
      </c>
      <c r="D1053" s="311">
        <v>11</v>
      </c>
      <c r="E1053" s="312">
        <v>5.1463</v>
      </c>
      <c r="F1053" s="311">
        <v>4</v>
      </c>
      <c r="G1053" s="313">
        <v>12.8</v>
      </c>
      <c r="H1053" s="306">
        <f>ROUND(D1053*100*F1053*100*100/10/E1053/G1053/1000,2)</f>
        <v>66.8</v>
      </c>
      <c r="I1053" s="359"/>
      <c r="J1053" s="359"/>
      <c r="K1053" s="360"/>
      <c r="L1053" s="364"/>
    </row>
    <row r="1054" ht="20.25" spans="1:14">
      <c r="A1054" s="314">
        <v>7.6</v>
      </c>
      <c r="B1054" s="419" t="s">
        <v>288</v>
      </c>
      <c r="C1054" s="417"/>
      <c r="D1054" s="311">
        <v>11</v>
      </c>
      <c r="E1054" s="312">
        <v>2.506</v>
      </c>
      <c r="F1054" s="311">
        <v>4</v>
      </c>
      <c r="G1054" s="313">
        <v>9.05</v>
      </c>
      <c r="H1054" s="306">
        <f t="shared" ref="H1054:H1061" si="1332">ROUND(D1054*100*F1054*250*100/50/E1054/G1054/1000,2)</f>
        <v>97</v>
      </c>
      <c r="I1054" s="354">
        <f t="shared" ref="I1054:I1058" si="1333">ROUND((H1054+H1055)/2,1)</f>
        <v>97</v>
      </c>
      <c r="J1054" s="354">
        <f t="shared" ref="J1054:J1058" si="1334">(H1054-H1055)*100/I1054</f>
        <v>0</v>
      </c>
      <c r="K1054" s="361" t="s">
        <v>150</v>
      </c>
      <c r="L1054" s="363">
        <f t="shared" si="1331"/>
        <v>0</v>
      </c>
      <c r="M1054" s="329">
        <v>9.22</v>
      </c>
      <c r="N1054" s="329">
        <f>I1054-M1054</f>
        <v>87.78</v>
      </c>
    </row>
    <row r="1055" ht="20.25" spans="2:14">
      <c r="B1055" s="227"/>
      <c r="C1055" s="418"/>
      <c r="D1055" s="311">
        <v>11</v>
      </c>
      <c r="E1055" s="312">
        <v>2.506</v>
      </c>
      <c r="F1055" s="311">
        <v>4</v>
      </c>
      <c r="G1055" s="313">
        <v>9.05</v>
      </c>
      <c r="H1055" s="306">
        <f t="shared" si="1332"/>
        <v>97</v>
      </c>
      <c r="I1055" s="359"/>
      <c r="J1055" s="359"/>
      <c r="K1055" s="360"/>
      <c r="L1055" s="364"/>
      <c r="M1055" s="329"/>
      <c r="N1055" s="329">
        <f t="shared" ref="N1055:N1060" si="1335">I1055-M1055</f>
        <v>0</v>
      </c>
    </row>
    <row r="1056" ht="20.25" spans="2:14">
      <c r="B1056" s="419" t="s">
        <v>289</v>
      </c>
      <c r="C1056" s="417"/>
      <c r="D1056" s="311">
        <v>11</v>
      </c>
      <c r="E1056" s="312">
        <v>2.429</v>
      </c>
      <c r="F1056" s="311">
        <v>4</v>
      </c>
      <c r="G1056" s="313">
        <v>10.5</v>
      </c>
      <c r="H1056" s="306">
        <f t="shared" si="1332"/>
        <v>86.26</v>
      </c>
      <c r="I1056" s="354">
        <f t="shared" si="1333"/>
        <v>86.3</v>
      </c>
      <c r="J1056" s="354">
        <f t="shared" si="1334"/>
        <v>0</v>
      </c>
      <c r="K1056" s="361" t="s">
        <v>150</v>
      </c>
      <c r="L1056" s="363">
        <f t="shared" ref="L1056:L1060" si="1336">H1057-H1056</f>
        <v>0</v>
      </c>
      <c r="M1056" s="329">
        <v>15.1</v>
      </c>
      <c r="N1056" s="329">
        <f t="shared" si="1335"/>
        <v>71.2</v>
      </c>
    </row>
    <row r="1057" ht="20.25" spans="2:14">
      <c r="B1057" s="227"/>
      <c r="C1057" s="418"/>
      <c r="D1057" s="311">
        <v>11</v>
      </c>
      <c r="E1057" s="312">
        <v>2.429</v>
      </c>
      <c r="F1057" s="311">
        <v>4</v>
      </c>
      <c r="G1057" s="313">
        <v>10.5</v>
      </c>
      <c r="H1057" s="306">
        <f t="shared" si="1332"/>
        <v>86.26</v>
      </c>
      <c r="I1057" s="359"/>
      <c r="J1057" s="359"/>
      <c r="K1057" s="360"/>
      <c r="L1057" s="364"/>
      <c r="M1057" s="329"/>
      <c r="N1057" s="329">
        <f t="shared" si="1335"/>
        <v>0</v>
      </c>
    </row>
    <row r="1058" ht="20.25" spans="2:14">
      <c r="B1058" s="419" t="s">
        <v>290</v>
      </c>
      <c r="C1058" s="417"/>
      <c r="D1058" s="311">
        <v>11</v>
      </c>
      <c r="E1058" s="312">
        <v>2.563</v>
      </c>
      <c r="F1058" s="311">
        <v>4</v>
      </c>
      <c r="G1058" s="313">
        <v>9.6</v>
      </c>
      <c r="H1058" s="306">
        <f t="shared" si="1332"/>
        <v>89.41</v>
      </c>
      <c r="I1058" s="354">
        <f t="shared" si="1333"/>
        <v>89.4</v>
      </c>
      <c r="J1058" s="354">
        <f t="shared" si="1334"/>
        <v>0</v>
      </c>
      <c r="K1058" s="361" t="s">
        <v>150</v>
      </c>
      <c r="L1058" s="363">
        <f t="shared" si="1336"/>
        <v>0</v>
      </c>
      <c r="M1058" s="329">
        <v>11.41</v>
      </c>
      <c r="N1058" s="329">
        <f t="shared" si="1335"/>
        <v>77.99</v>
      </c>
    </row>
    <row r="1059" ht="20.25" spans="2:14">
      <c r="B1059" s="227"/>
      <c r="C1059" s="418"/>
      <c r="D1059" s="311">
        <v>11</v>
      </c>
      <c r="E1059" s="312">
        <v>2.563</v>
      </c>
      <c r="F1059" s="311">
        <v>4</v>
      </c>
      <c r="G1059" s="313">
        <v>9.6</v>
      </c>
      <c r="H1059" s="306">
        <f t="shared" si="1332"/>
        <v>89.41</v>
      </c>
      <c r="I1059" s="359"/>
      <c r="J1059" s="359"/>
      <c r="K1059" s="360"/>
      <c r="L1059" s="364"/>
      <c r="M1059" s="329"/>
      <c r="N1059" s="329">
        <f t="shared" si="1335"/>
        <v>0</v>
      </c>
    </row>
    <row r="1060" ht="20.25" spans="2:14">
      <c r="B1060" s="419" t="s">
        <v>291</v>
      </c>
      <c r="C1060" s="417"/>
      <c r="D1060" s="311">
        <v>11</v>
      </c>
      <c r="E1060" s="312">
        <v>2.6108</v>
      </c>
      <c r="F1060" s="311">
        <v>4</v>
      </c>
      <c r="G1060" s="313">
        <v>9.6</v>
      </c>
      <c r="H1060" s="306">
        <f t="shared" si="1332"/>
        <v>87.78</v>
      </c>
      <c r="I1060" s="354">
        <f>ROUND((H1060+H1061)/2,1)</f>
        <v>87.8</v>
      </c>
      <c r="J1060" s="354">
        <f>(H1060-H1061)*100/I1060</f>
        <v>0</v>
      </c>
      <c r="K1060" s="361" t="s">
        <v>150</v>
      </c>
      <c r="L1060" s="363">
        <f t="shared" si="1336"/>
        <v>0</v>
      </c>
      <c r="M1060" s="329">
        <v>12.39</v>
      </c>
      <c r="N1060" s="329">
        <f t="shared" si="1335"/>
        <v>75.41</v>
      </c>
    </row>
    <row r="1061" ht="20.25" spans="2:12">
      <c r="B1061" s="227"/>
      <c r="C1061" s="418"/>
      <c r="D1061" s="311">
        <v>11</v>
      </c>
      <c r="E1061" s="312">
        <v>2.6108</v>
      </c>
      <c r="F1061" s="311">
        <v>4</v>
      </c>
      <c r="G1061" s="313">
        <v>9.6</v>
      </c>
      <c r="H1061" s="306">
        <f t="shared" si="1332"/>
        <v>87.78</v>
      </c>
      <c r="I1061" s="359"/>
      <c r="J1061" s="359"/>
      <c r="K1061" s="360"/>
      <c r="L1061" s="364"/>
    </row>
    <row r="1062" ht="20.25" spans="2:12">
      <c r="B1062" s="227"/>
      <c r="C1062" s="433"/>
      <c r="D1062" s="311"/>
      <c r="E1062" s="312"/>
      <c r="F1062" s="311"/>
      <c r="G1062" s="313"/>
      <c r="H1062" s="306"/>
      <c r="I1062" s="378"/>
      <c r="J1062" s="378"/>
      <c r="K1062" s="365"/>
      <c r="L1062" s="379"/>
    </row>
    <row r="1063" ht="20.25" spans="2:14">
      <c r="B1063" s="419" t="s">
        <v>292</v>
      </c>
      <c r="C1063" s="417"/>
      <c r="D1063" s="311">
        <v>11</v>
      </c>
      <c r="E1063" s="312">
        <v>2.5862</v>
      </c>
      <c r="F1063" s="311">
        <v>5</v>
      </c>
      <c r="G1063" s="313">
        <v>12.35</v>
      </c>
      <c r="H1063" s="306">
        <f t="shared" ref="H1063:H1082" si="1337">ROUND(D1063*100*F1063*250*100/50/E1063/G1063/1000,2)</f>
        <v>86.1</v>
      </c>
      <c r="I1063" s="354">
        <f>ROUND((H1063+H1064)/2,1)</f>
        <v>86.1</v>
      </c>
      <c r="J1063" s="354">
        <f>(H1063-H1064)*100/I1063</f>
        <v>0</v>
      </c>
      <c r="K1063" s="361" t="s">
        <v>150</v>
      </c>
      <c r="L1063" s="363">
        <f>H1064-H1063</f>
        <v>0</v>
      </c>
      <c r="M1063" s="434">
        <v>10.85</v>
      </c>
      <c r="N1063" s="329">
        <f>I1063-M1063</f>
        <v>75.25</v>
      </c>
    </row>
    <row r="1064" ht="20.25" spans="2:13">
      <c r="B1064" s="227"/>
      <c r="C1064" s="418"/>
      <c r="D1064" s="311">
        <v>11</v>
      </c>
      <c r="E1064" s="312">
        <v>2.5862</v>
      </c>
      <c r="F1064" s="311">
        <v>5</v>
      </c>
      <c r="G1064" s="313">
        <v>12.35</v>
      </c>
      <c r="H1064" s="306">
        <f t="shared" si="1337"/>
        <v>86.1</v>
      </c>
      <c r="I1064" s="359"/>
      <c r="J1064" s="359"/>
      <c r="K1064" s="360"/>
      <c r="L1064" s="364"/>
      <c r="M1064" s="434">
        <v>10.85</v>
      </c>
    </row>
    <row r="1065" ht="20.25" spans="2:14">
      <c r="B1065" s="419" t="s">
        <v>293</v>
      </c>
      <c r="C1065" s="417"/>
      <c r="D1065" s="311">
        <v>11</v>
      </c>
      <c r="E1065" s="312">
        <v>2.6283</v>
      </c>
      <c r="F1065" s="311">
        <v>5</v>
      </c>
      <c r="G1065" s="313">
        <v>11.7</v>
      </c>
      <c r="H1065" s="306">
        <f t="shared" si="1337"/>
        <v>89.43</v>
      </c>
      <c r="I1065" s="354">
        <f>ROUND((H1065+H1066)/2,1)</f>
        <v>89.6</v>
      </c>
      <c r="J1065" s="354">
        <f>(H1065-H1066)*100/I1065</f>
        <v>-0.379464285714274</v>
      </c>
      <c r="K1065" s="361" t="s">
        <v>150</v>
      </c>
      <c r="L1065" s="363">
        <f>H1066-H1065</f>
        <v>0.339999999999989</v>
      </c>
      <c r="M1065" s="434">
        <v>9.34</v>
      </c>
      <c r="N1065" s="329">
        <f t="shared" ref="N1065:N1079" si="1338">I1065-M1065</f>
        <v>80.26</v>
      </c>
    </row>
    <row r="1066" ht="20.25" spans="2:13">
      <c r="B1066" s="227"/>
      <c r="C1066" s="418"/>
      <c r="D1066" s="311">
        <v>11</v>
      </c>
      <c r="E1066" s="312">
        <v>2.6183</v>
      </c>
      <c r="F1066" s="311">
        <v>5</v>
      </c>
      <c r="G1066" s="313">
        <v>11.7</v>
      </c>
      <c r="H1066" s="306">
        <f t="shared" si="1337"/>
        <v>89.77</v>
      </c>
      <c r="I1066" s="359"/>
      <c r="J1066" s="359"/>
      <c r="K1066" s="360"/>
      <c r="L1066" s="364"/>
      <c r="M1066" s="434">
        <v>9.38</v>
      </c>
    </row>
    <row r="1067" ht="20.25" spans="2:14">
      <c r="B1067" s="419" t="s">
        <v>294</v>
      </c>
      <c r="C1067" s="417"/>
      <c r="D1067" s="311">
        <v>11</v>
      </c>
      <c r="E1067" s="312">
        <v>2.5562</v>
      </c>
      <c r="F1067" s="311">
        <v>5</v>
      </c>
      <c r="G1067" s="313">
        <v>12.1</v>
      </c>
      <c r="H1067" s="306">
        <f t="shared" si="1337"/>
        <v>88.91</v>
      </c>
      <c r="I1067" s="354">
        <f>ROUND((H1067+H1068)/2,1)</f>
        <v>88.9</v>
      </c>
      <c r="J1067" s="354">
        <f>(H1067-H1068)*100/I1067</f>
        <v>0</v>
      </c>
      <c r="K1067" s="361" t="s">
        <v>150</v>
      </c>
      <c r="L1067" s="363">
        <f>H1068-H1067</f>
        <v>0</v>
      </c>
      <c r="M1067" s="434">
        <v>13.12</v>
      </c>
      <c r="N1067" s="329">
        <f t="shared" si="1338"/>
        <v>75.78</v>
      </c>
    </row>
    <row r="1068" ht="20.25" spans="2:13">
      <c r="B1068" s="227"/>
      <c r="C1068" s="418"/>
      <c r="D1068" s="311">
        <v>11</v>
      </c>
      <c r="E1068" s="312">
        <v>2.5562</v>
      </c>
      <c r="F1068" s="311">
        <v>5</v>
      </c>
      <c r="G1068" s="313">
        <v>12.1</v>
      </c>
      <c r="H1068" s="306">
        <f t="shared" si="1337"/>
        <v>88.91</v>
      </c>
      <c r="I1068" s="359"/>
      <c r="J1068" s="359"/>
      <c r="K1068" s="360"/>
      <c r="L1068" s="364"/>
      <c r="M1068" s="434">
        <v>13.12</v>
      </c>
    </row>
    <row r="1069" ht="20.25" spans="2:14">
      <c r="B1069" s="419" t="s">
        <v>295</v>
      </c>
      <c r="C1069" s="417"/>
      <c r="D1069" s="311">
        <v>11</v>
      </c>
      <c r="E1069" s="312">
        <v>2.5623</v>
      </c>
      <c r="F1069" s="311">
        <v>4</v>
      </c>
      <c r="G1069" s="313">
        <v>10</v>
      </c>
      <c r="H1069" s="306">
        <f t="shared" si="1337"/>
        <v>85.86</v>
      </c>
      <c r="I1069" s="354">
        <f>ROUND((H1069+H1070)/2,1)</f>
        <v>85.9</v>
      </c>
      <c r="J1069" s="354">
        <f>(H1069-H1070)*100/I1069</f>
        <v>0</v>
      </c>
      <c r="K1069" s="361" t="s">
        <v>150</v>
      </c>
      <c r="L1069" s="363">
        <f>H1070-H1069</f>
        <v>0</v>
      </c>
      <c r="M1069" s="434">
        <v>9.5</v>
      </c>
      <c r="N1069" s="329">
        <f t="shared" si="1338"/>
        <v>76.4</v>
      </c>
    </row>
    <row r="1070" ht="20.25" spans="2:13">
      <c r="B1070" s="227"/>
      <c r="C1070" s="418"/>
      <c r="D1070" s="311">
        <v>11</v>
      </c>
      <c r="E1070" s="312">
        <v>2.5623</v>
      </c>
      <c r="F1070" s="311">
        <v>4</v>
      </c>
      <c r="G1070" s="313">
        <v>10</v>
      </c>
      <c r="H1070" s="306">
        <f t="shared" si="1337"/>
        <v>85.86</v>
      </c>
      <c r="I1070" s="359"/>
      <c r="J1070" s="359"/>
      <c r="K1070" s="360"/>
      <c r="L1070" s="364"/>
      <c r="M1070" s="434">
        <v>9.5</v>
      </c>
    </row>
    <row r="1071" ht="20.25" spans="2:14">
      <c r="B1071" s="419" t="s">
        <v>296</v>
      </c>
      <c r="C1071" s="417"/>
      <c r="D1071" s="311">
        <v>11</v>
      </c>
      <c r="E1071" s="312">
        <v>2.6797</v>
      </c>
      <c r="F1071" s="311">
        <v>4</v>
      </c>
      <c r="G1071" s="313">
        <v>9.05</v>
      </c>
      <c r="H1071" s="306">
        <f t="shared" si="1337"/>
        <v>90.72</v>
      </c>
      <c r="I1071" s="354">
        <f t="shared" ref="I1071:I1075" si="1339">ROUND((H1071+H1072)/2,1)</f>
        <v>90.7</v>
      </c>
      <c r="J1071" s="354">
        <f t="shared" ref="J1071:J1075" si="1340">(H1071-H1072)*100/I1071</f>
        <v>0</v>
      </c>
      <c r="K1071" s="361" t="s">
        <v>150</v>
      </c>
      <c r="L1071" s="363">
        <f t="shared" ref="L1071:L1075" si="1341">H1072-H1071</f>
        <v>0</v>
      </c>
      <c r="M1071" s="434">
        <v>13.16</v>
      </c>
      <c r="N1071" s="329">
        <f t="shared" si="1338"/>
        <v>77.54</v>
      </c>
    </row>
    <row r="1072" ht="20.25" spans="2:13">
      <c r="B1072" s="227"/>
      <c r="C1072" s="418"/>
      <c r="D1072" s="311">
        <v>11</v>
      </c>
      <c r="E1072" s="312">
        <v>2.6797</v>
      </c>
      <c r="F1072" s="311">
        <v>4</v>
      </c>
      <c r="G1072" s="313">
        <v>9.05</v>
      </c>
      <c r="H1072" s="306">
        <f t="shared" si="1337"/>
        <v>90.72</v>
      </c>
      <c r="I1072" s="359"/>
      <c r="J1072" s="359"/>
      <c r="K1072" s="360"/>
      <c r="L1072" s="364"/>
      <c r="M1072" s="434">
        <v>13.16</v>
      </c>
    </row>
    <row r="1073" ht="20.25" spans="2:14">
      <c r="B1073" s="419" t="s">
        <v>297</v>
      </c>
      <c r="C1073" s="417"/>
      <c r="D1073" s="311">
        <v>11</v>
      </c>
      <c r="E1073" s="312">
        <v>2.5119</v>
      </c>
      <c r="F1073" s="311">
        <v>4</v>
      </c>
      <c r="G1073" s="313">
        <v>8.8</v>
      </c>
      <c r="H1073" s="306">
        <f t="shared" si="1337"/>
        <v>99.53</v>
      </c>
      <c r="I1073" s="354">
        <f t="shared" si="1339"/>
        <v>99.5</v>
      </c>
      <c r="J1073" s="354">
        <f t="shared" si="1340"/>
        <v>0</v>
      </c>
      <c r="K1073" s="361" t="s">
        <v>150</v>
      </c>
      <c r="L1073" s="363">
        <f t="shared" si="1341"/>
        <v>0</v>
      </c>
      <c r="M1073" s="434">
        <v>13.68</v>
      </c>
      <c r="N1073" s="329">
        <f t="shared" si="1338"/>
        <v>85.82</v>
      </c>
    </row>
    <row r="1074" ht="20.25" spans="2:13">
      <c r="B1074" s="227"/>
      <c r="C1074" s="418"/>
      <c r="D1074" s="311">
        <v>11</v>
      </c>
      <c r="E1074" s="312">
        <v>2.5119</v>
      </c>
      <c r="F1074" s="311">
        <v>4</v>
      </c>
      <c r="G1074" s="313">
        <v>8.8</v>
      </c>
      <c r="H1074" s="306">
        <f t="shared" si="1337"/>
        <v>99.53</v>
      </c>
      <c r="I1074" s="359"/>
      <c r="J1074" s="359"/>
      <c r="K1074" s="360"/>
      <c r="L1074" s="364"/>
      <c r="M1074" s="434">
        <v>13.68</v>
      </c>
    </row>
    <row r="1075" ht="20.25" spans="2:14">
      <c r="B1075" s="419" t="s">
        <v>298</v>
      </c>
      <c r="C1075" s="417"/>
      <c r="D1075" s="311">
        <v>11</v>
      </c>
      <c r="E1075" s="312">
        <v>2.54</v>
      </c>
      <c r="F1075" s="311">
        <v>5</v>
      </c>
      <c r="G1075" s="313">
        <v>11.9</v>
      </c>
      <c r="H1075" s="306">
        <f t="shared" si="1337"/>
        <v>90.98</v>
      </c>
      <c r="I1075" s="354">
        <f t="shared" si="1339"/>
        <v>91</v>
      </c>
      <c r="J1075" s="354">
        <f t="shared" si="1340"/>
        <v>0</v>
      </c>
      <c r="K1075" s="361" t="s">
        <v>150</v>
      </c>
      <c r="L1075" s="363">
        <f t="shared" si="1341"/>
        <v>0</v>
      </c>
      <c r="M1075" s="434">
        <v>8.95</v>
      </c>
      <c r="N1075" s="329">
        <f t="shared" si="1338"/>
        <v>82.05</v>
      </c>
    </row>
    <row r="1076" ht="20.25" spans="2:13">
      <c r="B1076" s="227"/>
      <c r="C1076" s="418"/>
      <c r="D1076" s="311">
        <v>11</v>
      </c>
      <c r="E1076" s="312">
        <v>2.54</v>
      </c>
      <c r="F1076" s="311">
        <v>5</v>
      </c>
      <c r="G1076" s="313">
        <v>11.9</v>
      </c>
      <c r="H1076" s="306">
        <f t="shared" si="1337"/>
        <v>90.98</v>
      </c>
      <c r="I1076" s="359"/>
      <c r="J1076" s="359"/>
      <c r="K1076" s="360"/>
      <c r="L1076" s="364"/>
      <c r="M1076" s="434">
        <v>8.95</v>
      </c>
    </row>
    <row r="1077" ht="20.25" spans="2:14">
      <c r="B1077" s="419" t="s">
        <v>299</v>
      </c>
      <c r="C1077" s="417"/>
      <c r="D1077" s="311">
        <v>11</v>
      </c>
      <c r="E1077" s="312">
        <v>2.6117</v>
      </c>
      <c r="F1077" s="311">
        <v>4</v>
      </c>
      <c r="G1077" s="313">
        <v>11.8</v>
      </c>
      <c r="H1077" s="306">
        <f t="shared" si="1337"/>
        <v>71.39</v>
      </c>
      <c r="I1077" s="354">
        <f>ROUND((H1077+H1078)/2,1)</f>
        <v>71.4</v>
      </c>
      <c r="J1077" s="354">
        <f>(H1077-H1078)*100/I1077</f>
        <v>0</v>
      </c>
      <c r="K1077" s="361" t="s">
        <v>150</v>
      </c>
      <c r="L1077" s="363">
        <f>H1078-H1077</f>
        <v>0</v>
      </c>
      <c r="M1077" s="434">
        <v>13.16</v>
      </c>
      <c r="N1077" s="329">
        <f t="shared" si="1338"/>
        <v>58.24</v>
      </c>
    </row>
    <row r="1078" ht="20.25" spans="2:13">
      <c r="B1078" s="227"/>
      <c r="C1078" s="418"/>
      <c r="D1078" s="311">
        <v>11</v>
      </c>
      <c r="E1078" s="312">
        <v>2.6117</v>
      </c>
      <c r="F1078" s="311">
        <v>4</v>
      </c>
      <c r="G1078" s="313">
        <v>11.8</v>
      </c>
      <c r="H1078" s="306">
        <f t="shared" si="1337"/>
        <v>71.39</v>
      </c>
      <c r="I1078" s="359"/>
      <c r="J1078" s="359"/>
      <c r="K1078" s="360"/>
      <c r="L1078" s="364"/>
      <c r="M1078" s="434">
        <v>13.16</v>
      </c>
    </row>
    <row r="1079" ht="20.25" spans="2:14">
      <c r="B1079" s="419" t="s">
        <v>464</v>
      </c>
      <c r="C1079" s="417"/>
      <c r="D1079" s="311">
        <v>11</v>
      </c>
      <c r="E1079" s="312">
        <v>2.524</v>
      </c>
      <c r="F1079" s="311">
        <v>4</v>
      </c>
      <c r="G1079" s="313">
        <v>10.1</v>
      </c>
      <c r="H1079" s="306">
        <f t="shared" si="1337"/>
        <v>86.3</v>
      </c>
      <c r="I1079" s="354">
        <f>ROUND((H1079+H1080)/2,1)</f>
        <v>86.3</v>
      </c>
      <c r="J1079" s="354">
        <f>(H1079-H1080)*100/I1079</f>
        <v>0</v>
      </c>
      <c r="K1079" s="361" t="s">
        <v>150</v>
      </c>
      <c r="L1079" s="363">
        <f>H1080-H1079</f>
        <v>0</v>
      </c>
      <c r="M1079" s="435">
        <v>6.93343898573693</v>
      </c>
      <c r="N1079" s="329">
        <f t="shared" si="1338"/>
        <v>79.3665610142631</v>
      </c>
    </row>
    <row r="1080" ht="20.25" spans="2:13">
      <c r="B1080" s="227"/>
      <c r="C1080" s="418"/>
      <c r="D1080" s="311">
        <v>11</v>
      </c>
      <c r="E1080" s="312">
        <v>2.524</v>
      </c>
      <c r="F1080" s="311">
        <v>4</v>
      </c>
      <c r="G1080" s="313">
        <v>10.1</v>
      </c>
      <c r="H1080" s="306">
        <f t="shared" si="1337"/>
        <v>86.3</v>
      </c>
      <c r="I1080" s="359"/>
      <c r="J1080" s="359"/>
      <c r="K1080" s="360"/>
      <c r="L1080" s="364"/>
      <c r="M1080" s="436"/>
    </row>
    <row r="1081" ht="20.25" spans="2:14">
      <c r="B1081" s="419" t="s">
        <v>300</v>
      </c>
      <c r="C1081" s="417"/>
      <c r="D1081" s="311">
        <v>11</v>
      </c>
      <c r="E1081" s="312">
        <v>2.5804</v>
      </c>
      <c r="F1081" s="311">
        <v>4</v>
      </c>
      <c r="G1081" s="313">
        <v>9.1</v>
      </c>
      <c r="H1081" s="306">
        <f t="shared" si="1337"/>
        <v>93.69</v>
      </c>
      <c r="I1081" s="354">
        <f>ROUND((H1081+H1082)/2,1)</f>
        <v>93.7</v>
      </c>
      <c r="J1081" s="354">
        <f>(H1081-H1082)*100/I1081</f>
        <v>0</v>
      </c>
      <c r="K1081" s="361" t="s">
        <v>150</v>
      </c>
      <c r="L1081" s="363">
        <f>H1082-H1081</f>
        <v>0</v>
      </c>
      <c r="M1081" s="437">
        <v>9.87</v>
      </c>
      <c r="N1081" s="329">
        <f>I1081-M1081</f>
        <v>83.83</v>
      </c>
    </row>
    <row r="1082" ht="20.25" spans="2:13">
      <c r="B1082" s="227"/>
      <c r="C1082" s="418"/>
      <c r="D1082" s="311">
        <v>11</v>
      </c>
      <c r="E1082" s="312">
        <v>2.5804</v>
      </c>
      <c r="F1082" s="311">
        <v>4</v>
      </c>
      <c r="G1082" s="313">
        <v>9.1</v>
      </c>
      <c r="H1082" s="306">
        <f t="shared" si="1337"/>
        <v>93.69</v>
      </c>
      <c r="I1082" s="359"/>
      <c r="J1082" s="359"/>
      <c r="K1082" s="360"/>
      <c r="L1082" s="364"/>
      <c r="M1082" s="438"/>
    </row>
    <row r="1083" ht="20.25" spans="2:14">
      <c r="B1083" s="419" t="s">
        <v>301</v>
      </c>
      <c r="C1083" s="417"/>
      <c r="D1083" s="311">
        <v>11</v>
      </c>
      <c r="E1083" s="312">
        <v>2.6275</v>
      </c>
      <c r="F1083" s="311">
        <v>4</v>
      </c>
      <c r="G1083" s="313">
        <v>8.75</v>
      </c>
      <c r="H1083" s="306">
        <f t="shared" ref="H1083:H1104" si="1342">ROUND(D1083*100*F1083*250*100/50/E1083/G1083/1000,2)</f>
        <v>95.69</v>
      </c>
      <c r="I1083" s="354">
        <f>ROUND((H1083+H1084)/2,1)</f>
        <v>95.7</v>
      </c>
      <c r="J1083" s="354">
        <f>(H1083-H1084)*100/I1083</f>
        <v>0</v>
      </c>
      <c r="K1083" s="361" t="s">
        <v>883</v>
      </c>
      <c r="L1083" s="363">
        <f>H1084-H1083</f>
        <v>0</v>
      </c>
      <c r="M1083" s="437">
        <v>12.92</v>
      </c>
      <c r="N1083" s="329">
        <f>I1083-M1083</f>
        <v>82.78</v>
      </c>
    </row>
    <row r="1084" ht="20.25" spans="2:13">
      <c r="B1084" s="227"/>
      <c r="C1084" s="418"/>
      <c r="D1084" s="311">
        <v>11</v>
      </c>
      <c r="E1084" s="312">
        <v>2.6275</v>
      </c>
      <c r="F1084" s="311">
        <v>4</v>
      </c>
      <c r="G1084" s="313">
        <v>8.75</v>
      </c>
      <c r="H1084" s="306">
        <f t="shared" si="1342"/>
        <v>95.69</v>
      </c>
      <c r="I1084" s="359"/>
      <c r="J1084" s="359"/>
      <c r="K1084" s="360"/>
      <c r="L1084" s="364"/>
      <c r="M1084" s="438"/>
    </row>
    <row r="1085" ht="20.25" spans="2:14">
      <c r="B1085" s="419" t="s">
        <v>302</v>
      </c>
      <c r="C1085" s="417"/>
      <c r="D1085" s="311">
        <v>11</v>
      </c>
      <c r="E1085" s="312">
        <v>2.592</v>
      </c>
      <c r="F1085" s="311">
        <v>5</v>
      </c>
      <c r="G1085" s="313">
        <v>12.1</v>
      </c>
      <c r="H1085" s="306">
        <f t="shared" si="1342"/>
        <v>87.68</v>
      </c>
      <c r="I1085" s="354">
        <f>ROUND((H1085+H1086)/2,1)</f>
        <v>87.7</v>
      </c>
      <c r="J1085" s="354">
        <f>(H1085-H1086)*100/I1085</f>
        <v>0</v>
      </c>
      <c r="K1085" s="361" t="s">
        <v>885</v>
      </c>
      <c r="L1085" s="363">
        <f>H1086-H1085</f>
        <v>0</v>
      </c>
      <c r="M1085" s="437">
        <v>9.65</v>
      </c>
      <c r="N1085" s="329">
        <f>I1085-M1085</f>
        <v>78.05</v>
      </c>
    </row>
    <row r="1086" ht="20.25" spans="2:13">
      <c r="B1086" s="227"/>
      <c r="C1086" s="418"/>
      <c r="D1086" s="311">
        <v>11</v>
      </c>
      <c r="E1086" s="312">
        <v>2.592</v>
      </c>
      <c r="F1086" s="311">
        <v>5</v>
      </c>
      <c r="G1086" s="313">
        <v>12.1</v>
      </c>
      <c r="H1086" s="306">
        <f t="shared" si="1342"/>
        <v>87.68</v>
      </c>
      <c r="I1086" s="359"/>
      <c r="J1086" s="359"/>
      <c r="K1086" s="360"/>
      <c r="L1086" s="364"/>
      <c r="M1086" s="438"/>
    </row>
    <row r="1087" ht="20.25" spans="2:14">
      <c r="B1087" s="419" t="s">
        <v>303</v>
      </c>
      <c r="C1087" s="417"/>
      <c r="D1087" s="311">
        <v>11</v>
      </c>
      <c r="E1087" s="312">
        <v>2.585</v>
      </c>
      <c r="F1087" s="311">
        <v>4</v>
      </c>
      <c r="G1087" s="313">
        <v>8.95</v>
      </c>
      <c r="H1087" s="306">
        <f t="shared" si="1342"/>
        <v>95.09</v>
      </c>
      <c r="I1087" s="354">
        <f>ROUND((H1087+H1088)/2,1)</f>
        <v>95.1</v>
      </c>
      <c r="J1087" s="354">
        <f>(H1087-H1088)*100/I1087</f>
        <v>0</v>
      </c>
      <c r="K1087" s="361" t="s">
        <v>887</v>
      </c>
      <c r="L1087" s="363">
        <f>H1088-H1087</f>
        <v>0</v>
      </c>
      <c r="M1087" s="437">
        <v>12.82</v>
      </c>
      <c r="N1087" s="329">
        <f>I1087-M1087</f>
        <v>82.28</v>
      </c>
    </row>
    <row r="1088" ht="20.25" spans="2:13">
      <c r="B1088" s="227"/>
      <c r="C1088" s="418"/>
      <c r="D1088" s="311">
        <v>11</v>
      </c>
      <c r="E1088" s="312">
        <v>2.585</v>
      </c>
      <c r="F1088" s="311">
        <v>4</v>
      </c>
      <c r="G1088" s="313">
        <v>8.95</v>
      </c>
      <c r="H1088" s="306">
        <f t="shared" si="1342"/>
        <v>95.09</v>
      </c>
      <c r="I1088" s="359"/>
      <c r="J1088" s="359"/>
      <c r="K1088" s="360"/>
      <c r="L1088" s="364"/>
      <c r="M1088" s="438"/>
    </row>
    <row r="1089" ht="20.25" spans="2:14">
      <c r="B1089" s="419" t="s">
        <v>304</v>
      </c>
      <c r="C1089" s="417"/>
      <c r="D1089" s="311">
        <v>11</v>
      </c>
      <c r="E1089" s="312">
        <v>2.6066</v>
      </c>
      <c r="F1089" s="311">
        <v>4</v>
      </c>
      <c r="G1089" s="313">
        <v>8.95</v>
      </c>
      <c r="H1089" s="306">
        <f t="shared" si="1342"/>
        <v>94.3</v>
      </c>
      <c r="I1089" s="354">
        <f t="shared" ref="I1089:I1093" si="1343">ROUND((H1089+H1090)/2,1)</f>
        <v>94.3</v>
      </c>
      <c r="J1089" s="354">
        <f t="shared" ref="J1089:J1093" si="1344">(H1089-H1090)*100/I1089</f>
        <v>0</v>
      </c>
      <c r="K1089" s="361" t="s">
        <v>891</v>
      </c>
      <c r="L1089" s="363">
        <f t="shared" ref="L1089:L1093" si="1345">H1090-H1089</f>
        <v>0</v>
      </c>
      <c r="M1089" s="437">
        <v>10.45</v>
      </c>
      <c r="N1089" s="329">
        <f>I1089-M1089</f>
        <v>83.85</v>
      </c>
    </row>
    <row r="1090" ht="20.25" spans="2:13">
      <c r="B1090" s="227"/>
      <c r="C1090" s="418"/>
      <c r="D1090" s="311">
        <v>11</v>
      </c>
      <c r="E1090" s="312">
        <v>2.6066</v>
      </c>
      <c r="F1090" s="311">
        <v>4</v>
      </c>
      <c r="G1090" s="313">
        <v>8.95</v>
      </c>
      <c r="H1090" s="306">
        <f t="shared" si="1342"/>
        <v>94.3</v>
      </c>
      <c r="I1090" s="359"/>
      <c r="J1090" s="359"/>
      <c r="K1090" s="360"/>
      <c r="L1090" s="364"/>
      <c r="M1090" s="438"/>
    </row>
    <row r="1091" ht="20.25" spans="2:14">
      <c r="B1091" s="419" t="s">
        <v>305</v>
      </c>
      <c r="C1091" s="417"/>
      <c r="D1091" s="311">
        <v>11</v>
      </c>
      <c r="E1091" s="312">
        <v>2.6427</v>
      </c>
      <c r="F1091" s="311">
        <v>5</v>
      </c>
      <c r="G1091" s="313">
        <v>11.6</v>
      </c>
      <c r="H1091" s="306">
        <f t="shared" si="1342"/>
        <v>89.71</v>
      </c>
      <c r="I1091" s="354">
        <f t="shared" si="1343"/>
        <v>89.7</v>
      </c>
      <c r="J1091" s="354">
        <f t="shared" si="1344"/>
        <v>0</v>
      </c>
      <c r="K1091" s="361" t="s">
        <v>893</v>
      </c>
      <c r="L1091" s="363">
        <f t="shared" si="1345"/>
        <v>0</v>
      </c>
      <c r="M1091" s="437">
        <v>9.86</v>
      </c>
      <c r="N1091" s="329">
        <f t="shared" ref="N1091:N1095" si="1346">I1091-M1091</f>
        <v>79.84</v>
      </c>
    </row>
    <row r="1092" ht="20.25" spans="2:13">
      <c r="B1092" s="227"/>
      <c r="C1092" s="418"/>
      <c r="D1092" s="311">
        <v>11</v>
      </c>
      <c r="E1092" s="312">
        <v>2.6427</v>
      </c>
      <c r="F1092" s="311">
        <v>5</v>
      </c>
      <c r="G1092" s="313">
        <v>11.6</v>
      </c>
      <c r="H1092" s="306">
        <f t="shared" si="1342"/>
        <v>89.71</v>
      </c>
      <c r="I1092" s="359"/>
      <c r="J1092" s="359"/>
      <c r="K1092" s="360"/>
      <c r="L1092" s="364"/>
      <c r="M1092" s="438"/>
    </row>
    <row r="1093" ht="20.25" spans="2:14">
      <c r="B1093" s="419" t="s">
        <v>465</v>
      </c>
      <c r="C1093" s="417"/>
      <c r="D1093" s="311">
        <v>11</v>
      </c>
      <c r="E1093" s="312">
        <v>2.5665</v>
      </c>
      <c r="F1093" s="311">
        <v>5</v>
      </c>
      <c r="G1093" s="313">
        <v>11.4</v>
      </c>
      <c r="H1093" s="306">
        <f t="shared" si="1342"/>
        <v>93.99</v>
      </c>
      <c r="I1093" s="354">
        <f t="shared" si="1343"/>
        <v>94</v>
      </c>
      <c r="J1093" s="354">
        <f t="shared" si="1344"/>
        <v>0</v>
      </c>
      <c r="K1093" s="361" t="s">
        <v>893</v>
      </c>
      <c r="L1093" s="363">
        <f t="shared" si="1345"/>
        <v>0</v>
      </c>
      <c r="M1093" s="435">
        <v>1.16890707188778</v>
      </c>
      <c r="N1093" s="329">
        <f t="shared" si="1346"/>
        <v>92.8310929281122</v>
      </c>
    </row>
    <row r="1094" ht="20.25" spans="2:14">
      <c r="B1094" s="227"/>
      <c r="C1094" s="418"/>
      <c r="D1094" s="311">
        <v>11</v>
      </c>
      <c r="E1094" s="312">
        <v>2.5665</v>
      </c>
      <c r="F1094" s="311">
        <v>5</v>
      </c>
      <c r="G1094" s="313">
        <v>11.4</v>
      </c>
      <c r="H1094" s="306">
        <f t="shared" si="1342"/>
        <v>93.99</v>
      </c>
      <c r="I1094" s="359"/>
      <c r="J1094" s="359"/>
      <c r="K1094" s="360"/>
      <c r="L1094" s="364"/>
      <c r="M1094" s="436"/>
      <c r="N1094" s="329">
        <f t="shared" si="1346"/>
        <v>0</v>
      </c>
    </row>
    <row r="1095" ht="20.25" spans="1:14">
      <c r="A1095" s="314">
        <v>7.8</v>
      </c>
      <c r="B1095" s="419" t="s">
        <v>306</v>
      </c>
      <c r="C1095" s="417"/>
      <c r="D1095" s="311">
        <v>11</v>
      </c>
      <c r="E1095" s="312">
        <v>2.5095</v>
      </c>
      <c r="F1095" s="311">
        <v>5</v>
      </c>
      <c r="G1095" s="313">
        <v>12.9</v>
      </c>
      <c r="H1095" s="306">
        <f t="shared" si="1342"/>
        <v>84.95</v>
      </c>
      <c r="I1095" s="354">
        <f t="shared" ref="I1095:I1099" si="1347">ROUND((H1095+H1096)/2,1)</f>
        <v>85</v>
      </c>
      <c r="J1095" s="354">
        <f t="shared" ref="J1095:J1099" si="1348">(H1095-H1096)*100/I1095</f>
        <v>0</v>
      </c>
      <c r="K1095" s="361" t="s">
        <v>893</v>
      </c>
      <c r="L1095" s="363">
        <f t="shared" ref="L1095:L1099" si="1349">H1096-H1095</f>
        <v>0</v>
      </c>
      <c r="M1095" s="437">
        <v>16.86</v>
      </c>
      <c r="N1095" s="329">
        <f t="shared" si="1346"/>
        <v>68.14</v>
      </c>
    </row>
    <row r="1096" ht="20.25" spans="2:13">
      <c r="B1096" s="227"/>
      <c r="C1096" s="418"/>
      <c r="D1096" s="311">
        <v>11</v>
      </c>
      <c r="E1096" s="312">
        <v>2.5095</v>
      </c>
      <c r="F1096" s="311">
        <v>5</v>
      </c>
      <c r="G1096" s="313">
        <v>12.9</v>
      </c>
      <c r="H1096" s="306">
        <f t="shared" si="1342"/>
        <v>84.95</v>
      </c>
      <c r="I1096" s="359"/>
      <c r="J1096" s="359"/>
      <c r="K1096" s="360"/>
      <c r="L1096" s="364"/>
      <c r="M1096" s="438"/>
    </row>
    <row r="1097" ht="20.25" spans="2:14">
      <c r="B1097" s="419" t="s">
        <v>307</v>
      </c>
      <c r="C1097" s="417"/>
      <c r="D1097" s="311">
        <v>11</v>
      </c>
      <c r="E1097" s="312">
        <v>2.6643</v>
      </c>
      <c r="F1097" s="311">
        <v>5</v>
      </c>
      <c r="G1097" s="313">
        <v>11</v>
      </c>
      <c r="H1097" s="306">
        <f t="shared" si="1342"/>
        <v>93.83</v>
      </c>
      <c r="I1097" s="354">
        <f t="shared" si="1347"/>
        <v>93.8</v>
      </c>
      <c r="J1097" s="354">
        <f t="shared" si="1348"/>
        <v>0</v>
      </c>
      <c r="K1097" s="361" t="s">
        <v>893</v>
      </c>
      <c r="L1097" s="363">
        <f t="shared" si="1349"/>
        <v>0</v>
      </c>
      <c r="M1097" s="435">
        <v>5.67</v>
      </c>
      <c r="N1097" s="329">
        <f>I1097-M1097</f>
        <v>88.13</v>
      </c>
    </row>
    <row r="1098" ht="20.25" spans="2:14">
      <c r="B1098" s="227"/>
      <c r="C1098" s="418"/>
      <c r="D1098" s="311">
        <v>11</v>
      </c>
      <c r="E1098" s="312">
        <v>2.6643</v>
      </c>
      <c r="F1098" s="311">
        <v>5</v>
      </c>
      <c r="G1098" s="313">
        <v>11</v>
      </c>
      <c r="H1098" s="306">
        <f t="shared" si="1342"/>
        <v>93.83</v>
      </c>
      <c r="I1098" s="359"/>
      <c r="J1098" s="359"/>
      <c r="K1098" s="360"/>
      <c r="L1098" s="364"/>
      <c r="M1098" s="436"/>
      <c r="N1098" s="439"/>
    </row>
    <row r="1099" ht="20.25" spans="1:13">
      <c r="A1099" s="314">
        <v>7.9</v>
      </c>
      <c r="B1099" s="419" t="s">
        <v>1121</v>
      </c>
      <c r="C1099" s="417"/>
      <c r="D1099" s="311">
        <v>11</v>
      </c>
      <c r="E1099" s="312">
        <v>2.8382</v>
      </c>
      <c r="F1099" s="311">
        <v>1</v>
      </c>
      <c r="G1099" s="313">
        <v>11.4</v>
      </c>
      <c r="H1099" s="306">
        <f t="shared" si="1342"/>
        <v>17</v>
      </c>
      <c r="I1099" s="354">
        <f t="shared" si="1347"/>
        <v>16.9</v>
      </c>
      <c r="J1099" s="354">
        <f t="shared" si="1348"/>
        <v>0.828402366863909</v>
      </c>
      <c r="K1099" s="361" t="s">
        <v>893</v>
      </c>
      <c r="L1099" s="363">
        <f t="shared" si="1349"/>
        <v>-0.140000000000001</v>
      </c>
      <c r="M1099" s="437">
        <v>16.86</v>
      </c>
    </row>
    <row r="1100" ht="20.25" spans="2:13">
      <c r="B1100" s="227"/>
      <c r="C1100" s="418"/>
      <c r="D1100" s="311">
        <v>11</v>
      </c>
      <c r="E1100" s="312">
        <v>3.0071</v>
      </c>
      <c r="F1100" s="311">
        <v>1</v>
      </c>
      <c r="G1100" s="313">
        <v>10.85</v>
      </c>
      <c r="H1100" s="306">
        <f t="shared" si="1342"/>
        <v>16.86</v>
      </c>
      <c r="I1100" s="359"/>
      <c r="J1100" s="359"/>
      <c r="K1100" s="360"/>
      <c r="L1100" s="364"/>
      <c r="M1100" s="438"/>
    </row>
    <row r="1101" ht="20.25" spans="2:13">
      <c r="B1101" s="419" t="s">
        <v>1122</v>
      </c>
      <c r="C1101" s="417"/>
      <c r="D1101" s="311">
        <v>11</v>
      </c>
      <c r="E1101" s="312">
        <v>10.0012</v>
      </c>
      <c r="F1101" s="311">
        <v>10</v>
      </c>
      <c r="G1101" s="313">
        <v>7.55</v>
      </c>
      <c r="H1101" s="306">
        <f t="shared" si="1342"/>
        <v>72.84</v>
      </c>
      <c r="I1101" s="354">
        <f>ROUND((H1101+H1102)/2,1)</f>
        <v>73.2</v>
      </c>
      <c r="J1101" s="354">
        <f>(H1101-H1102)*100/I1101</f>
        <v>-1.03825136612021</v>
      </c>
      <c r="K1101" s="361" t="s">
        <v>893</v>
      </c>
      <c r="L1101" s="363">
        <f>H1102-H1101</f>
        <v>0.759999999999991</v>
      </c>
      <c r="M1101" s="435">
        <v>5.67</v>
      </c>
    </row>
    <row r="1102" ht="20.25" spans="2:13">
      <c r="B1102" s="227"/>
      <c r="C1102" s="418"/>
      <c r="D1102" s="311">
        <v>11</v>
      </c>
      <c r="E1102" s="312">
        <v>10.0307</v>
      </c>
      <c r="F1102" s="311">
        <v>10</v>
      </c>
      <c r="G1102" s="313">
        <v>7.45</v>
      </c>
      <c r="H1102" s="306">
        <f t="shared" si="1342"/>
        <v>73.6</v>
      </c>
      <c r="I1102" s="359"/>
      <c r="J1102" s="359"/>
      <c r="K1102" s="360"/>
      <c r="L1102" s="364"/>
      <c r="M1102" s="436"/>
    </row>
    <row r="1103" ht="20.25" spans="2:14">
      <c r="B1103" s="419" t="s">
        <v>312</v>
      </c>
      <c r="C1103" s="417"/>
      <c r="D1103" s="311">
        <v>11</v>
      </c>
      <c r="E1103" s="312">
        <v>4.2356</v>
      </c>
      <c r="F1103" s="311">
        <v>2</v>
      </c>
      <c r="G1103" s="313">
        <v>10.65</v>
      </c>
      <c r="H1103" s="306">
        <f t="shared" si="1342"/>
        <v>24.39</v>
      </c>
      <c r="I1103" s="354">
        <f>ROUND((H1103+H1104)/2,1)</f>
        <v>24.4</v>
      </c>
      <c r="J1103" s="354">
        <f>(H1103-H1104)*100/I1103</f>
        <v>-0.0819672131147524</v>
      </c>
      <c r="K1103" s="361" t="s">
        <v>893</v>
      </c>
      <c r="L1103" s="363">
        <f>H1104-H1103</f>
        <v>0.0199999999999996</v>
      </c>
      <c r="M1103" s="435">
        <v>14.8</v>
      </c>
      <c r="N1103" s="329">
        <f>I1103-M1103</f>
        <v>9.6</v>
      </c>
    </row>
    <row r="1104" ht="20.25" spans="2:13">
      <c r="B1104" s="227"/>
      <c r="C1104" s="418"/>
      <c r="D1104" s="311">
        <v>11</v>
      </c>
      <c r="E1104" s="312">
        <v>4.1921</v>
      </c>
      <c r="F1104" s="311">
        <v>2</v>
      </c>
      <c r="G1104" s="313">
        <v>10.75</v>
      </c>
      <c r="H1104" s="306">
        <f t="shared" si="1342"/>
        <v>24.41</v>
      </c>
      <c r="I1104" s="359"/>
      <c r="J1104" s="359"/>
      <c r="K1104" s="360"/>
      <c r="L1104" s="364"/>
      <c r="M1104" s="436"/>
    </row>
    <row r="1105" ht="20.25" spans="1:13">
      <c r="A1105" s="314">
        <v>7.13</v>
      </c>
      <c r="B1105" s="419" t="s">
        <v>1123</v>
      </c>
      <c r="C1105" s="417"/>
      <c r="D1105" s="311">
        <v>11</v>
      </c>
      <c r="E1105" s="312">
        <v>2.7888</v>
      </c>
      <c r="F1105" s="311">
        <v>1</v>
      </c>
      <c r="G1105" s="313">
        <v>10.5</v>
      </c>
      <c r="H1105" s="306">
        <f t="shared" ref="H1105:H1166" si="1350">ROUND(D1105*100*F1105*250*100/50/E1105/G1105/1000,2)</f>
        <v>18.78</v>
      </c>
      <c r="I1105" s="354">
        <f t="shared" ref="I1105:I1109" si="1351">ROUND((H1105+H1106)/2,1)</f>
        <v>18.8</v>
      </c>
      <c r="J1105" s="354">
        <f t="shared" ref="J1105:J1109" si="1352">(H1105-H1106)*100/I1105</f>
        <v>-0.478723404255318</v>
      </c>
      <c r="K1105" s="361" t="s">
        <v>893</v>
      </c>
      <c r="L1105" s="363">
        <f t="shared" ref="L1105:L1109" si="1353">H1106-H1105</f>
        <v>0.0899999999999999</v>
      </c>
      <c r="M1105" s="435">
        <v>14.8</v>
      </c>
    </row>
    <row r="1106" ht="20.25" spans="2:13">
      <c r="B1106" s="227"/>
      <c r="C1106" s="418"/>
      <c r="D1106" s="311">
        <v>11</v>
      </c>
      <c r="E1106" s="312">
        <v>2.5014</v>
      </c>
      <c r="F1106" s="311">
        <v>1</v>
      </c>
      <c r="G1106" s="313">
        <v>11.65</v>
      </c>
      <c r="H1106" s="306">
        <f t="shared" si="1350"/>
        <v>18.87</v>
      </c>
      <c r="I1106" s="359"/>
      <c r="J1106" s="359"/>
      <c r="K1106" s="360"/>
      <c r="L1106" s="364"/>
      <c r="M1106" s="436"/>
    </row>
    <row r="1107" ht="20.25" spans="2:13">
      <c r="B1107" s="419" t="s">
        <v>1124</v>
      </c>
      <c r="C1107" s="417"/>
      <c r="D1107" s="311">
        <v>11</v>
      </c>
      <c r="E1107" s="312">
        <v>2.6176</v>
      </c>
      <c r="F1107" s="311">
        <v>1</v>
      </c>
      <c r="G1107" s="313">
        <v>6.65</v>
      </c>
      <c r="H1107" s="306">
        <f t="shared" si="1350"/>
        <v>31.6</v>
      </c>
      <c r="I1107" s="354">
        <f t="shared" si="1351"/>
        <v>31.4</v>
      </c>
      <c r="J1107" s="354">
        <f t="shared" si="1352"/>
        <v>1.0828025477707</v>
      </c>
      <c r="K1107" s="361" t="s">
        <v>893</v>
      </c>
      <c r="L1107" s="363">
        <f t="shared" si="1353"/>
        <v>-0.34</v>
      </c>
      <c r="M1107" s="435">
        <v>14.8</v>
      </c>
    </row>
    <row r="1108" ht="20.25" spans="2:13">
      <c r="B1108" s="227"/>
      <c r="C1108" s="418"/>
      <c r="D1108" s="311">
        <v>11</v>
      </c>
      <c r="E1108" s="312">
        <v>2.5689</v>
      </c>
      <c r="F1108" s="311">
        <v>1</v>
      </c>
      <c r="G1108" s="313">
        <v>6.85</v>
      </c>
      <c r="H1108" s="306">
        <f t="shared" si="1350"/>
        <v>31.26</v>
      </c>
      <c r="I1108" s="359"/>
      <c r="J1108" s="359"/>
      <c r="K1108" s="360"/>
      <c r="L1108" s="364"/>
      <c r="M1108" s="436"/>
    </row>
    <row r="1109" ht="20.25" spans="1:13">
      <c r="A1109" s="314">
        <v>7.15</v>
      </c>
      <c r="B1109" s="419" t="s">
        <v>1125</v>
      </c>
      <c r="C1109" s="417"/>
      <c r="D1109" s="311">
        <v>11</v>
      </c>
      <c r="E1109" s="312">
        <v>1.1025</v>
      </c>
      <c r="F1109" s="311">
        <v>1</v>
      </c>
      <c r="G1109" s="313">
        <v>10.45</v>
      </c>
      <c r="H1109" s="306">
        <f t="shared" si="1350"/>
        <v>47.74</v>
      </c>
      <c r="I1109" s="354">
        <f t="shared" si="1351"/>
        <v>47.8</v>
      </c>
      <c r="J1109" s="354">
        <f t="shared" si="1352"/>
        <v>-0.355648535564842</v>
      </c>
      <c r="K1109" s="361" t="s">
        <v>893</v>
      </c>
      <c r="L1109" s="363">
        <f t="shared" si="1353"/>
        <v>0.169999999999995</v>
      </c>
      <c r="M1109" s="435">
        <v>14.8</v>
      </c>
    </row>
    <row r="1110" ht="20.25" spans="2:13">
      <c r="B1110" s="227"/>
      <c r="C1110" s="418"/>
      <c r="D1110" s="311">
        <v>11</v>
      </c>
      <c r="E1110" s="312">
        <v>1.0026</v>
      </c>
      <c r="F1110" s="311">
        <v>1</v>
      </c>
      <c r="G1110" s="313">
        <v>11.45</v>
      </c>
      <c r="H1110" s="306">
        <f t="shared" si="1350"/>
        <v>47.91</v>
      </c>
      <c r="I1110" s="359"/>
      <c r="J1110" s="359"/>
      <c r="K1110" s="360"/>
      <c r="L1110" s="364"/>
      <c r="M1110" s="436"/>
    </row>
    <row r="1111" ht="20.25" spans="1:14">
      <c r="A1111" s="314">
        <v>720</v>
      </c>
      <c r="B1111" s="419" t="s">
        <v>467</v>
      </c>
      <c r="C1111" s="417"/>
      <c r="D1111" s="311">
        <v>11</v>
      </c>
      <c r="E1111" s="312">
        <v>2.5496</v>
      </c>
      <c r="F1111" s="311">
        <v>5</v>
      </c>
      <c r="G1111" s="313">
        <v>11.15</v>
      </c>
      <c r="H1111" s="306">
        <f t="shared" si="1350"/>
        <v>96.74</v>
      </c>
      <c r="I1111" s="354">
        <f t="shared" ref="I1111:I1115" si="1354">ROUND((H1111+H1112)/2,1)</f>
        <v>96.7</v>
      </c>
      <c r="J1111" s="354">
        <f t="shared" ref="J1111:J1115" si="1355">(H1111-H1112)*100/I1111</f>
        <v>0</v>
      </c>
      <c r="K1111" s="361" t="s">
        <v>893</v>
      </c>
      <c r="L1111" s="363">
        <f t="shared" ref="L1111:L1115" si="1356">H1112-H1111</f>
        <v>0</v>
      </c>
      <c r="M1111" s="435">
        <v>1.52</v>
      </c>
      <c r="N1111" s="329">
        <f>I1111-M1111</f>
        <v>95.18</v>
      </c>
    </row>
    <row r="1112" ht="20.25" spans="2:13">
      <c r="B1112" s="227"/>
      <c r="C1112" s="418"/>
      <c r="D1112" s="311">
        <v>11</v>
      </c>
      <c r="E1112" s="312">
        <v>2.5496</v>
      </c>
      <c r="F1112" s="311">
        <v>5</v>
      </c>
      <c r="G1112" s="313">
        <v>11.15</v>
      </c>
      <c r="H1112" s="306">
        <f t="shared" si="1350"/>
        <v>96.74</v>
      </c>
      <c r="I1112" s="359"/>
      <c r="J1112" s="359"/>
      <c r="K1112" s="360"/>
      <c r="L1112" s="364"/>
      <c r="M1112" s="436"/>
    </row>
    <row r="1113" ht="20.25" spans="1:13">
      <c r="A1113" s="314">
        <v>7.22</v>
      </c>
      <c r="B1113" s="419" t="s">
        <v>1126</v>
      </c>
      <c r="C1113" s="417"/>
      <c r="D1113" s="311">
        <v>11</v>
      </c>
      <c r="E1113" s="312">
        <v>0.8732</v>
      </c>
      <c r="F1113" s="311">
        <v>1</v>
      </c>
      <c r="G1113" s="313">
        <v>11.1</v>
      </c>
      <c r="H1113" s="306">
        <f t="shared" si="1350"/>
        <v>56.74</v>
      </c>
      <c r="I1113" s="354">
        <f t="shared" si="1354"/>
        <v>56.6</v>
      </c>
      <c r="J1113" s="354">
        <f t="shared" si="1355"/>
        <v>0.547703180212018</v>
      </c>
      <c r="K1113" s="361" t="s">
        <v>150</v>
      </c>
      <c r="L1113" s="363">
        <f t="shared" si="1356"/>
        <v>-0.310000000000002</v>
      </c>
      <c r="M1113" s="435"/>
    </row>
    <row r="1114" ht="20.25" spans="2:13">
      <c r="B1114" s="227"/>
      <c r="C1114" s="418"/>
      <c r="D1114" s="311">
        <v>11</v>
      </c>
      <c r="E1114" s="312">
        <v>0.7892</v>
      </c>
      <c r="F1114" s="311">
        <v>1</v>
      </c>
      <c r="G1114" s="313">
        <v>12.35</v>
      </c>
      <c r="H1114" s="306">
        <f t="shared" si="1350"/>
        <v>56.43</v>
      </c>
      <c r="I1114" s="359"/>
      <c r="J1114" s="359"/>
      <c r="K1114" s="360"/>
      <c r="L1114" s="364"/>
      <c r="M1114" s="436"/>
    </row>
    <row r="1115" ht="20.25" spans="2:13">
      <c r="B1115" s="419" t="s">
        <v>1127</v>
      </c>
      <c r="C1115" s="417"/>
      <c r="D1115" s="311">
        <v>11</v>
      </c>
      <c r="E1115" s="312">
        <v>1.112</v>
      </c>
      <c r="F1115" s="311">
        <v>1</v>
      </c>
      <c r="G1115" s="313">
        <v>6.3</v>
      </c>
      <c r="H1115" s="306">
        <f t="shared" si="1350"/>
        <v>78.51</v>
      </c>
      <c r="I1115" s="354">
        <f t="shared" si="1354"/>
        <v>78.4</v>
      </c>
      <c r="J1115" s="354">
        <f t="shared" si="1355"/>
        <v>0.331632653061231</v>
      </c>
      <c r="K1115" s="361" t="s">
        <v>150</v>
      </c>
      <c r="L1115" s="363">
        <f t="shared" si="1356"/>
        <v>-0.260000000000005</v>
      </c>
      <c r="M1115" s="435"/>
    </row>
    <row r="1116" ht="20.25" spans="2:13">
      <c r="B1116" s="227"/>
      <c r="C1116" s="418"/>
      <c r="D1116" s="311">
        <v>11</v>
      </c>
      <c r="E1116" s="312">
        <v>1.0187</v>
      </c>
      <c r="F1116" s="311">
        <v>1</v>
      </c>
      <c r="G1116" s="313">
        <v>6.9</v>
      </c>
      <c r="H1116" s="306">
        <f t="shared" si="1350"/>
        <v>78.25</v>
      </c>
      <c r="I1116" s="359"/>
      <c r="J1116" s="359"/>
      <c r="K1116" s="360"/>
      <c r="L1116" s="364"/>
      <c r="M1116" s="436"/>
    </row>
    <row r="1117" ht="20.25" spans="2:13">
      <c r="B1117" s="419" t="s">
        <v>1128</v>
      </c>
      <c r="C1117" s="417"/>
      <c r="D1117" s="311">
        <v>11</v>
      </c>
      <c r="E1117" s="312">
        <v>1.2548</v>
      </c>
      <c r="F1117" s="311">
        <v>1</v>
      </c>
      <c r="G1117" s="313">
        <v>8.7</v>
      </c>
      <c r="H1117" s="306">
        <f t="shared" si="1350"/>
        <v>50.38</v>
      </c>
      <c r="I1117" s="354">
        <f t="shared" ref="I1117:I1121" si="1357">ROUND((H1117+H1118)/2,1)</f>
        <v>50.3</v>
      </c>
      <c r="J1117" s="354">
        <f t="shared" ref="J1117:J1121" si="1358">(H1117-H1118)*100/I1117</f>
        <v>0.198807157057657</v>
      </c>
      <c r="K1117" s="361" t="s">
        <v>150</v>
      </c>
      <c r="L1117" s="363">
        <f t="shared" ref="L1117:L1121" si="1359">H1118-H1117</f>
        <v>-0.100000000000001</v>
      </c>
      <c r="M1117" s="435"/>
    </row>
    <row r="1118" ht="20.25" spans="2:13">
      <c r="B1118" s="227"/>
      <c r="C1118" s="418"/>
      <c r="D1118" s="311">
        <v>11</v>
      </c>
      <c r="E1118" s="312">
        <v>1.1105</v>
      </c>
      <c r="F1118" s="311">
        <v>1</v>
      </c>
      <c r="G1118" s="313">
        <v>9.85</v>
      </c>
      <c r="H1118" s="306">
        <f t="shared" si="1350"/>
        <v>50.28</v>
      </c>
      <c r="I1118" s="359"/>
      <c r="J1118" s="359"/>
      <c r="K1118" s="360"/>
      <c r="L1118" s="364"/>
      <c r="M1118" s="436"/>
    </row>
    <row r="1119" ht="20.25" spans="2:12">
      <c r="B1119" s="419" t="s">
        <v>1126</v>
      </c>
      <c r="C1119" s="417"/>
      <c r="D1119" s="311">
        <v>11</v>
      </c>
      <c r="E1119" s="312">
        <v>0.751</v>
      </c>
      <c r="F1119" s="311">
        <v>1</v>
      </c>
      <c r="G1119" s="313">
        <v>13</v>
      </c>
      <c r="H1119" s="306">
        <f t="shared" si="1350"/>
        <v>56.34</v>
      </c>
      <c r="I1119" s="354">
        <f t="shared" si="1357"/>
        <v>56.4</v>
      </c>
      <c r="J1119" s="354">
        <f t="shared" si="1358"/>
        <v>-0.124113475177293</v>
      </c>
      <c r="K1119" s="361" t="s">
        <v>150</v>
      </c>
      <c r="L1119" s="363">
        <f t="shared" si="1359"/>
        <v>0.0699999999999932</v>
      </c>
    </row>
    <row r="1120" ht="20.25" spans="2:12">
      <c r="B1120" s="227"/>
      <c r="C1120" s="418"/>
      <c r="D1120" s="311">
        <v>11</v>
      </c>
      <c r="E1120" s="312">
        <v>0.8025</v>
      </c>
      <c r="F1120" s="311">
        <v>1</v>
      </c>
      <c r="G1120" s="313">
        <v>12.15</v>
      </c>
      <c r="H1120" s="306">
        <f t="shared" si="1350"/>
        <v>56.41</v>
      </c>
      <c r="I1120" s="359"/>
      <c r="J1120" s="359"/>
      <c r="K1120" s="360"/>
      <c r="L1120" s="364"/>
    </row>
    <row r="1121" ht="20.25" spans="2:12">
      <c r="B1121" s="419" t="s">
        <v>1127</v>
      </c>
      <c r="C1121" s="417"/>
      <c r="D1121" s="311">
        <v>11</v>
      </c>
      <c r="E1121" s="312">
        <v>1.0014</v>
      </c>
      <c r="F1121" s="311">
        <v>1</v>
      </c>
      <c r="G1121" s="313">
        <v>7</v>
      </c>
      <c r="H1121" s="306">
        <f t="shared" si="1350"/>
        <v>78.46</v>
      </c>
      <c r="I1121" s="354">
        <f t="shared" si="1357"/>
        <v>78.7</v>
      </c>
      <c r="J1121" s="354">
        <f t="shared" si="1358"/>
        <v>-0.546378653113096</v>
      </c>
      <c r="K1121" s="361" t="s">
        <v>150</v>
      </c>
      <c r="L1121" s="363">
        <f t="shared" si="1359"/>
        <v>0.430000000000007</v>
      </c>
    </row>
    <row r="1122" ht="20.25" spans="2:12">
      <c r="B1122" s="227"/>
      <c r="C1122" s="418"/>
      <c r="D1122" s="311">
        <v>11</v>
      </c>
      <c r="E1122" s="312">
        <v>1.0328</v>
      </c>
      <c r="F1122" s="311">
        <v>1</v>
      </c>
      <c r="G1122" s="313">
        <v>6.75</v>
      </c>
      <c r="H1122" s="306">
        <f t="shared" si="1350"/>
        <v>78.89</v>
      </c>
      <c r="I1122" s="359"/>
      <c r="J1122" s="359"/>
      <c r="K1122" s="360"/>
      <c r="L1122" s="364"/>
    </row>
    <row r="1123" ht="20.25" spans="2:12">
      <c r="B1123" s="419" t="s">
        <v>1128</v>
      </c>
      <c r="C1123" s="417"/>
      <c r="D1123" s="311">
        <v>11</v>
      </c>
      <c r="E1123" s="312">
        <v>0.958</v>
      </c>
      <c r="F1123" s="311">
        <v>1</v>
      </c>
      <c r="G1123" s="313">
        <v>11.2</v>
      </c>
      <c r="H1123" s="306">
        <f t="shared" si="1350"/>
        <v>51.26</v>
      </c>
      <c r="I1123" s="354">
        <f t="shared" ref="I1123:I1127" si="1360">ROUND((H1123+H1124)/2,1)</f>
        <v>50.9</v>
      </c>
      <c r="J1123" s="354">
        <f t="shared" ref="J1123:J1127" si="1361">(H1123-H1124)*100/I1123</f>
        <v>1.39489194499018</v>
      </c>
      <c r="K1123" s="361" t="s">
        <v>150</v>
      </c>
      <c r="L1123" s="363">
        <f t="shared" ref="L1123:L1127" si="1362">H1124-H1123</f>
        <v>-0.710000000000001</v>
      </c>
    </row>
    <row r="1124" ht="20.25" spans="2:12">
      <c r="B1124" s="227"/>
      <c r="C1124" s="418"/>
      <c r="D1124" s="311">
        <v>11</v>
      </c>
      <c r="E1124" s="312">
        <v>1.1217</v>
      </c>
      <c r="F1124" s="311">
        <v>1</v>
      </c>
      <c r="G1124" s="313">
        <v>9.7</v>
      </c>
      <c r="H1124" s="306">
        <f t="shared" si="1350"/>
        <v>50.55</v>
      </c>
      <c r="I1124" s="359"/>
      <c r="J1124" s="359"/>
      <c r="K1124" s="360"/>
      <c r="L1124" s="364"/>
    </row>
    <row r="1125" ht="20.25" spans="1:12">
      <c r="A1125" s="314">
        <v>7.23</v>
      </c>
      <c r="B1125" s="419" t="s">
        <v>1129</v>
      </c>
      <c r="C1125" s="417"/>
      <c r="D1125" s="311">
        <v>11</v>
      </c>
      <c r="E1125" s="312">
        <v>2.5141</v>
      </c>
      <c r="F1125" s="311">
        <v>1</v>
      </c>
      <c r="G1125" s="313">
        <v>11.6</v>
      </c>
      <c r="H1125" s="306">
        <f t="shared" si="1350"/>
        <v>18.86</v>
      </c>
      <c r="I1125" s="354">
        <f t="shared" si="1360"/>
        <v>18.8</v>
      </c>
      <c r="J1125" s="354">
        <f t="shared" si="1361"/>
        <v>0.53191489361701</v>
      </c>
      <c r="K1125" s="361" t="s">
        <v>150</v>
      </c>
      <c r="L1125" s="363">
        <f t="shared" si="1362"/>
        <v>-0.0999999999999979</v>
      </c>
    </row>
    <row r="1126" ht="20.25" spans="2:12">
      <c r="B1126" s="227"/>
      <c r="C1126" s="418"/>
      <c r="D1126" s="311">
        <v>11</v>
      </c>
      <c r="E1126" s="312">
        <v>2.4852</v>
      </c>
      <c r="F1126" s="311">
        <v>1</v>
      </c>
      <c r="G1126" s="313">
        <v>11.8</v>
      </c>
      <c r="H1126" s="306">
        <f t="shared" si="1350"/>
        <v>18.76</v>
      </c>
      <c r="I1126" s="359"/>
      <c r="J1126" s="359"/>
      <c r="K1126" s="360"/>
      <c r="L1126" s="364"/>
    </row>
    <row r="1127" ht="20.25" spans="2:12">
      <c r="B1127" s="419" t="s">
        <v>1130</v>
      </c>
      <c r="C1127" s="417"/>
      <c r="D1127" s="311">
        <v>11</v>
      </c>
      <c r="E1127" s="312">
        <v>2.8461</v>
      </c>
      <c r="F1127" s="311">
        <v>1</v>
      </c>
      <c r="G1127" s="313">
        <v>8.2</v>
      </c>
      <c r="H1127" s="306">
        <f t="shared" si="1350"/>
        <v>23.57</v>
      </c>
      <c r="I1127" s="354">
        <f t="shared" si="1360"/>
        <v>23.7</v>
      </c>
      <c r="J1127" s="354">
        <f t="shared" si="1361"/>
        <v>-0.928270042194088</v>
      </c>
      <c r="K1127" s="361" t="s">
        <v>150</v>
      </c>
      <c r="L1127" s="363">
        <f t="shared" si="1362"/>
        <v>0.219999999999999</v>
      </c>
    </row>
    <row r="1128" ht="20.25" spans="2:12">
      <c r="B1128" s="227"/>
      <c r="C1128" s="418"/>
      <c r="D1128" s="311">
        <v>11</v>
      </c>
      <c r="E1128" s="312">
        <v>2.541</v>
      </c>
      <c r="F1128" s="311">
        <v>1</v>
      </c>
      <c r="G1128" s="313">
        <v>9.1</v>
      </c>
      <c r="H1128" s="306">
        <f t="shared" si="1350"/>
        <v>23.79</v>
      </c>
      <c r="I1128" s="359"/>
      <c r="J1128" s="359"/>
      <c r="K1128" s="360"/>
      <c r="L1128" s="364"/>
    </row>
    <row r="1129" ht="20.25" spans="2:12">
      <c r="B1129" s="419" t="s">
        <v>1131</v>
      </c>
      <c r="C1129" s="417"/>
      <c r="D1129" s="311">
        <v>11</v>
      </c>
      <c r="E1129" s="312">
        <v>0.985</v>
      </c>
      <c r="F1129" s="311">
        <v>1</v>
      </c>
      <c r="G1129" s="313">
        <v>11.25</v>
      </c>
      <c r="H1129" s="306">
        <f t="shared" si="1350"/>
        <v>49.63</v>
      </c>
      <c r="I1129" s="354">
        <f t="shared" ref="I1129:I1133" si="1363">ROUND((H1129+H1130)/2,1)</f>
        <v>49.9</v>
      </c>
      <c r="J1129" s="354">
        <f t="shared" ref="J1129:J1133" si="1364">(H1129-H1130)*100/I1129</f>
        <v>-0.961923847695385</v>
      </c>
      <c r="K1129" s="361" t="s">
        <v>150</v>
      </c>
      <c r="L1129" s="363">
        <f t="shared" ref="L1129:L1133" si="1365">H1130-H1129</f>
        <v>0.479999999999997</v>
      </c>
    </row>
    <row r="1130" ht="20.25" spans="2:12">
      <c r="B1130" s="227"/>
      <c r="C1130" s="418"/>
      <c r="D1130" s="311">
        <v>11</v>
      </c>
      <c r="E1130" s="312">
        <v>0.9147</v>
      </c>
      <c r="F1130" s="311">
        <v>1</v>
      </c>
      <c r="G1130" s="313">
        <v>12</v>
      </c>
      <c r="H1130" s="306">
        <f t="shared" si="1350"/>
        <v>50.11</v>
      </c>
      <c r="I1130" s="359"/>
      <c r="J1130" s="359"/>
      <c r="K1130" s="360"/>
      <c r="L1130" s="364"/>
    </row>
    <row r="1131" ht="20.25" spans="2:12">
      <c r="B1131" s="419" t="s">
        <v>1132</v>
      </c>
      <c r="C1131" s="417"/>
      <c r="D1131" s="311">
        <v>11</v>
      </c>
      <c r="E1131" s="312">
        <v>0.6786</v>
      </c>
      <c r="F1131" s="311">
        <v>1</v>
      </c>
      <c r="G1131" s="313">
        <v>10.9</v>
      </c>
      <c r="H1131" s="306">
        <f t="shared" si="1350"/>
        <v>74.36</v>
      </c>
      <c r="I1131" s="354">
        <f t="shared" si="1363"/>
        <v>74</v>
      </c>
      <c r="J1131" s="354">
        <f t="shared" si="1364"/>
        <v>0.878378378378386</v>
      </c>
      <c r="K1131" s="361" t="s">
        <v>150</v>
      </c>
      <c r="L1131" s="363">
        <f t="shared" si="1365"/>
        <v>-0.650000000000006</v>
      </c>
    </row>
    <row r="1132" ht="20.25" spans="2:12">
      <c r="B1132" s="227"/>
      <c r="C1132" s="418"/>
      <c r="D1132" s="311">
        <v>11</v>
      </c>
      <c r="E1132" s="312">
        <v>0.6692</v>
      </c>
      <c r="F1132" s="311">
        <v>1</v>
      </c>
      <c r="G1132" s="313">
        <v>11.15</v>
      </c>
      <c r="H1132" s="306">
        <f t="shared" si="1350"/>
        <v>73.71</v>
      </c>
      <c r="I1132" s="359"/>
      <c r="J1132" s="359"/>
      <c r="K1132" s="360"/>
      <c r="L1132" s="364"/>
    </row>
    <row r="1133" ht="20.25" spans="2:12">
      <c r="B1133" s="419" t="s">
        <v>1133</v>
      </c>
      <c r="C1133" s="417"/>
      <c r="D1133" s="311">
        <v>11</v>
      </c>
      <c r="E1133" s="312">
        <v>1.0376</v>
      </c>
      <c r="F1133" s="311">
        <v>1</v>
      </c>
      <c r="G1133" s="313">
        <v>11.3</v>
      </c>
      <c r="H1133" s="306">
        <f t="shared" si="1350"/>
        <v>46.91</v>
      </c>
      <c r="I1133" s="354">
        <f t="shared" si="1363"/>
        <v>46.7</v>
      </c>
      <c r="J1133" s="354">
        <f t="shared" si="1364"/>
        <v>0.813704496787999</v>
      </c>
      <c r="K1133" s="361" t="s">
        <v>150</v>
      </c>
      <c r="L1133" s="363">
        <f t="shared" si="1365"/>
        <v>-0.379999999999995</v>
      </c>
    </row>
    <row r="1134" ht="20.25" spans="2:12">
      <c r="B1134" s="227"/>
      <c r="C1134" s="418"/>
      <c r="D1134" s="311">
        <v>11</v>
      </c>
      <c r="E1134" s="312">
        <v>1.0017</v>
      </c>
      <c r="F1134" s="311">
        <v>1</v>
      </c>
      <c r="G1134" s="313">
        <v>11.8</v>
      </c>
      <c r="H1134" s="306">
        <f t="shared" si="1350"/>
        <v>46.53</v>
      </c>
      <c r="I1134" s="359"/>
      <c r="J1134" s="359"/>
      <c r="K1134" s="360"/>
      <c r="L1134" s="364"/>
    </row>
    <row r="1135" ht="20.25" spans="2:14">
      <c r="B1135" s="419" t="s">
        <v>314</v>
      </c>
      <c r="C1135" s="417" t="s">
        <v>315</v>
      </c>
      <c r="D1135" s="311">
        <v>11</v>
      </c>
      <c r="E1135" s="312">
        <v>2.5942</v>
      </c>
      <c r="F1135" s="311">
        <v>5</v>
      </c>
      <c r="G1135" s="313">
        <v>11.2</v>
      </c>
      <c r="H1135" s="306">
        <f t="shared" si="1350"/>
        <v>94.65</v>
      </c>
      <c r="I1135" s="354">
        <f t="shared" ref="I1135:I1139" si="1366">ROUND((H1135+H1136)/2,1)</f>
        <v>94.7</v>
      </c>
      <c r="J1135" s="354">
        <f t="shared" ref="J1135:J1139" si="1367">(H1135-H1136)*100/I1135</f>
        <v>0</v>
      </c>
      <c r="K1135" s="361" t="s">
        <v>150</v>
      </c>
      <c r="L1135" s="363">
        <f t="shared" ref="L1135:L1139" si="1368">H1136-H1135</f>
        <v>0</v>
      </c>
      <c r="M1135" s="328">
        <v>16.1</v>
      </c>
      <c r="N1135" s="329">
        <f>I1135-M1135</f>
        <v>78.6</v>
      </c>
    </row>
    <row r="1136" ht="20.25" spans="2:12">
      <c r="B1136" s="227"/>
      <c r="C1136" s="418"/>
      <c r="D1136" s="311">
        <v>11</v>
      </c>
      <c r="E1136" s="312">
        <v>2.5942</v>
      </c>
      <c r="F1136" s="311">
        <v>5</v>
      </c>
      <c r="G1136" s="313">
        <v>11.2</v>
      </c>
      <c r="H1136" s="306">
        <f t="shared" si="1350"/>
        <v>94.65</v>
      </c>
      <c r="I1136" s="359"/>
      <c r="J1136" s="359"/>
      <c r="K1136" s="360"/>
      <c r="L1136" s="364"/>
    </row>
    <row r="1137" ht="20.25" spans="1:12">
      <c r="A1137" s="314">
        <v>8.3</v>
      </c>
      <c r="B1137" s="419" t="s">
        <v>1134</v>
      </c>
      <c r="C1137" s="417"/>
      <c r="D1137" s="311">
        <v>11</v>
      </c>
      <c r="E1137" s="312">
        <v>2.7101</v>
      </c>
      <c r="F1137" s="311">
        <v>1</v>
      </c>
      <c r="G1137" s="313">
        <v>9.05</v>
      </c>
      <c r="H1137" s="306">
        <f t="shared" si="1350"/>
        <v>22.42</v>
      </c>
      <c r="I1137" s="354">
        <f t="shared" si="1366"/>
        <v>22.6</v>
      </c>
      <c r="J1137" s="354">
        <f t="shared" si="1367"/>
        <v>-1.1504424778761</v>
      </c>
      <c r="K1137" s="361" t="s">
        <v>150</v>
      </c>
      <c r="L1137" s="363">
        <f t="shared" si="1368"/>
        <v>0.259999999999998</v>
      </c>
    </row>
    <row r="1138" ht="20.25" spans="2:12">
      <c r="B1138" s="227"/>
      <c r="C1138" s="418"/>
      <c r="D1138" s="311">
        <v>11</v>
      </c>
      <c r="E1138" s="312">
        <v>2.553</v>
      </c>
      <c r="F1138" s="311">
        <v>1</v>
      </c>
      <c r="G1138" s="313">
        <v>9.5</v>
      </c>
      <c r="H1138" s="306">
        <f t="shared" si="1350"/>
        <v>22.68</v>
      </c>
      <c r="I1138" s="359"/>
      <c r="J1138" s="359"/>
      <c r="K1138" s="360"/>
      <c r="L1138" s="364"/>
    </row>
    <row r="1139" ht="20.25" spans="2:12">
      <c r="B1139" s="419" t="s">
        <v>1135</v>
      </c>
      <c r="C1139" s="417"/>
      <c r="D1139" s="311">
        <v>11</v>
      </c>
      <c r="E1139" s="312">
        <v>5.5098</v>
      </c>
      <c r="F1139" s="311">
        <v>1</v>
      </c>
      <c r="G1139" s="313">
        <v>12.75</v>
      </c>
      <c r="H1139" s="306">
        <f t="shared" si="1350"/>
        <v>7.83</v>
      </c>
      <c r="I1139" s="354">
        <f t="shared" si="1366"/>
        <v>7.9</v>
      </c>
      <c r="J1139" s="354">
        <f t="shared" si="1367"/>
        <v>-1.13924050632911</v>
      </c>
      <c r="K1139" s="361" t="s">
        <v>150</v>
      </c>
      <c r="L1139" s="363">
        <f t="shared" si="1368"/>
        <v>0.0899999999999999</v>
      </c>
    </row>
    <row r="1140" ht="20.25" spans="2:12">
      <c r="B1140" s="227"/>
      <c r="C1140" s="418"/>
      <c r="D1140" s="311">
        <v>11</v>
      </c>
      <c r="E1140" s="312">
        <v>5.3607</v>
      </c>
      <c r="F1140" s="311">
        <v>1</v>
      </c>
      <c r="G1140" s="313">
        <v>12.95</v>
      </c>
      <c r="H1140" s="306">
        <f t="shared" si="1350"/>
        <v>7.92</v>
      </c>
      <c r="I1140" s="359"/>
      <c r="J1140" s="359"/>
      <c r="K1140" s="360"/>
      <c r="L1140" s="364"/>
    </row>
    <row r="1141" ht="20.25" spans="2:12">
      <c r="B1141" s="419" t="s">
        <v>1136</v>
      </c>
      <c r="C1141" s="417"/>
      <c r="D1141" s="311">
        <v>11</v>
      </c>
      <c r="E1141" s="312">
        <v>3.0815</v>
      </c>
      <c r="F1141" s="311">
        <v>1</v>
      </c>
      <c r="G1141" s="313">
        <v>5.3</v>
      </c>
      <c r="H1141" s="306">
        <f t="shared" si="1350"/>
        <v>33.68</v>
      </c>
      <c r="I1141" s="354">
        <f t="shared" ref="I1141:I1145" si="1369">ROUND((H1141+H1142)/2,1)</f>
        <v>33.6</v>
      </c>
      <c r="J1141" s="354">
        <f t="shared" ref="J1141:J1145" si="1370">(H1141-H1142)*100/I1141</f>
        <v>0.505952380952386</v>
      </c>
      <c r="K1141" s="361" t="s">
        <v>150</v>
      </c>
      <c r="L1141" s="363">
        <f t="shared" ref="L1141:L1145" si="1371">H1142-H1141</f>
        <v>-0.170000000000002</v>
      </c>
    </row>
    <row r="1142" ht="20.25" spans="2:12">
      <c r="B1142" s="227"/>
      <c r="C1142" s="418"/>
      <c r="D1142" s="311">
        <v>11</v>
      </c>
      <c r="E1142" s="312">
        <v>2.5058</v>
      </c>
      <c r="F1142" s="311">
        <v>1</v>
      </c>
      <c r="G1142" s="313">
        <v>6.55</v>
      </c>
      <c r="H1142" s="306">
        <f t="shared" si="1350"/>
        <v>33.51</v>
      </c>
      <c r="I1142" s="359"/>
      <c r="J1142" s="359"/>
      <c r="K1142" s="360"/>
      <c r="L1142" s="364"/>
    </row>
    <row r="1143" ht="20.25" spans="2:14">
      <c r="B1143" s="419" t="s">
        <v>469</v>
      </c>
      <c r="C1143" s="417"/>
      <c r="D1143" s="311">
        <v>11</v>
      </c>
      <c r="E1143" s="312">
        <v>5.3619</v>
      </c>
      <c r="F1143" s="311">
        <v>5</v>
      </c>
      <c r="G1143" s="313">
        <v>5.2</v>
      </c>
      <c r="H1143" s="306">
        <f t="shared" si="1350"/>
        <v>98.63</v>
      </c>
      <c r="I1143" s="354">
        <f t="shared" si="1369"/>
        <v>98.6</v>
      </c>
      <c r="J1143" s="354">
        <f t="shared" si="1370"/>
        <v>0</v>
      </c>
      <c r="K1143" s="361" t="s">
        <v>150</v>
      </c>
      <c r="L1143" s="363">
        <f t="shared" si="1371"/>
        <v>0</v>
      </c>
      <c r="M1143" s="434">
        <v>0.21</v>
      </c>
      <c r="N1143" s="329">
        <f>I1143-M1143</f>
        <v>98.39</v>
      </c>
    </row>
    <row r="1144" ht="20.25" spans="2:12">
      <c r="B1144" s="227"/>
      <c r="C1144" s="418"/>
      <c r="D1144" s="311">
        <v>11</v>
      </c>
      <c r="E1144" s="312">
        <v>5.3619</v>
      </c>
      <c r="F1144" s="311">
        <v>5</v>
      </c>
      <c r="G1144" s="313">
        <v>5.2</v>
      </c>
      <c r="H1144" s="306">
        <f t="shared" si="1350"/>
        <v>98.63</v>
      </c>
      <c r="I1144" s="359"/>
      <c r="J1144" s="359"/>
      <c r="K1144" s="360"/>
      <c r="L1144" s="364"/>
    </row>
    <row r="1145" ht="20.25" spans="1:12">
      <c r="A1145" s="314">
        <v>8.5</v>
      </c>
      <c r="B1145" s="419" t="s">
        <v>1137</v>
      </c>
      <c r="C1145" s="417"/>
      <c r="D1145" s="311">
        <v>11</v>
      </c>
      <c r="E1145" s="312">
        <v>4.574</v>
      </c>
      <c r="F1145" s="311">
        <v>1</v>
      </c>
      <c r="G1145" s="313">
        <v>7.42</v>
      </c>
      <c r="H1145" s="306">
        <f t="shared" si="1350"/>
        <v>16.21</v>
      </c>
      <c r="I1145" s="354">
        <f t="shared" si="1369"/>
        <v>16.2</v>
      </c>
      <c r="J1145" s="354">
        <f t="shared" si="1370"/>
        <v>-0.370370370370362</v>
      </c>
      <c r="K1145" s="361" t="s">
        <v>150</v>
      </c>
      <c r="L1145" s="363">
        <f t="shared" si="1371"/>
        <v>0.0599999999999987</v>
      </c>
    </row>
    <row r="1146" ht="20.25" spans="2:12">
      <c r="B1146" s="227"/>
      <c r="C1146" s="418"/>
      <c r="D1146" s="311">
        <v>11</v>
      </c>
      <c r="E1146" s="312">
        <v>4.2251</v>
      </c>
      <c r="F1146" s="311">
        <v>1</v>
      </c>
      <c r="G1146" s="313">
        <v>8</v>
      </c>
      <c r="H1146" s="306">
        <f t="shared" si="1350"/>
        <v>16.27</v>
      </c>
      <c r="I1146" s="359"/>
      <c r="J1146" s="359"/>
      <c r="K1146" s="360"/>
      <c r="L1146" s="364"/>
    </row>
    <row r="1147" ht="20.25" spans="2:12">
      <c r="B1147" s="419" t="s">
        <v>1138</v>
      </c>
      <c r="C1147" s="417"/>
      <c r="D1147" s="311">
        <v>11</v>
      </c>
      <c r="E1147" s="312">
        <v>4.119</v>
      </c>
      <c r="F1147" s="311">
        <v>1</v>
      </c>
      <c r="G1147" s="313">
        <v>8.2</v>
      </c>
      <c r="H1147" s="306">
        <f t="shared" si="1350"/>
        <v>16.28</v>
      </c>
      <c r="I1147" s="354">
        <f t="shared" ref="I1147:I1151" si="1372">ROUND((H1147+H1148)/2,1)</f>
        <v>16.5</v>
      </c>
      <c r="J1147" s="354">
        <f t="shared" ref="J1147:J1151" si="1373">(H1147-H1148)*100/I1147</f>
        <v>-2.3030303030303</v>
      </c>
      <c r="K1147" s="361" t="s">
        <v>150</v>
      </c>
      <c r="L1147" s="363">
        <f t="shared" ref="L1147:L1151" si="1374">H1148-H1147</f>
        <v>0.379999999999999</v>
      </c>
    </row>
    <row r="1148" ht="20.25" spans="2:12">
      <c r="B1148" s="227"/>
      <c r="C1148" s="418"/>
      <c r="D1148" s="311">
        <v>11</v>
      </c>
      <c r="E1148" s="312">
        <v>4.0258</v>
      </c>
      <c r="F1148" s="311">
        <v>1</v>
      </c>
      <c r="G1148" s="313">
        <v>8.2</v>
      </c>
      <c r="H1148" s="306">
        <f t="shared" si="1350"/>
        <v>16.66</v>
      </c>
      <c r="I1148" s="359"/>
      <c r="J1148" s="359"/>
      <c r="K1148" s="360"/>
      <c r="L1148" s="364"/>
    </row>
    <row r="1149" ht="20.25" spans="2:12">
      <c r="B1149" s="419" t="s">
        <v>1139</v>
      </c>
      <c r="C1149" s="417"/>
      <c r="D1149" s="311">
        <v>11</v>
      </c>
      <c r="E1149" s="312">
        <v>4.2638</v>
      </c>
      <c r="F1149" s="311">
        <v>1</v>
      </c>
      <c r="G1149" s="313">
        <v>7.1</v>
      </c>
      <c r="H1149" s="306">
        <f t="shared" si="1350"/>
        <v>18.17</v>
      </c>
      <c r="I1149" s="354">
        <f t="shared" si="1372"/>
        <v>18.3</v>
      </c>
      <c r="J1149" s="354">
        <f t="shared" si="1373"/>
        <v>-1.09289617486338</v>
      </c>
      <c r="K1149" s="361" t="s">
        <v>150</v>
      </c>
      <c r="L1149" s="363">
        <f t="shared" si="1374"/>
        <v>0.199999999999999</v>
      </c>
    </row>
    <row r="1150" ht="20.25" spans="2:12">
      <c r="B1150" s="227"/>
      <c r="C1150" s="418"/>
      <c r="D1150" s="311">
        <v>11</v>
      </c>
      <c r="E1150" s="312">
        <v>4.3719</v>
      </c>
      <c r="F1150" s="311">
        <v>1</v>
      </c>
      <c r="G1150" s="313">
        <v>6.85</v>
      </c>
      <c r="H1150" s="306">
        <f t="shared" si="1350"/>
        <v>18.37</v>
      </c>
      <c r="I1150" s="359"/>
      <c r="J1150" s="359"/>
      <c r="K1150" s="360"/>
      <c r="L1150" s="364"/>
    </row>
    <row r="1151" ht="20.25" spans="1:12">
      <c r="A1151" s="314">
        <v>8.7</v>
      </c>
      <c r="B1151" s="419" t="s">
        <v>1140</v>
      </c>
      <c r="C1151" s="417"/>
      <c r="D1151" s="311">
        <v>11</v>
      </c>
      <c r="E1151" s="312">
        <v>2.4357</v>
      </c>
      <c r="F1151" s="311">
        <v>1</v>
      </c>
      <c r="G1151" s="313">
        <v>5.2</v>
      </c>
      <c r="H1151" s="306">
        <f t="shared" si="1350"/>
        <v>43.42</v>
      </c>
      <c r="I1151" s="354">
        <f t="shared" si="1372"/>
        <v>43.6</v>
      </c>
      <c r="J1151" s="354">
        <f t="shared" si="1373"/>
        <v>-0.733944954128441</v>
      </c>
      <c r="K1151" s="361" t="s">
        <v>150</v>
      </c>
      <c r="L1151" s="363">
        <f t="shared" si="1374"/>
        <v>0.32</v>
      </c>
    </row>
    <row r="1152" ht="20.25" spans="2:12">
      <c r="B1152" s="227"/>
      <c r="C1152" s="418"/>
      <c r="D1152" s="311">
        <v>11</v>
      </c>
      <c r="E1152" s="312">
        <v>2.0121</v>
      </c>
      <c r="F1152" s="311">
        <v>1</v>
      </c>
      <c r="G1152" s="313">
        <v>6.25</v>
      </c>
      <c r="H1152" s="306">
        <f t="shared" si="1350"/>
        <v>43.74</v>
      </c>
      <c r="I1152" s="359"/>
      <c r="J1152" s="359"/>
      <c r="K1152" s="360"/>
      <c r="L1152" s="364"/>
    </row>
    <row r="1153" ht="20.25" spans="2:12">
      <c r="B1153" s="419" t="s">
        <v>1141</v>
      </c>
      <c r="C1153" s="417"/>
      <c r="D1153" s="311">
        <v>11</v>
      </c>
      <c r="E1153" s="312">
        <v>3.7305</v>
      </c>
      <c r="F1153" s="311">
        <v>1</v>
      </c>
      <c r="G1153" s="313">
        <v>17.15</v>
      </c>
      <c r="H1153" s="306">
        <f t="shared" si="1350"/>
        <v>8.6</v>
      </c>
      <c r="I1153" s="354">
        <f>ROUND((H1153+H1154)/2,1)</f>
        <v>8.6</v>
      </c>
      <c r="J1153" s="354">
        <f>(H1153-H1154)*100/I1153</f>
        <v>-0.930232558139536</v>
      </c>
      <c r="K1153" s="361" t="s">
        <v>150</v>
      </c>
      <c r="L1153" s="363">
        <f>H1154-H1153</f>
        <v>0.0800000000000001</v>
      </c>
    </row>
    <row r="1154" ht="20.25" spans="2:12">
      <c r="B1154" s="227"/>
      <c r="C1154" s="418"/>
      <c r="D1154" s="311">
        <v>11</v>
      </c>
      <c r="E1154" s="312">
        <v>3.8055</v>
      </c>
      <c r="F1154" s="311">
        <v>1</v>
      </c>
      <c r="G1154" s="313">
        <v>16.65</v>
      </c>
      <c r="H1154" s="306">
        <f t="shared" si="1350"/>
        <v>8.68</v>
      </c>
      <c r="I1154" s="359"/>
      <c r="J1154" s="359"/>
      <c r="K1154" s="360"/>
      <c r="L1154" s="364"/>
    </row>
    <row r="1155" ht="20.25" spans="2:12">
      <c r="B1155" s="419" t="s">
        <v>1142</v>
      </c>
      <c r="C1155" s="417"/>
      <c r="D1155" s="311">
        <v>11</v>
      </c>
      <c r="E1155" s="312">
        <v>0.7945</v>
      </c>
      <c r="F1155" s="311">
        <v>1</v>
      </c>
      <c r="G1155" s="313">
        <v>9.4</v>
      </c>
      <c r="H1155" s="306">
        <f t="shared" si="1350"/>
        <v>73.64</v>
      </c>
      <c r="I1155" s="354">
        <f>ROUND((H1155+H1156)/2,1)</f>
        <v>73.7</v>
      </c>
      <c r="J1155" s="354">
        <f>(H1155-H1156)*100/I1155</f>
        <v>-0.149253731343283</v>
      </c>
      <c r="K1155" s="361" t="s">
        <v>150</v>
      </c>
      <c r="L1155" s="363">
        <f>H1156-H1155</f>
        <v>0.109999999999999</v>
      </c>
    </row>
    <row r="1156" ht="20.25" spans="2:12">
      <c r="B1156" s="227"/>
      <c r="C1156" s="418"/>
      <c r="D1156" s="311">
        <v>11</v>
      </c>
      <c r="E1156" s="312">
        <v>0.8019</v>
      </c>
      <c r="F1156" s="311">
        <v>1</v>
      </c>
      <c r="G1156" s="313">
        <v>9.3</v>
      </c>
      <c r="H1156" s="306">
        <f t="shared" si="1350"/>
        <v>73.75</v>
      </c>
      <c r="I1156" s="359"/>
      <c r="J1156" s="359"/>
      <c r="K1156" s="360"/>
      <c r="L1156" s="364"/>
    </row>
    <row r="1157" ht="20.25" spans="2:12">
      <c r="B1157" s="419" t="s">
        <v>1143</v>
      </c>
      <c r="C1157" s="417"/>
      <c r="D1157" s="311">
        <v>11</v>
      </c>
      <c r="E1157" s="312">
        <v>0.763</v>
      </c>
      <c r="F1157" s="311">
        <v>1</v>
      </c>
      <c r="G1157" s="313">
        <v>9.95</v>
      </c>
      <c r="H1157" s="306">
        <f t="shared" si="1350"/>
        <v>72.45</v>
      </c>
      <c r="I1157" s="354">
        <f>ROUND((H1157+H1158)/2,1)</f>
        <v>72.6</v>
      </c>
      <c r="J1157" s="354">
        <f>(H1157-H1158)*100/I1157</f>
        <v>-0.44077134986225</v>
      </c>
      <c r="K1157" s="361" t="s">
        <v>150</v>
      </c>
      <c r="L1157" s="363">
        <f>H1158-H1157</f>
        <v>0.319999999999993</v>
      </c>
    </row>
    <row r="1158" ht="20.25" spans="2:12">
      <c r="B1158" s="227"/>
      <c r="C1158" s="418"/>
      <c r="D1158" s="311">
        <v>11</v>
      </c>
      <c r="E1158" s="312">
        <v>0.7712</v>
      </c>
      <c r="F1158" s="311">
        <v>1</v>
      </c>
      <c r="G1158" s="313">
        <v>9.8</v>
      </c>
      <c r="H1158" s="306">
        <f t="shared" si="1350"/>
        <v>72.77</v>
      </c>
      <c r="I1158" s="359"/>
      <c r="J1158" s="359"/>
      <c r="K1158" s="360"/>
      <c r="L1158" s="364"/>
    </row>
    <row r="1159" ht="20.25" spans="2:12">
      <c r="B1159" s="419" t="s">
        <v>1144</v>
      </c>
      <c r="C1159" s="417"/>
      <c r="D1159" s="311">
        <v>11</v>
      </c>
      <c r="E1159" s="312">
        <v>0.8352</v>
      </c>
      <c r="F1159" s="311">
        <v>1</v>
      </c>
      <c r="G1159" s="313">
        <v>8.95</v>
      </c>
      <c r="H1159" s="306">
        <f t="shared" si="1350"/>
        <v>73.58</v>
      </c>
      <c r="I1159" s="354">
        <f t="shared" ref="I1159:I1163" si="1375">ROUND((H1159+H1160)/2,1)</f>
        <v>73.5</v>
      </c>
      <c r="J1159" s="354">
        <f t="shared" ref="J1159:J1163" si="1376">(H1159-H1160)*100/I1159</f>
        <v>0.149659863945577</v>
      </c>
      <c r="K1159" s="361" t="s">
        <v>150</v>
      </c>
      <c r="L1159" s="363">
        <f t="shared" ref="L1159:L1163" si="1377">H1160-H1159</f>
        <v>-0.109999999999999</v>
      </c>
    </row>
    <row r="1160" ht="20.25" spans="2:12">
      <c r="B1160" s="227"/>
      <c r="C1160" s="418"/>
      <c r="D1160" s="311">
        <v>11</v>
      </c>
      <c r="E1160" s="312">
        <v>0.805</v>
      </c>
      <c r="F1160" s="311">
        <v>1</v>
      </c>
      <c r="G1160" s="313">
        <v>9.3</v>
      </c>
      <c r="H1160" s="306">
        <f t="shared" si="1350"/>
        <v>73.47</v>
      </c>
      <c r="I1160" s="359"/>
      <c r="J1160" s="359"/>
      <c r="K1160" s="360"/>
      <c r="L1160" s="364"/>
    </row>
    <row r="1161" ht="20.25" spans="2:12">
      <c r="B1161" s="419" t="s">
        <v>1145</v>
      </c>
      <c r="C1161" s="417"/>
      <c r="D1161" s="311">
        <v>11</v>
      </c>
      <c r="E1161" s="312">
        <v>1.2306</v>
      </c>
      <c r="F1161" s="311">
        <v>1</v>
      </c>
      <c r="G1161" s="313">
        <v>9.05</v>
      </c>
      <c r="H1161" s="306">
        <f t="shared" si="1350"/>
        <v>49.39</v>
      </c>
      <c r="I1161" s="354">
        <f t="shared" si="1375"/>
        <v>49.5</v>
      </c>
      <c r="J1161" s="354">
        <f t="shared" si="1376"/>
        <v>-0.505050505050505</v>
      </c>
      <c r="K1161" s="361" t="s">
        <v>150</v>
      </c>
      <c r="L1161" s="363">
        <f t="shared" si="1377"/>
        <v>0.25</v>
      </c>
    </row>
    <row r="1162" ht="20.25" spans="2:12">
      <c r="B1162" s="227"/>
      <c r="C1162" s="418"/>
      <c r="D1162" s="311">
        <v>11</v>
      </c>
      <c r="E1162" s="312">
        <v>1.1191</v>
      </c>
      <c r="F1162" s="311">
        <v>1</v>
      </c>
      <c r="G1162" s="313">
        <v>9.9</v>
      </c>
      <c r="H1162" s="306">
        <f t="shared" si="1350"/>
        <v>49.64</v>
      </c>
      <c r="I1162" s="359"/>
      <c r="J1162" s="359"/>
      <c r="K1162" s="360"/>
      <c r="L1162" s="364"/>
    </row>
    <row r="1163" ht="20.25" spans="1:12">
      <c r="A1163" s="314">
        <v>8.8</v>
      </c>
      <c r="B1163" s="419" t="s">
        <v>1146</v>
      </c>
      <c r="C1163" s="417"/>
      <c r="D1163" s="311">
        <v>11</v>
      </c>
      <c r="E1163" s="312">
        <v>2.7687</v>
      </c>
      <c r="F1163" s="311">
        <v>1</v>
      </c>
      <c r="G1163" s="313">
        <v>12.45</v>
      </c>
      <c r="H1163" s="306">
        <f t="shared" si="1350"/>
        <v>15.96</v>
      </c>
      <c r="I1163" s="354">
        <f t="shared" si="1375"/>
        <v>15.8</v>
      </c>
      <c r="J1163" s="354">
        <f t="shared" si="1376"/>
        <v>1.89873417721519</v>
      </c>
      <c r="K1163" s="361" t="s">
        <v>150</v>
      </c>
      <c r="L1163" s="363">
        <f t="shared" si="1377"/>
        <v>-0.300000000000001</v>
      </c>
    </row>
    <row r="1164" ht="20.25" spans="2:12">
      <c r="B1164" s="227"/>
      <c r="C1164" s="418"/>
      <c r="D1164" s="311">
        <v>11</v>
      </c>
      <c r="E1164" s="312">
        <v>3.0021</v>
      </c>
      <c r="F1164" s="311">
        <v>1</v>
      </c>
      <c r="G1164" s="313">
        <v>11.7</v>
      </c>
      <c r="H1164" s="306">
        <f t="shared" si="1350"/>
        <v>15.66</v>
      </c>
      <c r="I1164" s="359"/>
      <c r="J1164" s="359"/>
      <c r="K1164" s="360"/>
      <c r="L1164" s="364"/>
    </row>
    <row r="1165" ht="20.25" spans="1:12">
      <c r="A1165" s="314">
        <v>8.1</v>
      </c>
      <c r="B1165" s="419" t="s">
        <v>348</v>
      </c>
      <c r="C1165" s="417"/>
      <c r="D1165" s="311">
        <v>11</v>
      </c>
      <c r="E1165" s="312">
        <v>9.0727</v>
      </c>
      <c r="F1165" s="311">
        <v>5</v>
      </c>
      <c r="G1165" s="313">
        <v>9.55</v>
      </c>
      <c r="H1165" s="306">
        <f t="shared" si="1350"/>
        <v>31.74</v>
      </c>
      <c r="I1165" s="354">
        <f>ROUND((H1165+H1166)/2,1)</f>
        <v>31.9</v>
      </c>
      <c r="J1165" s="354">
        <f>(H1165-H1166)*100/I1165</f>
        <v>-1.0971786833856</v>
      </c>
      <c r="K1165" s="361" t="s">
        <v>150</v>
      </c>
      <c r="L1165" s="363">
        <f>H1166-H1165</f>
        <v>0.350000000000005</v>
      </c>
    </row>
    <row r="1166" ht="20.25" spans="2:12">
      <c r="B1166" s="227"/>
      <c r="C1166" s="418"/>
      <c r="D1166" s="311">
        <v>11</v>
      </c>
      <c r="E1166" s="312">
        <v>10.0224</v>
      </c>
      <c r="F1166" s="311">
        <v>5</v>
      </c>
      <c r="G1166" s="313">
        <v>8.55</v>
      </c>
      <c r="H1166" s="306">
        <f t="shared" si="1350"/>
        <v>32.09</v>
      </c>
      <c r="I1166" s="359"/>
      <c r="J1166" s="359"/>
      <c r="K1166" s="360"/>
      <c r="L1166" s="364"/>
    </row>
    <row r="1167" spans="1:14">
      <c r="A1167" s="314">
        <v>8.1</v>
      </c>
      <c r="B1167" s="440" t="s">
        <v>332</v>
      </c>
      <c r="D1167" s="311">
        <v>11</v>
      </c>
      <c r="E1167" s="312">
        <v>2.592</v>
      </c>
      <c r="F1167" s="323">
        <v>5</v>
      </c>
      <c r="G1167" s="324">
        <v>11.5</v>
      </c>
      <c r="H1167" s="306">
        <f t="shared" ref="H1167:H1230" si="1378">ROUND(D1167*100*F1167*250*100/50/E1167/G1167/1000,2)</f>
        <v>92.26</v>
      </c>
      <c r="I1167" s="354">
        <f>ROUND((H1167+H1168)/2,1)</f>
        <v>92.3</v>
      </c>
      <c r="J1167" s="354">
        <f>(H1167-H1168)*100/I1167</f>
        <v>0</v>
      </c>
      <c r="K1167" s="361" t="s">
        <v>150</v>
      </c>
      <c r="L1167" s="363">
        <f>H1168-H1167</f>
        <v>0</v>
      </c>
      <c r="M1167" s="442">
        <v>13.78</v>
      </c>
      <c r="N1167" s="443">
        <f>I1167-M1167</f>
        <v>78.52</v>
      </c>
    </row>
    <row r="1168" spans="2:14">
      <c r="B1168" s="441"/>
      <c r="D1168" s="311">
        <v>11</v>
      </c>
      <c r="E1168" s="312">
        <v>2.592</v>
      </c>
      <c r="F1168" s="323">
        <v>5</v>
      </c>
      <c r="G1168" s="324">
        <v>11.5</v>
      </c>
      <c r="H1168" s="306">
        <f t="shared" si="1378"/>
        <v>92.26</v>
      </c>
      <c r="I1168" s="359"/>
      <c r="J1168" s="359"/>
      <c r="K1168" s="360"/>
      <c r="L1168" s="364"/>
      <c r="M1168" s="444"/>
      <c r="N1168" s="445"/>
    </row>
    <row r="1169" spans="2:14">
      <c r="B1169" s="440" t="s">
        <v>333</v>
      </c>
      <c r="D1169" s="311">
        <v>11</v>
      </c>
      <c r="E1169" s="312">
        <v>2.262</v>
      </c>
      <c r="F1169" s="323">
        <v>5</v>
      </c>
      <c r="G1169" s="324">
        <v>12.95</v>
      </c>
      <c r="H1169" s="306">
        <f t="shared" si="1378"/>
        <v>93.88</v>
      </c>
      <c r="I1169" s="354">
        <f>ROUND((H1169+H1170)/2,1)</f>
        <v>93.9</v>
      </c>
      <c r="J1169" s="354">
        <f>(H1169-H1170)*100/I1169</f>
        <v>0</v>
      </c>
      <c r="K1169" s="361" t="s">
        <v>150</v>
      </c>
      <c r="L1169" s="363">
        <f>H1170-H1169</f>
        <v>0</v>
      </c>
      <c r="M1169" s="442">
        <v>16</v>
      </c>
      <c r="N1169" s="443">
        <f>I1169-M1169</f>
        <v>77.9</v>
      </c>
    </row>
    <row r="1170" spans="2:14">
      <c r="B1170" s="441"/>
      <c r="D1170" s="311">
        <v>11</v>
      </c>
      <c r="E1170" s="312">
        <v>2.262</v>
      </c>
      <c r="F1170" s="323">
        <v>5</v>
      </c>
      <c r="G1170" s="324">
        <v>12.95</v>
      </c>
      <c r="H1170" s="306">
        <f t="shared" si="1378"/>
        <v>93.88</v>
      </c>
      <c r="I1170" s="359"/>
      <c r="J1170" s="359"/>
      <c r="K1170" s="360"/>
      <c r="L1170" s="364"/>
      <c r="M1170" s="444"/>
      <c r="N1170" s="445"/>
    </row>
    <row r="1171" spans="2:14">
      <c r="B1171" s="440" t="s">
        <v>334</v>
      </c>
      <c r="D1171" s="311">
        <v>11</v>
      </c>
      <c r="E1171" s="312">
        <v>2.4871</v>
      </c>
      <c r="F1171" s="323">
        <v>5</v>
      </c>
      <c r="G1171" s="324">
        <v>12.45</v>
      </c>
      <c r="H1171" s="306">
        <f t="shared" si="1378"/>
        <v>88.81</v>
      </c>
      <c r="I1171" s="354">
        <f>ROUND((H1171+H1172)/2,1)</f>
        <v>88.8</v>
      </c>
      <c r="J1171" s="354">
        <f>(H1171-H1172)*100/I1171</f>
        <v>0.011261261261267</v>
      </c>
      <c r="K1171" s="361" t="s">
        <v>150</v>
      </c>
      <c r="L1171" s="363">
        <f>H1172-H1171</f>
        <v>-0.0100000000000051</v>
      </c>
      <c r="M1171" s="442">
        <v>15.25</v>
      </c>
      <c r="N1171" s="443">
        <f>I1171-M1171</f>
        <v>73.55</v>
      </c>
    </row>
    <row r="1172" spans="2:14">
      <c r="B1172" s="441"/>
      <c r="D1172" s="311">
        <v>11</v>
      </c>
      <c r="E1172" s="312">
        <v>2.4874</v>
      </c>
      <c r="F1172" s="323">
        <v>5</v>
      </c>
      <c r="G1172" s="324">
        <v>12.45</v>
      </c>
      <c r="H1172" s="306">
        <f t="shared" si="1378"/>
        <v>88.8</v>
      </c>
      <c r="I1172" s="359"/>
      <c r="J1172" s="359"/>
      <c r="K1172" s="360"/>
      <c r="L1172" s="364"/>
      <c r="M1172" s="444"/>
      <c r="N1172" s="445"/>
    </row>
    <row r="1173" spans="2:14">
      <c r="B1173" s="440" t="s">
        <v>335</v>
      </c>
      <c r="D1173" s="311">
        <v>11</v>
      </c>
      <c r="E1173" s="312">
        <v>2.573</v>
      </c>
      <c r="F1173" s="323">
        <v>5</v>
      </c>
      <c r="G1173" s="324">
        <v>12.05</v>
      </c>
      <c r="H1173" s="306">
        <f t="shared" si="1378"/>
        <v>88.7</v>
      </c>
      <c r="I1173" s="354">
        <f>ROUND((H1173+H1174)/2,1)</f>
        <v>88.7</v>
      </c>
      <c r="J1173" s="354">
        <f>(H1173-H1174)*100/I1173</f>
        <v>0</v>
      </c>
      <c r="K1173" s="361" t="s">
        <v>150</v>
      </c>
      <c r="L1173" s="363">
        <f>H1174-H1173</f>
        <v>0</v>
      </c>
      <c r="M1173" s="442">
        <v>10.08</v>
      </c>
      <c r="N1173" s="443">
        <f>I1173-M1173</f>
        <v>78.62</v>
      </c>
    </row>
    <row r="1174" spans="2:14">
      <c r="B1174" s="441"/>
      <c r="D1174" s="311">
        <v>11</v>
      </c>
      <c r="E1174" s="312">
        <v>2.573</v>
      </c>
      <c r="F1174" s="323">
        <v>5</v>
      </c>
      <c r="G1174" s="324">
        <v>12.05</v>
      </c>
      <c r="H1174" s="306">
        <f t="shared" si="1378"/>
        <v>88.7</v>
      </c>
      <c r="I1174" s="359"/>
      <c r="J1174" s="359"/>
      <c r="K1174" s="360"/>
      <c r="L1174" s="364"/>
      <c r="M1174" s="444"/>
      <c r="N1174" s="445"/>
    </row>
    <row r="1175" spans="2:14">
      <c r="B1175" s="440" t="s">
        <v>336</v>
      </c>
      <c r="D1175" s="311">
        <v>11</v>
      </c>
      <c r="E1175" s="312">
        <v>2.715</v>
      </c>
      <c r="F1175" s="323">
        <v>5</v>
      </c>
      <c r="G1175" s="324">
        <v>10.8</v>
      </c>
      <c r="H1175" s="306">
        <f t="shared" si="1378"/>
        <v>93.79</v>
      </c>
      <c r="I1175" s="354">
        <f>ROUND((H1175+H1176)/2,1)</f>
        <v>93.8</v>
      </c>
      <c r="J1175" s="354">
        <f>(H1175-H1176)*100/I1175</f>
        <v>0</v>
      </c>
      <c r="K1175" s="361" t="s">
        <v>150</v>
      </c>
      <c r="L1175" s="363">
        <f>H1176-H1175</f>
        <v>0</v>
      </c>
      <c r="M1175" s="442">
        <v>12.58</v>
      </c>
      <c r="N1175" s="443">
        <f>I1175-M1175</f>
        <v>81.22</v>
      </c>
    </row>
    <row r="1176" spans="2:14">
      <c r="B1176" s="441"/>
      <c r="D1176" s="311">
        <v>11</v>
      </c>
      <c r="E1176" s="312">
        <v>2.715</v>
      </c>
      <c r="F1176" s="323">
        <v>5</v>
      </c>
      <c r="G1176" s="324">
        <v>10.8</v>
      </c>
      <c r="H1176" s="306">
        <f t="shared" si="1378"/>
        <v>93.79</v>
      </c>
      <c r="I1176" s="359"/>
      <c r="J1176" s="359"/>
      <c r="K1176" s="360"/>
      <c r="L1176" s="364"/>
      <c r="M1176" s="444"/>
      <c r="N1176" s="445"/>
    </row>
    <row r="1177" spans="2:14">
      <c r="B1177" s="440" t="s">
        <v>337</v>
      </c>
      <c r="D1177" s="311">
        <v>11</v>
      </c>
      <c r="E1177" s="312">
        <v>2.53</v>
      </c>
      <c r="F1177" s="323">
        <v>5</v>
      </c>
      <c r="G1177" s="324">
        <v>11.8</v>
      </c>
      <c r="H1177" s="306">
        <f t="shared" si="1378"/>
        <v>92.11</v>
      </c>
      <c r="I1177" s="354">
        <f>ROUND((H1177+H1178)/2,1)</f>
        <v>92.1</v>
      </c>
      <c r="J1177" s="354">
        <f>(H1177-H1178)*100/I1177</f>
        <v>0</v>
      </c>
      <c r="K1177" s="361" t="s">
        <v>150</v>
      </c>
      <c r="L1177" s="363">
        <f>H1178-H1177</f>
        <v>0</v>
      </c>
      <c r="M1177" s="442">
        <v>10.35</v>
      </c>
      <c r="N1177" s="443">
        <f>I1177-M1177</f>
        <v>81.75</v>
      </c>
    </row>
    <row r="1178" spans="2:14">
      <c r="B1178" s="441"/>
      <c r="D1178" s="311">
        <v>11</v>
      </c>
      <c r="E1178" s="312">
        <v>2.53</v>
      </c>
      <c r="F1178" s="323">
        <v>5</v>
      </c>
      <c r="G1178" s="324">
        <v>11.8</v>
      </c>
      <c r="H1178" s="306">
        <f t="shared" si="1378"/>
        <v>92.11</v>
      </c>
      <c r="I1178" s="359"/>
      <c r="J1178" s="359"/>
      <c r="K1178" s="360"/>
      <c r="L1178" s="364"/>
      <c r="M1178" s="444"/>
      <c r="N1178" s="445"/>
    </row>
    <row r="1179" spans="2:14">
      <c r="B1179" s="440" t="s">
        <v>338</v>
      </c>
      <c r="D1179" s="311">
        <v>11</v>
      </c>
      <c r="E1179" s="312">
        <v>2.3329</v>
      </c>
      <c r="F1179" s="323">
        <v>5</v>
      </c>
      <c r="G1179" s="324">
        <v>12.9</v>
      </c>
      <c r="H1179" s="306">
        <f t="shared" si="1378"/>
        <v>91.38</v>
      </c>
      <c r="I1179" s="354">
        <f>ROUND((H1179+H1180)/2,1)</f>
        <v>91.4</v>
      </c>
      <c r="J1179" s="354">
        <f>(H1179-H1180)*100/I1179</f>
        <v>0</v>
      </c>
      <c r="K1179" s="361" t="s">
        <v>150</v>
      </c>
      <c r="L1179" s="363">
        <f>H1180-H1179</f>
        <v>0</v>
      </c>
      <c r="M1179" s="442">
        <v>10.72</v>
      </c>
      <c r="N1179" s="443">
        <f>I1179-M1179</f>
        <v>80.68</v>
      </c>
    </row>
    <row r="1180" spans="2:14">
      <c r="B1180" s="441"/>
      <c r="D1180" s="311">
        <v>11</v>
      </c>
      <c r="E1180" s="312">
        <v>2.3329</v>
      </c>
      <c r="F1180" s="323">
        <v>5</v>
      </c>
      <c r="G1180" s="324">
        <v>12.9</v>
      </c>
      <c r="H1180" s="306">
        <f t="shared" si="1378"/>
        <v>91.38</v>
      </c>
      <c r="I1180" s="359"/>
      <c r="J1180" s="359"/>
      <c r="K1180" s="360"/>
      <c r="L1180" s="364"/>
      <c r="M1180" s="444"/>
      <c r="N1180" s="445"/>
    </row>
    <row r="1181" spans="2:14">
      <c r="B1181" s="440" t="s">
        <v>339</v>
      </c>
      <c r="D1181" s="311">
        <v>11</v>
      </c>
      <c r="E1181" s="312">
        <v>2.4092</v>
      </c>
      <c r="F1181" s="323">
        <v>5</v>
      </c>
      <c r="G1181" s="324">
        <v>12.4</v>
      </c>
      <c r="H1181" s="306">
        <f t="shared" si="1378"/>
        <v>92.05</v>
      </c>
      <c r="I1181" s="354">
        <f>ROUND((H1181+H1182)/2,1)</f>
        <v>92.1</v>
      </c>
      <c r="J1181" s="354">
        <f>(H1181-H1182)*100/I1181</f>
        <v>0</v>
      </c>
      <c r="K1181" s="361" t="s">
        <v>150</v>
      </c>
      <c r="L1181" s="363">
        <f>H1182-H1181</f>
        <v>0</v>
      </c>
      <c r="M1181" s="442">
        <v>9.06</v>
      </c>
      <c r="N1181" s="443">
        <f>I1181-M1181</f>
        <v>83.04</v>
      </c>
    </row>
    <row r="1182" spans="2:14">
      <c r="B1182" s="441"/>
      <c r="D1182" s="311">
        <v>11</v>
      </c>
      <c r="E1182" s="312">
        <v>2.4092</v>
      </c>
      <c r="F1182" s="323">
        <v>5</v>
      </c>
      <c r="G1182" s="324">
        <v>12.4</v>
      </c>
      <c r="H1182" s="306">
        <f t="shared" si="1378"/>
        <v>92.05</v>
      </c>
      <c r="I1182" s="359"/>
      <c r="J1182" s="359"/>
      <c r="K1182" s="360"/>
      <c r="L1182" s="364"/>
      <c r="M1182" s="444"/>
      <c r="N1182" s="445"/>
    </row>
    <row r="1183" spans="2:14">
      <c r="B1183" s="440" t="s">
        <v>340</v>
      </c>
      <c r="D1183" s="311">
        <v>11</v>
      </c>
      <c r="E1183" s="312">
        <v>2.5204</v>
      </c>
      <c r="F1183" s="323">
        <v>5</v>
      </c>
      <c r="G1183" s="324">
        <v>11.6</v>
      </c>
      <c r="H1183" s="306">
        <f t="shared" si="1378"/>
        <v>94.06</v>
      </c>
      <c r="I1183" s="354">
        <f>ROUND((H1183+H1184)/2,1)</f>
        <v>94.1</v>
      </c>
      <c r="J1183" s="354">
        <f>(H1183-H1184)*100/I1183</f>
        <v>0</v>
      </c>
      <c r="K1183" s="361" t="s">
        <v>150</v>
      </c>
      <c r="L1183" s="363">
        <f>H1184-H1183</f>
        <v>0</v>
      </c>
      <c r="M1183" s="442">
        <v>15.37</v>
      </c>
      <c r="N1183" s="443">
        <f>I1183-M1183</f>
        <v>78.73</v>
      </c>
    </row>
    <row r="1184" spans="2:14">
      <c r="B1184" s="441"/>
      <c r="D1184" s="311">
        <v>11</v>
      </c>
      <c r="E1184" s="312">
        <v>2.5204</v>
      </c>
      <c r="F1184" s="323">
        <v>5</v>
      </c>
      <c r="G1184" s="324">
        <v>11.6</v>
      </c>
      <c r="H1184" s="306">
        <f t="shared" si="1378"/>
        <v>94.06</v>
      </c>
      <c r="I1184" s="359"/>
      <c r="J1184" s="359"/>
      <c r="K1184" s="360"/>
      <c r="L1184" s="364"/>
      <c r="M1184" s="444"/>
      <c r="N1184" s="445"/>
    </row>
    <row r="1185" spans="2:14">
      <c r="B1185" s="440" t="s">
        <v>341</v>
      </c>
      <c r="D1185" s="311">
        <v>11</v>
      </c>
      <c r="E1185" s="312">
        <v>2.6118</v>
      </c>
      <c r="F1185" s="323">
        <v>5</v>
      </c>
      <c r="G1185" s="324">
        <v>11.5</v>
      </c>
      <c r="H1185" s="306">
        <f t="shared" si="1378"/>
        <v>91.56</v>
      </c>
      <c r="I1185" s="354">
        <f>ROUND((H1185+H1186)/2,1)</f>
        <v>91.6</v>
      </c>
      <c r="J1185" s="354">
        <f>(H1185-H1186)*100/I1185</f>
        <v>0</v>
      </c>
      <c r="K1185" s="361" t="s">
        <v>150</v>
      </c>
      <c r="L1185" s="363">
        <f>H1186-H1185</f>
        <v>0</v>
      </c>
      <c r="M1185" s="442">
        <v>8.36</v>
      </c>
      <c r="N1185" s="443">
        <f>I1185-M1185</f>
        <v>83.24</v>
      </c>
    </row>
    <row r="1186" spans="2:14">
      <c r="B1186" s="441"/>
      <c r="D1186" s="311">
        <v>11</v>
      </c>
      <c r="E1186" s="312">
        <v>2.6118</v>
      </c>
      <c r="F1186" s="323">
        <v>5</v>
      </c>
      <c r="G1186" s="324">
        <v>11.5</v>
      </c>
      <c r="H1186" s="306">
        <f t="shared" si="1378"/>
        <v>91.56</v>
      </c>
      <c r="I1186" s="359"/>
      <c r="J1186" s="359"/>
      <c r="K1186" s="360"/>
      <c r="L1186" s="364"/>
      <c r="M1186" s="444"/>
      <c r="N1186" s="445"/>
    </row>
    <row r="1187" spans="2:14">
      <c r="B1187" s="440" t="s">
        <v>342</v>
      </c>
      <c r="D1187" s="311">
        <v>11</v>
      </c>
      <c r="E1187" s="312">
        <v>2.4947</v>
      </c>
      <c r="F1187" s="323">
        <v>5</v>
      </c>
      <c r="G1187" s="324">
        <v>12.2</v>
      </c>
      <c r="H1187" s="306">
        <f t="shared" si="1378"/>
        <v>90.36</v>
      </c>
      <c r="I1187" s="354">
        <f>ROUND((H1187+H1188)/2,1)</f>
        <v>90.4</v>
      </c>
      <c r="J1187" s="354">
        <f>(H1187-H1188)*100/I1187</f>
        <v>0</v>
      </c>
      <c r="K1187" s="361" t="s">
        <v>150</v>
      </c>
      <c r="L1187" s="363">
        <f>H1188-H1187</f>
        <v>0</v>
      </c>
      <c r="M1187" s="442">
        <v>12.97</v>
      </c>
      <c r="N1187" s="443">
        <f>I1187-M1187</f>
        <v>77.43</v>
      </c>
    </row>
    <row r="1188" spans="2:14">
      <c r="B1188" s="441"/>
      <c r="D1188" s="311">
        <v>11</v>
      </c>
      <c r="E1188" s="312">
        <v>2.4947</v>
      </c>
      <c r="F1188" s="323">
        <v>5</v>
      </c>
      <c r="G1188" s="324">
        <v>12.2</v>
      </c>
      <c r="H1188" s="306">
        <f t="shared" si="1378"/>
        <v>90.36</v>
      </c>
      <c r="I1188" s="359"/>
      <c r="J1188" s="359"/>
      <c r="K1188" s="360"/>
      <c r="L1188" s="364"/>
      <c r="M1188" s="444"/>
      <c r="N1188" s="445"/>
    </row>
    <row r="1189" spans="2:14">
      <c r="B1189" s="440" t="s">
        <v>343</v>
      </c>
      <c r="D1189" s="311">
        <v>11</v>
      </c>
      <c r="E1189" s="312">
        <v>2.293</v>
      </c>
      <c r="F1189" s="323">
        <v>5</v>
      </c>
      <c r="G1189" s="324">
        <v>13.1</v>
      </c>
      <c r="H1189" s="306">
        <f t="shared" si="1378"/>
        <v>91.55</v>
      </c>
      <c r="I1189" s="354">
        <f>ROUND((H1189+H1190)/2,1)</f>
        <v>91.6</v>
      </c>
      <c r="J1189" s="354">
        <f>(H1189-H1190)*100/I1189</f>
        <v>0</v>
      </c>
      <c r="K1189" s="361" t="s">
        <v>150</v>
      </c>
      <c r="L1189" s="363">
        <f>H1190-H1189</f>
        <v>0</v>
      </c>
      <c r="M1189" s="442">
        <v>19.19</v>
      </c>
      <c r="N1189" s="443">
        <f>I1189-M1189</f>
        <v>72.41</v>
      </c>
    </row>
    <row r="1190" spans="2:14">
      <c r="B1190" s="441"/>
      <c r="D1190" s="311">
        <v>11</v>
      </c>
      <c r="E1190" s="312">
        <v>2.293</v>
      </c>
      <c r="F1190" s="323">
        <v>5</v>
      </c>
      <c r="G1190" s="324">
        <v>13.1</v>
      </c>
      <c r="H1190" s="306">
        <f t="shared" si="1378"/>
        <v>91.55</v>
      </c>
      <c r="I1190" s="359"/>
      <c r="J1190" s="359"/>
      <c r="K1190" s="360"/>
      <c r="L1190" s="364"/>
      <c r="M1190" s="444"/>
      <c r="N1190" s="445"/>
    </row>
    <row r="1191" spans="2:14">
      <c r="B1191" s="440" t="s">
        <v>344</v>
      </c>
      <c r="D1191" s="311">
        <v>11</v>
      </c>
      <c r="E1191" s="312">
        <v>2.5059</v>
      </c>
      <c r="F1191" s="323">
        <v>5</v>
      </c>
      <c r="G1191" s="324">
        <v>11.7</v>
      </c>
      <c r="H1191" s="306">
        <f t="shared" si="1378"/>
        <v>93.8</v>
      </c>
      <c r="I1191" s="354">
        <f>ROUND((H1191+H1192)/2,1)</f>
        <v>93.8</v>
      </c>
      <c r="J1191" s="354">
        <f>(H1191-H1192)*100/I1191</f>
        <v>0</v>
      </c>
      <c r="K1191" s="361" t="s">
        <v>150</v>
      </c>
      <c r="L1191" s="363">
        <f>H1192-H1191</f>
        <v>0</v>
      </c>
      <c r="M1191" s="442">
        <v>16.5</v>
      </c>
      <c r="N1191" s="443">
        <f>I1191-M1191</f>
        <v>77.3</v>
      </c>
    </row>
    <row r="1192" spans="2:14">
      <c r="B1192" s="441"/>
      <c r="D1192" s="311">
        <v>11</v>
      </c>
      <c r="E1192" s="312">
        <v>2.5059</v>
      </c>
      <c r="F1192" s="323">
        <v>5</v>
      </c>
      <c r="G1192" s="324">
        <v>11.7</v>
      </c>
      <c r="H1192" s="306">
        <f t="shared" si="1378"/>
        <v>93.8</v>
      </c>
      <c r="I1192" s="359"/>
      <c r="J1192" s="359"/>
      <c r="K1192" s="360"/>
      <c r="L1192" s="364"/>
      <c r="M1192" s="444"/>
      <c r="N1192" s="445"/>
    </row>
    <row r="1193" spans="2:14">
      <c r="B1193" s="440" t="s">
        <v>345</v>
      </c>
      <c r="D1193" s="311">
        <v>11</v>
      </c>
      <c r="E1193" s="312">
        <v>2.5751</v>
      </c>
      <c r="F1193" s="323">
        <v>5</v>
      </c>
      <c r="G1193" s="324">
        <v>11.65</v>
      </c>
      <c r="H1193" s="306">
        <f t="shared" si="1378"/>
        <v>91.67</v>
      </c>
      <c r="I1193" s="354">
        <f>ROUND((H1193+H1194)/2,1)</f>
        <v>91.7</v>
      </c>
      <c r="J1193" s="354">
        <f>(H1193-H1194)*100/I1193</f>
        <v>0</v>
      </c>
      <c r="K1193" s="361" t="s">
        <v>150</v>
      </c>
      <c r="L1193" s="363">
        <f>H1194-H1193</f>
        <v>0</v>
      </c>
      <c r="M1193" s="442">
        <v>9.29</v>
      </c>
      <c r="N1193" s="443">
        <f>I1193-M1193</f>
        <v>82.41</v>
      </c>
    </row>
    <row r="1194" spans="2:14">
      <c r="B1194" s="441"/>
      <c r="D1194" s="311">
        <v>11</v>
      </c>
      <c r="E1194" s="312">
        <v>2.5751</v>
      </c>
      <c r="F1194" s="323">
        <v>5</v>
      </c>
      <c r="G1194" s="324">
        <v>11.65</v>
      </c>
      <c r="H1194" s="306">
        <f t="shared" si="1378"/>
        <v>91.67</v>
      </c>
      <c r="I1194" s="359"/>
      <c r="J1194" s="359"/>
      <c r="K1194" s="360"/>
      <c r="L1194" s="364"/>
      <c r="M1194" s="444"/>
      <c r="N1194" s="445"/>
    </row>
    <row r="1195" spans="2:14">
      <c r="B1195" s="440" t="s">
        <v>346</v>
      </c>
      <c r="D1195" s="311">
        <v>11</v>
      </c>
      <c r="E1195" s="312">
        <v>2.4515</v>
      </c>
      <c r="F1195" s="323">
        <v>5</v>
      </c>
      <c r="G1195" s="324">
        <v>12.45</v>
      </c>
      <c r="H1195" s="306">
        <f t="shared" si="1378"/>
        <v>90.1</v>
      </c>
      <c r="I1195" s="354">
        <f t="shared" ref="I1195:I1199" si="1379">ROUND((H1195+H1196)/2,1)</f>
        <v>90.1</v>
      </c>
      <c r="J1195" s="354">
        <f t="shared" ref="J1195:J1199" si="1380">(H1195-H1196)*100/I1195</f>
        <v>0</v>
      </c>
      <c r="K1195" s="361" t="s">
        <v>150</v>
      </c>
      <c r="L1195" s="363">
        <f t="shared" ref="L1195:L1199" si="1381">H1196-H1195</f>
        <v>0</v>
      </c>
      <c r="M1195" s="442">
        <v>9.01</v>
      </c>
      <c r="N1195" s="443">
        <f>I1195-M1195</f>
        <v>81.09</v>
      </c>
    </row>
    <row r="1196" spans="2:14">
      <c r="B1196" s="441"/>
      <c r="D1196" s="311">
        <v>11</v>
      </c>
      <c r="E1196" s="312">
        <v>2.4515</v>
      </c>
      <c r="F1196" s="323">
        <v>5</v>
      </c>
      <c r="G1196" s="324">
        <v>12.45</v>
      </c>
      <c r="H1196" s="306">
        <f t="shared" si="1378"/>
        <v>90.1</v>
      </c>
      <c r="I1196" s="359"/>
      <c r="J1196" s="359"/>
      <c r="K1196" s="360"/>
      <c r="L1196" s="364"/>
      <c r="M1196" s="444"/>
      <c r="N1196" s="445"/>
    </row>
    <row r="1197" spans="2:14">
      <c r="B1197" s="440" t="s">
        <v>347</v>
      </c>
      <c r="D1197" s="311">
        <v>11</v>
      </c>
      <c r="E1197" s="312">
        <v>3.0095</v>
      </c>
      <c r="F1197" s="323">
        <v>5</v>
      </c>
      <c r="G1197" s="324">
        <v>10.25</v>
      </c>
      <c r="H1197" s="306">
        <f t="shared" si="1378"/>
        <v>89.15</v>
      </c>
      <c r="I1197" s="354">
        <f t="shared" si="1379"/>
        <v>89.2</v>
      </c>
      <c r="J1197" s="354">
        <f t="shared" si="1380"/>
        <v>0</v>
      </c>
      <c r="K1197" s="361" t="s">
        <v>150</v>
      </c>
      <c r="L1197" s="363">
        <f t="shared" si="1381"/>
        <v>0</v>
      </c>
      <c r="M1197" s="442">
        <v>8.91</v>
      </c>
      <c r="N1197" s="443">
        <f>I1197-M1197</f>
        <v>80.29</v>
      </c>
    </row>
    <row r="1198" spans="2:14">
      <c r="B1198" s="441"/>
      <c r="D1198" s="311">
        <v>11</v>
      </c>
      <c r="E1198" s="312">
        <v>3.0095</v>
      </c>
      <c r="F1198" s="323">
        <v>5</v>
      </c>
      <c r="G1198" s="324">
        <v>10.25</v>
      </c>
      <c r="H1198" s="306">
        <f t="shared" si="1378"/>
        <v>89.15</v>
      </c>
      <c r="I1198" s="359"/>
      <c r="J1198" s="359"/>
      <c r="K1198" s="360"/>
      <c r="L1198" s="364"/>
      <c r="M1198" s="444"/>
      <c r="N1198" s="445"/>
    </row>
    <row r="1199" spans="1:12">
      <c r="A1199" s="314">
        <v>8.11</v>
      </c>
      <c r="B1199" s="440" t="s">
        <v>1147</v>
      </c>
      <c r="D1199" s="311">
        <v>11</v>
      </c>
      <c r="E1199" s="312">
        <v>0.7127</v>
      </c>
      <c r="F1199" s="323">
        <v>1</v>
      </c>
      <c r="G1199" s="324">
        <v>9.9</v>
      </c>
      <c r="H1199" s="306">
        <f t="shared" si="1378"/>
        <v>77.95</v>
      </c>
      <c r="I1199" s="354">
        <f t="shared" si="1379"/>
        <v>77.1</v>
      </c>
      <c r="J1199" s="354">
        <f t="shared" si="1380"/>
        <v>2.1141374837873</v>
      </c>
      <c r="K1199" s="361" t="s">
        <v>150</v>
      </c>
      <c r="L1199" s="363">
        <f t="shared" si="1381"/>
        <v>-1.63000000000001</v>
      </c>
    </row>
    <row r="1200" spans="2:12">
      <c r="B1200" s="441"/>
      <c r="D1200" s="311">
        <v>11</v>
      </c>
      <c r="E1200" s="312">
        <v>0.8007</v>
      </c>
      <c r="F1200" s="323">
        <v>1</v>
      </c>
      <c r="G1200" s="324">
        <v>9</v>
      </c>
      <c r="H1200" s="306">
        <f t="shared" si="1378"/>
        <v>76.32</v>
      </c>
      <c r="I1200" s="359"/>
      <c r="J1200" s="359"/>
      <c r="K1200" s="360"/>
      <c r="L1200" s="364"/>
    </row>
    <row r="1201" spans="2:14">
      <c r="B1201" s="440" t="s">
        <v>353</v>
      </c>
      <c r="D1201" s="311">
        <v>11</v>
      </c>
      <c r="E1201" s="312">
        <v>2.498</v>
      </c>
      <c r="F1201" s="323">
        <v>5</v>
      </c>
      <c r="G1201" s="324">
        <v>12.2</v>
      </c>
      <c r="H1201" s="306">
        <f t="shared" si="1378"/>
        <v>90.24</v>
      </c>
      <c r="I1201" s="354">
        <f t="shared" ref="I1201:I1205" si="1382">ROUND((H1201+H1202)/2,1)</f>
        <v>90.2</v>
      </c>
      <c r="J1201" s="354">
        <f t="shared" ref="J1201:J1205" si="1383">(H1201-H1202)*100/I1201</f>
        <v>0</v>
      </c>
      <c r="K1201" s="361" t="s">
        <v>150</v>
      </c>
      <c r="L1201" s="363">
        <f>H1202-H1201</f>
        <v>0</v>
      </c>
      <c r="M1201" s="329">
        <v>9.02</v>
      </c>
      <c r="N1201" s="443">
        <f>I1201-M1201</f>
        <v>81.18</v>
      </c>
    </row>
    <row r="1202" spans="2:14">
      <c r="B1202" s="441"/>
      <c r="D1202" s="311">
        <v>11</v>
      </c>
      <c r="E1202" s="312">
        <v>2.498</v>
      </c>
      <c r="F1202" s="323">
        <v>5</v>
      </c>
      <c r="G1202" s="324">
        <v>12.2</v>
      </c>
      <c r="H1202" s="306">
        <f t="shared" si="1378"/>
        <v>90.24</v>
      </c>
      <c r="I1202" s="359"/>
      <c r="J1202" s="359"/>
      <c r="K1202" s="360"/>
      <c r="L1202" s="364"/>
      <c r="M1202" s="329"/>
      <c r="N1202" s="445"/>
    </row>
    <row r="1203" spans="2:14">
      <c r="B1203" s="440" t="s">
        <v>354</v>
      </c>
      <c r="D1203" s="311">
        <v>11</v>
      </c>
      <c r="E1203" s="312">
        <v>2.432</v>
      </c>
      <c r="F1203" s="323">
        <v>5</v>
      </c>
      <c r="G1203" s="324">
        <v>12.45</v>
      </c>
      <c r="H1203" s="306">
        <f t="shared" si="1378"/>
        <v>90.82</v>
      </c>
      <c r="I1203" s="354">
        <f t="shared" si="1382"/>
        <v>90.8</v>
      </c>
      <c r="J1203" s="354">
        <f t="shared" si="1383"/>
        <v>0</v>
      </c>
      <c r="K1203" s="361" t="s">
        <v>150</v>
      </c>
      <c r="L1203" s="363">
        <f>H1204-H1203</f>
        <v>0</v>
      </c>
      <c r="M1203" s="329">
        <v>9.08</v>
      </c>
      <c r="N1203" s="443">
        <f>I1203-M1203</f>
        <v>81.72</v>
      </c>
    </row>
    <row r="1204" spans="2:14">
      <c r="B1204" s="441"/>
      <c r="D1204" s="311">
        <v>11</v>
      </c>
      <c r="E1204" s="312">
        <v>2.432</v>
      </c>
      <c r="F1204" s="323">
        <v>5</v>
      </c>
      <c r="G1204" s="324">
        <v>12.45</v>
      </c>
      <c r="H1204" s="306">
        <f t="shared" si="1378"/>
        <v>90.82</v>
      </c>
      <c r="I1204" s="359"/>
      <c r="J1204" s="359"/>
      <c r="K1204" s="360"/>
      <c r="L1204" s="364"/>
      <c r="M1204" s="329"/>
      <c r="N1204" s="445"/>
    </row>
    <row r="1205" spans="2:14">
      <c r="B1205" s="440" t="s">
        <v>355</v>
      </c>
      <c r="D1205" s="311">
        <v>11</v>
      </c>
      <c r="E1205" s="312">
        <v>2.9424</v>
      </c>
      <c r="F1205" s="323">
        <v>5</v>
      </c>
      <c r="G1205" s="324">
        <v>10.65</v>
      </c>
      <c r="H1205" s="306">
        <f t="shared" si="1378"/>
        <v>87.76</v>
      </c>
      <c r="I1205" s="354">
        <f t="shared" si="1382"/>
        <v>87.8</v>
      </c>
      <c r="J1205" s="354">
        <f t="shared" si="1383"/>
        <v>0</v>
      </c>
      <c r="K1205" s="361" t="s">
        <v>150</v>
      </c>
      <c r="L1205" s="363">
        <f t="shared" ref="L1205:L1209" si="1384">H1206-H1205</f>
        <v>0</v>
      </c>
      <c r="M1205" s="329">
        <v>8.78</v>
      </c>
      <c r="N1205" s="443">
        <f>I1205-M1205</f>
        <v>79.02</v>
      </c>
    </row>
    <row r="1206" spans="2:14">
      <c r="B1206" s="441"/>
      <c r="D1206" s="311">
        <v>11</v>
      </c>
      <c r="E1206" s="312">
        <v>2.9424</v>
      </c>
      <c r="F1206" s="323">
        <v>5</v>
      </c>
      <c r="G1206" s="324">
        <v>10.65</v>
      </c>
      <c r="H1206" s="306">
        <f t="shared" si="1378"/>
        <v>87.76</v>
      </c>
      <c r="I1206" s="359"/>
      <c r="J1206" s="359"/>
      <c r="K1206" s="360"/>
      <c r="L1206" s="364"/>
      <c r="M1206" s="329"/>
      <c r="N1206" s="445"/>
    </row>
    <row r="1207" spans="2:14">
      <c r="B1207" s="440" t="s">
        <v>356</v>
      </c>
      <c r="D1207" s="311">
        <v>11</v>
      </c>
      <c r="E1207" s="312">
        <v>2.5509</v>
      </c>
      <c r="F1207" s="323">
        <v>5</v>
      </c>
      <c r="G1207" s="324">
        <v>11.95</v>
      </c>
      <c r="H1207" s="306">
        <f t="shared" si="1378"/>
        <v>90.21</v>
      </c>
      <c r="I1207" s="354">
        <f t="shared" ref="I1207:I1211" si="1385">ROUND((H1207+H1208)/2,1)</f>
        <v>90.2</v>
      </c>
      <c r="J1207" s="354">
        <f t="shared" ref="J1207:J1211" si="1386">(H1207-H1208)*100/I1207</f>
        <v>0</v>
      </c>
      <c r="K1207" s="361" t="s">
        <v>150</v>
      </c>
      <c r="L1207" s="363">
        <f t="shared" si="1384"/>
        <v>0</v>
      </c>
      <c r="M1207" s="329">
        <v>9.02</v>
      </c>
      <c r="N1207" s="443">
        <f>I1207-M1207</f>
        <v>81.18</v>
      </c>
    </row>
    <row r="1208" spans="2:14">
      <c r="B1208" s="441"/>
      <c r="D1208" s="311">
        <v>11</v>
      </c>
      <c r="E1208" s="312">
        <v>2.5509</v>
      </c>
      <c r="F1208" s="323">
        <v>5</v>
      </c>
      <c r="G1208" s="324">
        <v>11.95</v>
      </c>
      <c r="H1208" s="306">
        <f t="shared" si="1378"/>
        <v>90.21</v>
      </c>
      <c r="I1208" s="359"/>
      <c r="J1208" s="359"/>
      <c r="K1208" s="360"/>
      <c r="L1208" s="364"/>
      <c r="M1208" s="329"/>
      <c r="N1208" s="445"/>
    </row>
    <row r="1209" spans="1:14">
      <c r="A1209" s="314">
        <v>8.14</v>
      </c>
      <c r="B1209" s="440" t="s">
        <v>1148</v>
      </c>
      <c r="D1209" s="311">
        <v>11</v>
      </c>
      <c r="E1209" s="312">
        <v>4.1546</v>
      </c>
      <c r="F1209" s="323">
        <v>5</v>
      </c>
      <c r="G1209" s="324">
        <v>6.65</v>
      </c>
      <c r="H1209" s="306">
        <f t="shared" si="1378"/>
        <v>99.54</v>
      </c>
      <c r="I1209" s="354">
        <f t="shared" si="1385"/>
        <v>99.5</v>
      </c>
      <c r="J1209" s="354">
        <f t="shared" si="1386"/>
        <v>0</v>
      </c>
      <c r="K1209" s="361" t="s">
        <v>150</v>
      </c>
      <c r="L1209" s="363">
        <f t="shared" si="1384"/>
        <v>0</v>
      </c>
      <c r="M1209" s="435">
        <v>0.330958455687672</v>
      </c>
      <c r="N1209" s="443">
        <f>I1209-M1209</f>
        <v>99.1690415443123</v>
      </c>
    </row>
    <row r="1210" spans="2:14">
      <c r="B1210" s="441"/>
      <c r="D1210" s="311">
        <v>11</v>
      </c>
      <c r="E1210" s="312">
        <v>4.1546</v>
      </c>
      <c r="F1210" s="323">
        <v>5</v>
      </c>
      <c r="G1210" s="324">
        <v>6.65</v>
      </c>
      <c r="H1210" s="306">
        <f t="shared" si="1378"/>
        <v>99.54</v>
      </c>
      <c r="I1210" s="359"/>
      <c r="J1210" s="359"/>
      <c r="K1210" s="360"/>
      <c r="L1210" s="364"/>
      <c r="M1210" s="436"/>
      <c r="N1210" s="445"/>
    </row>
    <row r="1211" spans="2:14">
      <c r="B1211" s="440" t="s">
        <v>1149</v>
      </c>
      <c r="D1211" s="311">
        <v>11</v>
      </c>
      <c r="E1211" s="312">
        <v>4.3864</v>
      </c>
      <c r="F1211" s="323">
        <v>5</v>
      </c>
      <c r="G1211" s="324">
        <v>6.7</v>
      </c>
      <c r="H1211" s="306">
        <f t="shared" si="1378"/>
        <v>93.57</v>
      </c>
      <c r="I1211" s="354">
        <f t="shared" si="1385"/>
        <v>93.6</v>
      </c>
      <c r="J1211" s="354">
        <f t="shared" si="1386"/>
        <v>0</v>
      </c>
      <c r="K1211" s="361" t="s">
        <v>150</v>
      </c>
      <c r="L1211" s="363">
        <f t="shared" ref="L1211:L1215" si="1387">H1212-H1211</f>
        <v>0</v>
      </c>
      <c r="M1211" s="435">
        <v>0.484451942367317</v>
      </c>
      <c r="N1211" s="443">
        <f>I1211-M1211</f>
        <v>93.1155480576327</v>
      </c>
    </row>
    <row r="1212" spans="2:14">
      <c r="B1212" s="441"/>
      <c r="D1212" s="311">
        <v>11</v>
      </c>
      <c r="E1212" s="312">
        <v>4.3864</v>
      </c>
      <c r="F1212" s="323">
        <v>5</v>
      </c>
      <c r="G1212" s="324">
        <v>6.7</v>
      </c>
      <c r="H1212" s="306">
        <f t="shared" si="1378"/>
        <v>93.57</v>
      </c>
      <c r="I1212" s="359"/>
      <c r="J1212" s="359"/>
      <c r="K1212" s="360"/>
      <c r="L1212" s="364"/>
      <c r="M1212" s="436"/>
      <c r="N1212" s="445"/>
    </row>
    <row r="1213" spans="2:14">
      <c r="B1213" s="440" t="s">
        <v>1150</v>
      </c>
      <c r="D1213" s="311">
        <v>11</v>
      </c>
      <c r="E1213" s="312">
        <v>4.8391</v>
      </c>
      <c r="F1213" s="323">
        <v>5</v>
      </c>
      <c r="G1213" s="324">
        <v>5.7</v>
      </c>
      <c r="H1213" s="306">
        <f t="shared" si="1378"/>
        <v>99.7</v>
      </c>
      <c r="I1213" s="354">
        <f t="shared" ref="I1213:I1217" si="1388">ROUND((H1213+H1214)/2,1)</f>
        <v>99.7</v>
      </c>
      <c r="J1213" s="354">
        <f t="shared" ref="J1213:J1217" si="1389">(H1213-H1214)*100/I1213</f>
        <v>0</v>
      </c>
      <c r="K1213" s="361" t="s">
        <v>150</v>
      </c>
      <c r="L1213" s="363">
        <f t="shared" si="1387"/>
        <v>0</v>
      </c>
      <c r="M1213" s="435">
        <v>0.361637494575437</v>
      </c>
      <c r="N1213" s="443">
        <f>I1213-M1213</f>
        <v>99.3383625054246</v>
      </c>
    </row>
    <row r="1214" spans="2:14">
      <c r="B1214" s="441"/>
      <c r="D1214" s="311">
        <v>11</v>
      </c>
      <c r="E1214" s="312">
        <v>4.8391</v>
      </c>
      <c r="F1214" s="323">
        <v>5</v>
      </c>
      <c r="G1214" s="324">
        <v>5.7</v>
      </c>
      <c r="H1214" s="306">
        <f t="shared" si="1378"/>
        <v>99.7</v>
      </c>
      <c r="I1214" s="359"/>
      <c r="J1214" s="359"/>
      <c r="K1214" s="360"/>
      <c r="L1214" s="364"/>
      <c r="M1214" s="436"/>
      <c r="N1214" s="445"/>
    </row>
    <row r="1215" spans="2:14">
      <c r="B1215" s="440" t="s">
        <v>1151</v>
      </c>
      <c r="D1215" s="311">
        <v>11</v>
      </c>
      <c r="E1215" s="312">
        <v>4.467</v>
      </c>
      <c r="F1215" s="323">
        <v>5</v>
      </c>
      <c r="G1215" s="324">
        <v>6.15</v>
      </c>
      <c r="H1215" s="306">
        <f t="shared" si="1378"/>
        <v>100.1</v>
      </c>
      <c r="I1215" s="354">
        <f t="shared" si="1388"/>
        <v>99.7</v>
      </c>
      <c r="J1215" s="354">
        <f t="shared" si="1389"/>
        <v>0.842527582748234</v>
      </c>
      <c r="K1215" s="361" t="s">
        <v>150</v>
      </c>
      <c r="L1215" s="363">
        <f t="shared" si="1387"/>
        <v>-0.839999999999989</v>
      </c>
      <c r="M1215" s="435">
        <v>0.223821309174288</v>
      </c>
      <c r="N1215" s="443">
        <f>I1215-M1215</f>
        <v>99.4761786908257</v>
      </c>
    </row>
    <row r="1216" spans="2:14">
      <c r="B1216" s="441"/>
      <c r="D1216" s="311">
        <v>11</v>
      </c>
      <c r="E1216" s="312">
        <v>4.4687</v>
      </c>
      <c r="F1216" s="323">
        <v>5</v>
      </c>
      <c r="G1216" s="324">
        <v>6.2</v>
      </c>
      <c r="H1216" s="306">
        <f t="shared" si="1378"/>
        <v>99.26</v>
      </c>
      <c r="I1216" s="359"/>
      <c r="J1216" s="359"/>
      <c r="K1216" s="360"/>
      <c r="L1216" s="364"/>
      <c r="M1216" s="436"/>
      <c r="N1216" s="445"/>
    </row>
    <row r="1217" spans="1:14">
      <c r="A1217" s="314">
        <v>8.15</v>
      </c>
      <c r="B1217" s="440" t="s">
        <v>360</v>
      </c>
      <c r="D1217" s="311">
        <v>11</v>
      </c>
      <c r="E1217" s="312">
        <v>2.6858</v>
      </c>
      <c r="F1217" s="323">
        <v>5</v>
      </c>
      <c r="G1217" s="324">
        <v>11.1</v>
      </c>
      <c r="H1217" s="306">
        <f t="shared" si="1378"/>
        <v>92.24</v>
      </c>
      <c r="I1217" s="354">
        <f t="shared" si="1388"/>
        <v>92.2</v>
      </c>
      <c r="J1217" s="354">
        <f t="shared" si="1389"/>
        <v>0</v>
      </c>
      <c r="K1217" s="361" t="s">
        <v>150</v>
      </c>
      <c r="L1217" s="363">
        <f t="shared" ref="L1217:L1221" si="1390">H1218-H1217</f>
        <v>0</v>
      </c>
      <c r="M1217" s="314">
        <v>10.89</v>
      </c>
      <c r="N1217" s="443">
        <f>I1217-M1217</f>
        <v>81.31</v>
      </c>
    </row>
    <row r="1218" spans="2:14">
      <c r="B1218" s="441"/>
      <c r="D1218" s="311">
        <v>11</v>
      </c>
      <c r="E1218" s="312">
        <v>2.6858</v>
      </c>
      <c r="F1218" s="323">
        <v>5</v>
      </c>
      <c r="G1218" s="324">
        <v>11.1</v>
      </c>
      <c r="H1218" s="306">
        <f t="shared" si="1378"/>
        <v>92.24</v>
      </c>
      <c r="I1218" s="359"/>
      <c r="J1218" s="359"/>
      <c r="K1218" s="360"/>
      <c r="L1218" s="364"/>
      <c r="M1218" s="314">
        <v>10.89</v>
      </c>
      <c r="N1218" s="445"/>
    </row>
    <row r="1219" spans="2:14">
      <c r="B1219" s="440" t="s">
        <v>361</v>
      </c>
      <c r="D1219" s="311">
        <v>11</v>
      </c>
      <c r="E1219" s="312">
        <v>2.5327</v>
      </c>
      <c r="F1219" s="323">
        <v>5</v>
      </c>
      <c r="G1219" s="324">
        <v>12.15</v>
      </c>
      <c r="H1219" s="306">
        <f t="shared" si="1378"/>
        <v>89.37</v>
      </c>
      <c r="I1219" s="354">
        <f t="shared" ref="I1219:I1223" si="1391">ROUND((H1219+H1220)/2,1)</f>
        <v>89.4</v>
      </c>
      <c r="J1219" s="354">
        <f t="shared" ref="J1219:J1223" si="1392">(H1219-H1220)*100/I1219</f>
        <v>0</v>
      </c>
      <c r="K1219" s="361" t="s">
        <v>150</v>
      </c>
      <c r="L1219" s="363">
        <f t="shared" si="1390"/>
        <v>0</v>
      </c>
      <c r="M1219" s="314">
        <v>10.91</v>
      </c>
      <c r="N1219" s="443">
        <f>I1219-M1219</f>
        <v>78.49</v>
      </c>
    </row>
    <row r="1220" spans="2:14">
      <c r="B1220" s="441"/>
      <c r="D1220" s="311">
        <v>11</v>
      </c>
      <c r="E1220" s="312">
        <v>2.5327</v>
      </c>
      <c r="F1220" s="323">
        <v>5</v>
      </c>
      <c r="G1220" s="324">
        <v>12.15</v>
      </c>
      <c r="H1220" s="306">
        <f t="shared" si="1378"/>
        <v>89.37</v>
      </c>
      <c r="I1220" s="359"/>
      <c r="J1220" s="359"/>
      <c r="K1220" s="360"/>
      <c r="L1220" s="364"/>
      <c r="M1220" s="314">
        <v>10.91</v>
      </c>
      <c r="N1220" s="445"/>
    </row>
    <row r="1221" spans="2:14">
      <c r="B1221" s="440" t="s">
        <v>362</v>
      </c>
      <c r="D1221" s="311">
        <v>11</v>
      </c>
      <c r="E1221" s="312">
        <v>2.7905</v>
      </c>
      <c r="F1221" s="323">
        <v>5</v>
      </c>
      <c r="G1221" s="324">
        <v>11.2</v>
      </c>
      <c r="H1221" s="306">
        <f t="shared" si="1378"/>
        <v>87.99</v>
      </c>
      <c r="I1221" s="354">
        <f t="shared" si="1391"/>
        <v>88</v>
      </c>
      <c r="J1221" s="354">
        <f t="shared" si="1392"/>
        <v>0</v>
      </c>
      <c r="K1221" s="361" t="s">
        <v>150</v>
      </c>
      <c r="L1221" s="363">
        <f t="shared" si="1390"/>
        <v>0</v>
      </c>
      <c r="M1221" s="314">
        <v>15.89</v>
      </c>
      <c r="N1221" s="443">
        <f>I1221-M1221</f>
        <v>72.11</v>
      </c>
    </row>
    <row r="1222" spans="2:14">
      <c r="B1222" s="441"/>
      <c r="D1222" s="311">
        <v>11</v>
      </c>
      <c r="E1222" s="312">
        <v>2.7905</v>
      </c>
      <c r="F1222" s="323">
        <v>5</v>
      </c>
      <c r="G1222" s="324">
        <v>11.2</v>
      </c>
      <c r="H1222" s="306">
        <f t="shared" si="1378"/>
        <v>87.99</v>
      </c>
      <c r="I1222" s="359"/>
      <c r="J1222" s="359"/>
      <c r="K1222" s="360"/>
      <c r="L1222" s="364"/>
      <c r="M1222" s="314">
        <v>15.89</v>
      </c>
      <c r="N1222" s="445"/>
    </row>
    <row r="1223" spans="2:12">
      <c r="B1223" s="440" t="s">
        <v>611</v>
      </c>
      <c r="D1223" s="311">
        <v>11</v>
      </c>
      <c r="E1223" s="312">
        <v>3.5255</v>
      </c>
      <c r="F1223" s="323">
        <v>1</v>
      </c>
      <c r="G1223" s="324">
        <v>13.2</v>
      </c>
      <c r="H1223" s="306">
        <f t="shared" si="1378"/>
        <v>11.82</v>
      </c>
      <c r="I1223" s="354">
        <f t="shared" si="1391"/>
        <v>11.9</v>
      </c>
      <c r="J1223" s="354">
        <f t="shared" si="1392"/>
        <v>-0.588235294117649</v>
      </c>
      <c r="K1223" s="361" t="s">
        <v>150</v>
      </c>
      <c r="L1223" s="363">
        <f t="shared" ref="L1223:L1227" si="1393">H1224-H1223</f>
        <v>0.0700000000000003</v>
      </c>
    </row>
    <row r="1224" spans="2:12">
      <c r="B1224" s="441"/>
      <c r="D1224" s="311">
        <v>11</v>
      </c>
      <c r="E1224" s="312">
        <v>3.6281</v>
      </c>
      <c r="F1224" s="323">
        <v>1</v>
      </c>
      <c r="G1224" s="324">
        <v>12.75</v>
      </c>
      <c r="H1224" s="306">
        <f t="shared" si="1378"/>
        <v>11.89</v>
      </c>
      <c r="I1224" s="359"/>
      <c r="J1224" s="359"/>
      <c r="K1224" s="360"/>
      <c r="L1224" s="364"/>
    </row>
    <row r="1225" spans="2:12">
      <c r="B1225" s="440" t="s">
        <v>612</v>
      </c>
      <c r="D1225" s="311">
        <v>11</v>
      </c>
      <c r="E1225" s="312">
        <v>2.6081</v>
      </c>
      <c r="F1225" s="323">
        <v>1</v>
      </c>
      <c r="G1225" s="324">
        <v>10.95</v>
      </c>
      <c r="H1225" s="306">
        <f t="shared" si="1378"/>
        <v>19.26</v>
      </c>
      <c r="I1225" s="354">
        <f t="shared" ref="I1225:I1229" si="1394">ROUND((H1225+H1226)/2,1)</f>
        <v>19.2</v>
      </c>
      <c r="J1225" s="354">
        <f t="shared" ref="J1225:J1229" si="1395">(H1225-H1226)*100/I1225</f>
        <v>0.312500000000012</v>
      </c>
      <c r="K1225" s="361" t="s">
        <v>150</v>
      </c>
      <c r="L1225" s="363">
        <f t="shared" si="1393"/>
        <v>-0.0600000000000023</v>
      </c>
    </row>
    <row r="1226" spans="2:12">
      <c r="B1226" s="441"/>
      <c r="D1226" s="311">
        <v>11</v>
      </c>
      <c r="E1226" s="312">
        <v>2.4905</v>
      </c>
      <c r="F1226" s="323">
        <v>1</v>
      </c>
      <c r="G1226" s="324">
        <v>11.5</v>
      </c>
      <c r="H1226" s="306">
        <f t="shared" si="1378"/>
        <v>19.2</v>
      </c>
      <c r="I1226" s="359"/>
      <c r="J1226" s="359"/>
      <c r="K1226" s="360"/>
      <c r="L1226" s="364"/>
    </row>
    <row r="1227" spans="1:14">
      <c r="A1227" s="314">
        <v>8.25</v>
      </c>
      <c r="B1227" s="440" t="s">
        <v>364</v>
      </c>
      <c r="D1227" s="311">
        <v>10.95</v>
      </c>
      <c r="E1227" s="312">
        <v>2.6593</v>
      </c>
      <c r="F1227" s="323">
        <v>5</v>
      </c>
      <c r="G1227" s="324">
        <v>11.2</v>
      </c>
      <c r="H1227" s="306">
        <f t="shared" si="1378"/>
        <v>91.91</v>
      </c>
      <c r="I1227" s="354">
        <f t="shared" si="1394"/>
        <v>91.9</v>
      </c>
      <c r="J1227" s="354">
        <f t="shared" si="1395"/>
        <v>0</v>
      </c>
      <c r="K1227" s="361" t="s">
        <v>150</v>
      </c>
      <c r="L1227" s="363">
        <f t="shared" si="1393"/>
        <v>0</v>
      </c>
      <c r="M1227" s="329">
        <v>15.36</v>
      </c>
      <c r="N1227" s="443">
        <f>I1227-M1227</f>
        <v>76.54</v>
      </c>
    </row>
    <row r="1228" spans="2:14">
      <c r="B1228" s="441"/>
      <c r="D1228" s="311">
        <v>10.95</v>
      </c>
      <c r="E1228" s="312">
        <v>2.6593</v>
      </c>
      <c r="F1228" s="323">
        <v>5</v>
      </c>
      <c r="G1228" s="324">
        <v>11.2</v>
      </c>
      <c r="H1228" s="306">
        <f t="shared" si="1378"/>
        <v>91.91</v>
      </c>
      <c r="I1228" s="359"/>
      <c r="J1228" s="359"/>
      <c r="K1228" s="360"/>
      <c r="L1228" s="364"/>
      <c r="M1228" s="329"/>
      <c r="N1228" s="445"/>
    </row>
    <row r="1229" spans="2:14">
      <c r="B1229" s="440" t="s">
        <v>365</v>
      </c>
      <c r="D1229" s="311">
        <v>10.95</v>
      </c>
      <c r="E1229" s="312">
        <v>2.6352</v>
      </c>
      <c r="F1229" s="323">
        <v>5</v>
      </c>
      <c r="G1229" s="324">
        <v>11.1</v>
      </c>
      <c r="H1229" s="306">
        <f t="shared" si="1378"/>
        <v>93.59</v>
      </c>
      <c r="I1229" s="354">
        <f t="shared" si="1394"/>
        <v>93.6</v>
      </c>
      <c r="J1229" s="354">
        <f t="shared" si="1395"/>
        <v>0</v>
      </c>
      <c r="K1229" s="361" t="s">
        <v>150</v>
      </c>
      <c r="L1229" s="363">
        <f t="shared" ref="L1229:L1233" si="1396">H1230-H1229</f>
        <v>0</v>
      </c>
      <c r="M1229" s="329">
        <v>12.08</v>
      </c>
      <c r="N1229" s="443">
        <f>I1229-M1229</f>
        <v>81.52</v>
      </c>
    </row>
    <row r="1230" spans="2:14">
      <c r="B1230" s="441"/>
      <c r="D1230" s="311">
        <v>10.95</v>
      </c>
      <c r="E1230" s="312">
        <v>2.6352</v>
      </c>
      <c r="F1230" s="323">
        <v>5</v>
      </c>
      <c r="G1230" s="324">
        <v>11.1</v>
      </c>
      <c r="H1230" s="306">
        <f t="shared" si="1378"/>
        <v>93.59</v>
      </c>
      <c r="I1230" s="359"/>
      <c r="J1230" s="359"/>
      <c r="K1230" s="360"/>
      <c r="L1230" s="364"/>
      <c r="M1230" s="329"/>
      <c r="N1230" s="445"/>
    </row>
    <row r="1231" spans="2:14">
      <c r="B1231" s="440" t="s">
        <v>366</v>
      </c>
      <c r="D1231" s="311">
        <v>10.95</v>
      </c>
      <c r="E1231" s="312">
        <v>2.7735</v>
      </c>
      <c r="F1231" s="323">
        <v>5</v>
      </c>
      <c r="G1231" s="324">
        <v>11.7</v>
      </c>
      <c r="H1231" s="306">
        <f t="shared" ref="H1231:H1234" si="1397">ROUND(D1231*100*F1231*250*100/50/E1231/G1231/1000,2)</f>
        <v>84.36</v>
      </c>
      <c r="I1231" s="354">
        <f t="shared" ref="I1231:I1235" si="1398">ROUND((H1231+H1232)/2,1)</f>
        <v>84.4</v>
      </c>
      <c r="J1231" s="354">
        <f t="shared" ref="J1231:J1235" si="1399">(H1231-H1232)*100/I1231</f>
        <v>0</v>
      </c>
      <c r="K1231" s="361" t="s">
        <v>150</v>
      </c>
      <c r="L1231" s="363">
        <f t="shared" si="1396"/>
        <v>0</v>
      </c>
      <c r="M1231" s="329">
        <v>13.71</v>
      </c>
      <c r="N1231" s="443">
        <f>I1231-M1231</f>
        <v>70.69</v>
      </c>
    </row>
    <row r="1232" spans="2:14">
      <c r="B1232" s="441"/>
      <c r="D1232" s="311">
        <v>10.95</v>
      </c>
      <c r="E1232" s="312">
        <v>2.7735</v>
      </c>
      <c r="F1232" s="323">
        <v>5</v>
      </c>
      <c r="G1232" s="324">
        <v>11.7</v>
      </c>
      <c r="H1232" s="306">
        <f t="shared" si="1397"/>
        <v>84.36</v>
      </c>
      <c r="I1232" s="359"/>
      <c r="J1232" s="359"/>
      <c r="K1232" s="360"/>
      <c r="L1232" s="364"/>
      <c r="M1232" s="329"/>
      <c r="N1232" s="445"/>
    </row>
    <row r="1233" spans="2:14">
      <c r="B1233" s="440" t="s">
        <v>367</v>
      </c>
      <c r="D1233" s="311">
        <v>11</v>
      </c>
      <c r="E1233" s="312">
        <v>2.5741</v>
      </c>
      <c r="F1233" s="323">
        <v>1</v>
      </c>
      <c r="G1233" s="324">
        <v>5.03</v>
      </c>
      <c r="H1233" s="306">
        <f t="shared" si="1397"/>
        <v>42.48</v>
      </c>
      <c r="I1233" s="354">
        <f t="shared" si="1398"/>
        <v>42.5</v>
      </c>
      <c r="J1233" s="354">
        <f t="shared" si="1399"/>
        <v>-0.0470588235294191</v>
      </c>
      <c r="K1233" s="361" t="s">
        <v>150</v>
      </c>
      <c r="L1233" s="363">
        <f t="shared" si="1396"/>
        <v>0.0200000000000031</v>
      </c>
      <c r="M1233" s="329">
        <v>10.01</v>
      </c>
      <c r="N1233" s="443">
        <f>I1233-M1233</f>
        <v>32.49</v>
      </c>
    </row>
    <row r="1234" spans="2:14">
      <c r="B1234" s="441"/>
      <c r="D1234" s="311">
        <v>11</v>
      </c>
      <c r="E1234" s="312">
        <v>2.5629</v>
      </c>
      <c r="F1234" s="323">
        <v>1</v>
      </c>
      <c r="G1234" s="324">
        <v>5.05</v>
      </c>
      <c r="H1234" s="306">
        <f t="shared" si="1397"/>
        <v>42.5</v>
      </c>
      <c r="I1234" s="359"/>
      <c r="J1234" s="359"/>
      <c r="K1234" s="360"/>
      <c r="L1234" s="364"/>
      <c r="M1234" s="329"/>
      <c r="N1234" s="445"/>
    </row>
    <row r="1235" spans="8:10">
      <c r="H1235" s="446">
        <v>2.954</v>
      </c>
      <c r="I1235" s="354">
        <f t="shared" si="1398"/>
        <v>2.9</v>
      </c>
      <c r="J1235" s="354">
        <f t="shared" si="1399"/>
        <v>1.00000000000001</v>
      </c>
    </row>
    <row r="1236" spans="8:10">
      <c r="H1236" s="446">
        <v>2.925</v>
      </c>
      <c r="I1236" s="359"/>
      <c r="J1236" s="359"/>
    </row>
  </sheetData>
  <autoFilter xmlns:etc="http://www.wps.cn/officeDocument/2017/etCustomData" ref="B1:N23" etc:filterBottomFollowUsedRange="0">
    <extLst/>
  </autoFilter>
  <mergeCells count="3337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8:B69"/>
    <mergeCell ref="B70:B71"/>
    <mergeCell ref="B72:B73"/>
    <mergeCell ref="B75:B76"/>
    <mergeCell ref="B78:B79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100:B101"/>
    <mergeCell ref="B102:B103"/>
    <mergeCell ref="B104:B105"/>
    <mergeCell ref="B106:B107"/>
    <mergeCell ref="B108:B109"/>
    <mergeCell ref="B110:B111"/>
    <mergeCell ref="B112:B113"/>
    <mergeCell ref="B115:B116"/>
    <mergeCell ref="B117:B118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6:B147"/>
    <mergeCell ref="B148:B149"/>
    <mergeCell ref="B150:B151"/>
    <mergeCell ref="B152:B153"/>
    <mergeCell ref="B154:B155"/>
    <mergeCell ref="B157:B158"/>
    <mergeCell ref="B159:B160"/>
    <mergeCell ref="B161:B162"/>
    <mergeCell ref="B163:B164"/>
    <mergeCell ref="B165:B166"/>
    <mergeCell ref="B168:B169"/>
    <mergeCell ref="B170:B171"/>
    <mergeCell ref="B172:B173"/>
    <mergeCell ref="B175:B176"/>
    <mergeCell ref="B178:B179"/>
    <mergeCell ref="B180:B181"/>
    <mergeCell ref="B182:B183"/>
    <mergeCell ref="B184:B185"/>
    <mergeCell ref="B187:B188"/>
    <mergeCell ref="B189:B190"/>
    <mergeCell ref="B191:B192"/>
    <mergeCell ref="B193:B194"/>
    <mergeCell ref="B195:B196"/>
    <mergeCell ref="B197:B198"/>
    <mergeCell ref="B199:B200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6:B287"/>
    <mergeCell ref="B288:B289"/>
    <mergeCell ref="B291:B292"/>
    <mergeCell ref="B293:B294"/>
    <mergeCell ref="B296:B297"/>
    <mergeCell ref="B298:B299"/>
    <mergeCell ref="B300:B301"/>
    <mergeCell ref="B302:B303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3:B364"/>
    <mergeCell ref="B365:B366"/>
    <mergeCell ref="B367:B368"/>
    <mergeCell ref="B369:B370"/>
    <mergeCell ref="B371:B372"/>
    <mergeCell ref="B373:B374"/>
    <mergeCell ref="B376:B377"/>
    <mergeCell ref="B378:B379"/>
    <mergeCell ref="B380:B381"/>
    <mergeCell ref="B382:B383"/>
    <mergeCell ref="B384:B385"/>
    <mergeCell ref="B386:B387"/>
    <mergeCell ref="B388:B389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10:B511"/>
    <mergeCell ref="B512:B513"/>
    <mergeCell ref="B514:B515"/>
    <mergeCell ref="B516:B517"/>
    <mergeCell ref="B524:B525"/>
    <mergeCell ref="B526:B527"/>
    <mergeCell ref="B529:B530"/>
    <mergeCell ref="B531:B532"/>
    <mergeCell ref="B533:B534"/>
    <mergeCell ref="B536:B537"/>
    <mergeCell ref="B538:B539"/>
    <mergeCell ref="B540:B541"/>
    <mergeCell ref="B542:B543"/>
    <mergeCell ref="B544:B545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B664:B665"/>
    <mergeCell ref="B666:B667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B706:B707"/>
    <mergeCell ref="B708:B709"/>
    <mergeCell ref="B710:B711"/>
    <mergeCell ref="B712:B713"/>
    <mergeCell ref="B714:B715"/>
    <mergeCell ref="B716:B717"/>
    <mergeCell ref="B718:B719"/>
    <mergeCell ref="B720:B721"/>
    <mergeCell ref="B722:B723"/>
    <mergeCell ref="B724:B725"/>
    <mergeCell ref="B726:B727"/>
    <mergeCell ref="B728:B729"/>
    <mergeCell ref="B730:B73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  <mergeCell ref="B762:B763"/>
    <mergeCell ref="B764:B765"/>
    <mergeCell ref="B766:B767"/>
    <mergeCell ref="B768:B769"/>
    <mergeCell ref="B770:B771"/>
    <mergeCell ref="B772:B773"/>
    <mergeCell ref="B774:B775"/>
    <mergeCell ref="B776:B777"/>
    <mergeCell ref="B778:B7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0:B861"/>
    <mergeCell ref="B863:B864"/>
    <mergeCell ref="B865:B866"/>
    <mergeCell ref="B867:B868"/>
    <mergeCell ref="B869:B870"/>
    <mergeCell ref="B871:B872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B901:B902"/>
    <mergeCell ref="B903:B904"/>
    <mergeCell ref="B905:B906"/>
    <mergeCell ref="B909:B910"/>
    <mergeCell ref="B911:B912"/>
    <mergeCell ref="B913:B914"/>
    <mergeCell ref="B915:B916"/>
    <mergeCell ref="B917:B918"/>
    <mergeCell ref="B919:B920"/>
    <mergeCell ref="B921:B922"/>
    <mergeCell ref="B923:B924"/>
    <mergeCell ref="B925:B926"/>
    <mergeCell ref="B927:B928"/>
    <mergeCell ref="B929:B930"/>
    <mergeCell ref="B931:B932"/>
    <mergeCell ref="B933:B934"/>
    <mergeCell ref="B935:B936"/>
    <mergeCell ref="B937:B938"/>
    <mergeCell ref="B939:B940"/>
    <mergeCell ref="B941:B942"/>
    <mergeCell ref="B943:B944"/>
    <mergeCell ref="B945:B946"/>
    <mergeCell ref="B947:B948"/>
    <mergeCell ref="B949:B950"/>
    <mergeCell ref="B951:B952"/>
    <mergeCell ref="B953:B954"/>
    <mergeCell ref="B955:B956"/>
    <mergeCell ref="B957:B958"/>
    <mergeCell ref="B959:B960"/>
    <mergeCell ref="B961:B962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82:B983"/>
    <mergeCell ref="B984:B985"/>
    <mergeCell ref="B986:B987"/>
    <mergeCell ref="B988:B989"/>
    <mergeCell ref="B990:B991"/>
    <mergeCell ref="B992:B993"/>
    <mergeCell ref="B994:B995"/>
    <mergeCell ref="B996:B997"/>
    <mergeCell ref="B998:B999"/>
    <mergeCell ref="B1000:B1001"/>
    <mergeCell ref="B1002:B1003"/>
    <mergeCell ref="B1004:B1005"/>
    <mergeCell ref="B1006:B1007"/>
    <mergeCell ref="B1008:B1009"/>
    <mergeCell ref="B1010:B1011"/>
    <mergeCell ref="B1012:B1013"/>
    <mergeCell ref="B1014:B1015"/>
    <mergeCell ref="B1016:B1017"/>
    <mergeCell ref="B1018:B1019"/>
    <mergeCell ref="B1020:B1021"/>
    <mergeCell ref="B1022:B1023"/>
    <mergeCell ref="B1024:B1025"/>
    <mergeCell ref="B1026:B1027"/>
    <mergeCell ref="B1028:B1029"/>
    <mergeCell ref="B1030:B1031"/>
    <mergeCell ref="B1032:B1033"/>
    <mergeCell ref="B1034:B1035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1060:B1061"/>
    <mergeCell ref="B1063:B1064"/>
    <mergeCell ref="B1065:B1066"/>
    <mergeCell ref="B1067:B1068"/>
    <mergeCell ref="B1069:B1070"/>
    <mergeCell ref="B1071:B1072"/>
    <mergeCell ref="B1073:B1074"/>
    <mergeCell ref="B1075:B1076"/>
    <mergeCell ref="B1077:B1078"/>
    <mergeCell ref="B1079:B1080"/>
    <mergeCell ref="B1081:B1082"/>
    <mergeCell ref="B1083:B1084"/>
    <mergeCell ref="B1085:B1086"/>
    <mergeCell ref="B1087:B1088"/>
    <mergeCell ref="B1089:B1090"/>
    <mergeCell ref="B1091:B1092"/>
    <mergeCell ref="B1093:B1094"/>
    <mergeCell ref="B1095:B1096"/>
    <mergeCell ref="B1097:B1098"/>
    <mergeCell ref="B1099:B1100"/>
    <mergeCell ref="B1101:B1102"/>
    <mergeCell ref="B1103:B1104"/>
    <mergeCell ref="B1105:B1106"/>
    <mergeCell ref="B1107:B1108"/>
    <mergeCell ref="B1109:B1110"/>
    <mergeCell ref="B1111:B1112"/>
    <mergeCell ref="B1113:B1114"/>
    <mergeCell ref="B1115:B1116"/>
    <mergeCell ref="B1117:B1118"/>
    <mergeCell ref="B1119:B1120"/>
    <mergeCell ref="B1121:B1122"/>
    <mergeCell ref="B1123:B1124"/>
    <mergeCell ref="B1125:B1126"/>
    <mergeCell ref="B1127:B1128"/>
    <mergeCell ref="B1129:B1130"/>
    <mergeCell ref="B1131:B1132"/>
    <mergeCell ref="B1133:B1134"/>
    <mergeCell ref="B1135:B1136"/>
    <mergeCell ref="B1137:B1138"/>
    <mergeCell ref="B1139:B1140"/>
    <mergeCell ref="B1141:B1142"/>
    <mergeCell ref="B1143:B1144"/>
    <mergeCell ref="B1145:B1146"/>
    <mergeCell ref="B1147:B1148"/>
    <mergeCell ref="B1149:B1150"/>
    <mergeCell ref="B1151:B1152"/>
    <mergeCell ref="B1153:B1154"/>
    <mergeCell ref="B1155:B1156"/>
    <mergeCell ref="B1157:B1158"/>
    <mergeCell ref="B1159:B1160"/>
    <mergeCell ref="B1161:B1162"/>
    <mergeCell ref="B1163:B1164"/>
    <mergeCell ref="B1165:B1166"/>
    <mergeCell ref="B1167:B1168"/>
    <mergeCell ref="B1169:B1170"/>
    <mergeCell ref="B1171:B1172"/>
    <mergeCell ref="B1173:B1174"/>
    <mergeCell ref="B1175:B1176"/>
    <mergeCell ref="B1177:B1178"/>
    <mergeCell ref="B1179:B1180"/>
    <mergeCell ref="B1181:B1182"/>
    <mergeCell ref="B1183:B1184"/>
    <mergeCell ref="B1185:B1186"/>
    <mergeCell ref="B1187:B1188"/>
    <mergeCell ref="B1189:B1190"/>
    <mergeCell ref="B1191:B1192"/>
    <mergeCell ref="B1193:B1194"/>
    <mergeCell ref="B1195:B1196"/>
    <mergeCell ref="B1197:B1198"/>
    <mergeCell ref="B1199:B1200"/>
    <mergeCell ref="B1201:B1202"/>
    <mergeCell ref="B1203:B1204"/>
    <mergeCell ref="B1205:B1206"/>
    <mergeCell ref="B1207:B1208"/>
    <mergeCell ref="B1209:B1210"/>
    <mergeCell ref="B1211:B1212"/>
    <mergeCell ref="B1213:B1214"/>
    <mergeCell ref="B1215:B1216"/>
    <mergeCell ref="B1217:B1218"/>
    <mergeCell ref="B1219:B1220"/>
    <mergeCell ref="B1221:B1222"/>
    <mergeCell ref="B1223:B1224"/>
    <mergeCell ref="B1225:B1226"/>
    <mergeCell ref="B1227:B1228"/>
    <mergeCell ref="B1229:B1230"/>
    <mergeCell ref="B1231:B1232"/>
    <mergeCell ref="B1233:B1234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8:C69"/>
    <mergeCell ref="C70:C71"/>
    <mergeCell ref="C72:C73"/>
    <mergeCell ref="C75:C76"/>
    <mergeCell ref="C78:C79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100:C101"/>
    <mergeCell ref="C102:C103"/>
    <mergeCell ref="C104:C105"/>
    <mergeCell ref="C106:C107"/>
    <mergeCell ref="C108:C109"/>
    <mergeCell ref="C110:C111"/>
    <mergeCell ref="C112:C113"/>
    <mergeCell ref="C115:C116"/>
    <mergeCell ref="C117:C118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6:C147"/>
    <mergeCell ref="C148:C149"/>
    <mergeCell ref="C150:C151"/>
    <mergeCell ref="C152:C153"/>
    <mergeCell ref="C154:C155"/>
    <mergeCell ref="C157:C158"/>
    <mergeCell ref="C159:C160"/>
    <mergeCell ref="C161:C162"/>
    <mergeCell ref="C163:C164"/>
    <mergeCell ref="C165:C166"/>
    <mergeCell ref="C168:C169"/>
    <mergeCell ref="C170:C171"/>
    <mergeCell ref="C172:C173"/>
    <mergeCell ref="C175:C176"/>
    <mergeCell ref="C178:C179"/>
    <mergeCell ref="C180:C181"/>
    <mergeCell ref="C182:C183"/>
    <mergeCell ref="C184:C185"/>
    <mergeCell ref="C187:C188"/>
    <mergeCell ref="C189:C190"/>
    <mergeCell ref="C191:C192"/>
    <mergeCell ref="C193:C194"/>
    <mergeCell ref="C195:C196"/>
    <mergeCell ref="C197:C198"/>
    <mergeCell ref="C199:C200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6:C287"/>
    <mergeCell ref="C288:C289"/>
    <mergeCell ref="C291:C292"/>
    <mergeCell ref="C293:C294"/>
    <mergeCell ref="C296:C297"/>
    <mergeCell ref="C298:C299"/>
    <mergeCell ref="C300:C301"/>
    <mergeCell ref="C302:C303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3:C364"/>
    <mergeCell ref="C365:C366"/>
    <mergeCell ref="C367:C368"/>
    <mergeCell ref="C369:C370"/>
    <mergeCell ref="C371:C372"/>
    <mergeCell ref="C373:C374"/>
    <mergeCell ref="C376:C377"/>
    <mergeCell ref="C378:C379"/>
    <mergeCell ref="C380:C381"/>
    <mergeCell ref="C382:C383"/>
    <mergeCell ref="C384:C385"/>
    <mergeCell ref="C386:C387"/>
    <mergeCell ref="C388:C389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10:C511"/>
    <mergeCell ref="C512:C513"/>
    <mergeCell ref="C514:C515"/>
    <mergeCell ref="C516:C517"/>
    <mergeCell ref="C524:C525"/>
    <mergeCell ref="C526:C527"/>
    <mergeCell ref="C529:C530"/>
    <mergeCell ref="C531:C532"/>
    <mergeCell ref="C533:C534"/>
    <mergeCell ref="C536:C537"/>
    <mergeCell ref="C538:C539"/>
    <mergeCell ref="C540:C541"/>
    <mergeCell ref="C542:C543"/>
    <mergeCell ref="C544:C545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3:C864"/>
    <mergeCell ref="C865:C866"/>
    <mergeCell ref="C867:C868"/>
    <mergeCell ref="C869:C870"/>
    <mergeCell ref="C871:C872"/>
    <mergeCell ref="C873:C874"/>
    <mergeCell ref="C875:C876"/>
    <mergeCell ref="C877:C878"/>
    <mergeCell ref="C879:C880"/>
    <mergeCell ref="C881:C882"/>
    <mergeCell ref="C883:C884"/>
    <mergeCell ref="C885:C886"/>
    <mergeCell ref="C887:C888"/>
    <mergeCell ref="C889:C890"/>
    <mergeCell ref="C891:C892"/>
    <mergeCell ref="C893:C894"/>
    <mergeCell ref="C895:C896"/>
    <mergeCell ref="C897:C898"/>
    <mergeCell ref="C899:C900"/>
    <mergeCell ref="C901:C902"/>
    <mergeCell ref="C903:C904"/>
    <mergeCell ref="C905:C906"/>
    <mergeCell ref="C909:C910"/>
    <mergeCell ref="C911:C912"/>
    <mergeCell ref="C913:C914"/>
    <mergeCell ref="C915:C916"/>
    <mergeCell ref="C917:C918"/>
    <mergeCell ref="C919:C920"/>
    <mergeCell ref="C921:C922"/>
    <mergeCell ref="C923:C924"/>
    <mergeCell ref="C925:C926"/>
    <mergeCell ref="C927:C928"/>
    <mergeCell ref="C929:C930"/>
    <mergeCell ref="C931:C932"/>
    <mergeCell ref="C933:C934"/>
    <mergeCell ref="C935:C936"/>
    <mergeCell ref="C937:C938"/>
    <mergeCell ref="C939:C940"/>
    <mergeCell ref="C941:C942"/>
    <mergeCell ref="C943:C944"/>
    <mergeCell ref="C945:C946"/>
    <mergeCell ref="C947:C948"/>
    <mergeCell ref="C949:C950"/>
    <mergeCell ref="C951:C952"/>
    <mergeCell ref="C953:C954"/>
    <mergeCell ref="C955:C956"/>
    <mergeCell ref="C957:C958"/>
    <mergeCell ref="C959:C960"/>
    <mergeCell ref="C961:C962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1"/>
    <mergeCell ref="C992:C993"/>
    <mergeCell ref="C994:C99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4:C1055"/>
    <mergeCell ref="C1056:C1057"/>
    <mergeCell ref="C1058:C1059"/>
    <mergeCell ref="C1060:C1061"/>
    <mergeCell ref="C1063:C1064"/>
    <mergeCell ref="C1065:C1066"/>
    <mergeCell ref="C1067:C1068"/>
    <mergeCell ref="C1069:C1070"/>
    <mergeCell ref="C1071:C1072"/>
    <mergeCell ref="C1073:C1074"/>
    <mergeCell ref="C1075:C1076"/>
    <mergeCell ref="C1077:C1078"/>
    <mergeCell ref="C1079:C1080"/>
    <mergeCell ref="C1081:C1082"/>
    <mergeCell ref="C1083:C1084"/>
    <mergeCell ref="C1085:C1086"/>
    <mergeCell ref="C1087:C1088"/>
    <mergeCell ref="C1089:C1090"/>
    <mergeCell ref="C1091:C1092"/>
    <mergeCell ref="C1093:C1094"/>
    <mergeCell ref="C1095:C1096"/>
    <mergeCell ref="C1097:C1098"/>
    <mergeCell ref="C1099:C1100"/>
    <mergeCell ref="C1101:C1102"/>
    <mergeCell ref="C1103:C1104"/>
    <mergeCell ref="C1105:C1106"/>
    <mergeCell ref="C1107:C1108"/>
    <mergeCell ref="C1109:C1110"/>
    <mergeCell ref="C1111:C1112"/>
    <mergeCell ref="C1113:C1114"/>
    <mergeCell ref="C1115:C1116"/>
    <mergeCell ref="C1117:C1118"/>
    <mergeCell ref="C1119:C1120"/>
    <mergeCell ref="C1121:C1122"/>
    <mergeCell ref="C1123:C1124"/>
    <mergeCell ref="C1125:C1126"/>
    <mergeCell ref="C1127:C1128"/>
    <mergeCell ref="C1129:C1130"/>
    <mergeCell ref="C1131:C1132"/>
    <mergeCell ref="C1133:C1134"/>
    <mergeCell ref="C1135:C1136"/>
    <mergeCell ref="C1137:C1138"/>
    <mergeCell ref="C1139:C1140"/>
    <mergeCell ref="C1141:C1142"/>
    <mergeCell ref="C1143:C1144"/>
    <mergeCell ref="C1145:C1146"/>
    <mergeCell ref="C1147:C1148"/>
    <mergeCell ref="C1149:C1150"/>
    <mergeCell ref="C1151:C1152"/>
    <mergeCell ref="C1153:C1154"/>
    <mergeCell ref="C1155:C1156"/>
    <mergeCell ref="C1157:C1158"/>
    <mergeCell ref="C1159:C1160"/>
    <mergeCell ref="C1161:C1162"/>
    <mergeCell ref="C1163:C1164"/>
    <mergeCell ref="C1165:C1166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8:I69"/>
    <mergeCell ref="I70:I71"/>
    <mergeCell ref="I72:I73"/>
    <mergeCell ref="I75:I76"/>
    <mergeCell ref="I78:I79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100:I101"/>
    <mergeCell ref="I102:I103"/>
    <mergeCell ref="I104:I105"/>
    <mergeCell ref="I106:I107"/>
    <mergeCell ref="I108:I109"/>
    <mergeCell ref="I110:I111"/>
    <mergeCell ref="I112:I113"/>
    <mergeCell ref="I115:I116"/>
    <mergeCell ref="I117:I118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6:I147"/>
    <mergeCell ref="I148:I149"/>
    <mergeCell ref="I150:I151"/>
    <mergeCell ref="I152:I153"/>
    <mergeCell ref="I154:I155"/>
    <mergeCell ref="I157:I158"/>
    <mergeCell ref="I159:I160"/>
    <mergeCell ref="I161:I162"/>
    <mergeCell ref="I163:I164"/>
    <mergeCell ref="I165:I166"/>
    <mergeCell ref="I168:I169"/>
    <mergeCell ref="I170:I171"/>
    <mergeCell ref="I172:I173"/>
    <mergeCell ref="I175:I176"/>
    <mergeCell ref="I178:I179"/>
    <mergeCell ref="I180:I181"/>
    <mergeCell ref="I182:I183"/>
    <mergeCell ref="I184:I185"/>
    <mergeCell ref="I187:I188"/>
    <mergeCell ref="I189:I190"/>
    <mergeCell ref="I191:I192"/>
    <mergeCell ref="I193:I194"/>
    <mergeCell ref="I195:I196"/>
    <mergeCell ref="I197:I198"/>
    <mergeCell ref="I199:I200"/>
    <mergeCell ref="I202:I203"/>
    <mergeCell ref="I204:I205"/>
    <mergeCell ref="I206:I207"/>
    <mergeCell ref="I208:I209"/>
    <mergeCell ref="I210:I211"/>
    <mergeCell ref="I212:I213"/>
    <mergeCell ref="I214:I215"/>
    <mergeCell ref="I216:I217"/>
    <mergeCell ref="I218:I219"/>
    <mergeCell ref="I220:I22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I258:I259"/>
    <mergeCell ref="I260:I261"/>
    <mergeCell ref="I262:I263"/>
    <mergeCell ref="I264:I265"/>
    <mergeCell ref="I266:I267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6:I287"/>
    <mergeCell ref="I288:I289"/>
    <mergeCell ref="I291:I292"/>
    <mergeCell ref="I293:I294"/>
    <mergeCell ref="I296:I297"/>
    <mergeCell ref="I298:I299"/>
    <mergeCell ref="I300:I301"/>
    <mergeCell ref="I302:I303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4:I325"/>
    <mergeCell ref="I326:I327"/>
    <mergeCell ref="I328:I329"/>
    <mergeCell ref="I330:I331"/>
    <mergeCell ref="I332:I333"/>
    <mergeCell ref="I334:I335"/>
    <mergeCell ref="I336:I337"/>
    <mergeCell ref="I338:I339"/>
    <mergeCell ref="I340:I341"/>
    <mergeCell ref="I342:I343"/>
    <mergeCell ref="I344:I345"/>
    <mergeCell ref="I346:I347"/>
    <mergeCell ref="I348:I349"/>
    <mergeCell ref="I350:I351"/>
    <mergeCell ref="I352:I353"/>
    <mergeCell ref="I354:I355"/>
    <mergeCell ref="I356:I357"/>
    <mergeCell ref="I358:I359"/>
    <mergeCell ref="I360:I361"/>
    <mergeCell ref="I363:I364"/>
    <mergeCell ref="I365:I366"/>
    <mergeCell ref="I367:I368"/>
    <mergeCell ref="I369:I370"/>
    <mergeCell ref="I371:I372"/>
    <mergeCell ref="I373:I374"/>
    <mergeCell ref="I376:I377"/>
    <mergeCell ref="I378:I379"/>
    <mergeCell ref="I380:I381"/>
    <mergeCell ref="I382:I383"/>
    <mergeCell ref="I384:I385"/>
    <mergeCell ref="I386:I387"/>
    <mergeCell ref="I388:I389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2:I473"/>
    <mergeCell ref="I474:I475"/>
    <mergeCell ref="I476:I477"/>
    <mergeCell ref="I478:I479"/>
    <mergeCell ref="I480:I481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I499:I500"/>
    <mergeCell ref="I501:I502"/>
    <mergeCell ref="I503:I504"/>
    <mergeCell ref="I505:I506"/>
    <mergeCell ref="I507:I508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I529:I530"/>
    <mergeCell ref="I531:I532"/>
    <mergeCell ref="I533:I534"/>
    <mergeCell ref="I536:I537"/>
    <mergeCell ref="I538:I539"/>
    <mergeCell ref="I540:I541"/>
    <mergeCell ref="I542:I543"/>
    <mergeCell ref="I544:I545"/>
    <mergeCell ref="I547:I548"/>
    <mergeCell ref="I549:I550"/>
    <mergeCell ref="I551:I552"/>
    <mergeCell ref="I553:I554"/>
    <mergeCell ref="I555:I556"/>
    <mergeCell ref="I557:I558"/>
    <mergeCell ref="I559:I560"/>
    <mergeCell ref="I561:I562"/>
    <mergeCell ref="I564:I565"/>
    <mergeCell ref="I566:I567"/>
    <mergeCell ref="I568:I569"/>
    <mergeCell ref="I570:I571"/>
    <mergeCell ref="I572:I573"/>
    <mergeCell ref="I574:I575"/>
    <mergeCell ref="I576:I577"/>
    <mergeCell ref="I578:I579"/>
    <mergeCell ref="I580:I581"/>
    <mergeCell ref="I582:I583"/>
    <mergeCell ref="I584:I585"/>
    <mergeCell ref="I586:I587"/>
    <mergeCell ref="I588:I589"/>
    <mergeCell ref="I590:I591"/>
    <mergeCell ref="I592:I593"/>
    <mergeCell ref="I594:I595"/>
    <mergeCell ref="I596:I597"/>
    <mergeCell ref="I598:I599"/>
    <mergeCell ref="I600:I601"/>
    <mergeCell ref="I602:I603"/>
    <mergeCell ref="I604:I605"/>
    <mergeCell ref="I606:I607"/>
    <mergeCell ref="I608:I609"/>
    <mergeCell ref="I610:I611"/>
    <mergeCell ref="I612:I613"/>
    <mergeCell ref="I614:I615"/>
    <mergeCell ref="I616:I617"/>
    <mergeCell ref="I618:I619"/>
    <mergeCell ref="I620:I621"/>
    <mergeCell ref="I622:I623"/>
    <mergeCell ref="I624:I625"/>
    <mergeCell ref="I626:I627"/>
    <mergeCell ref="I628:I629"/>
    <mergeCell ref="I630:I631"/>
    <mergeCell ref="I632:I633"/>
    <mergeCell ref="I634:I635"/>
    <mergeCell ref="I636:I637"/>
    <mergeCell ref="I638:I639"/>
    <mergeCell ref="I640:I641"/>
    <mergeCell ref="I642:I643"/>
    <mergeCell ref="I644:I645"/>
    <mergeCell ref="I646:I647"/>
    <mergeCell ref="I648:I649"/>
    <mergeCell ref="I650:I651"/>
    <mergeCell ref="I652:I653"/>
    <mergeCell ref="I654:I655"/>
    <mergeCell ref="I656:I657"/>
    <mergeCell ref="I658:I659"/>
    <mergeCell ref="I660:I661"/>
    <mergeCell ref="I662:I663"/>
    <mergeCell ref="I664:I665"/>
    <mergeCell ref="I666:I667"/>
    <mergeCell ref="I668:I669"/>
    <mergeCell ref="I670:I671"/>
    <mergeCell ref="I672:I673"/>
    <mergeCell ref="I674:I675"/>
    <mergeCell ref="I676:I677"/>
    <mergeCell ref="I678:I679"/>
    <mergeCell ref="I680:I681"/>
    <mergeCell ref="I682:I683"/>
    <mergeCell ref="I684:I685"/>
    <mergeCell ref="I686:I687"/>
    <mergeCell ref="I688:I689"/>
    <mergeCell ref="I690:I691"/>
    <mergeCell ref="I692:I693"/>
    <mergeCell ref="I694:I695"/>
    <mergeCell ref="I696:I697"/>
    <mergeCell ref="I698:I699"/>
    <mergeCell ref="I700:I701"/>
    <mergeCell ref="I702:I703"/>
    <mergeCell ref="I704:I705"/>
    <mergeCell ref="I706:I707"/>
    <mergeCell ref="I708:I709"/>
    <mergeCell ref="I710:I711"/>
    <mergeCell ref="I712:I713"/>
    <mergeCell ref="I714:I715"/>
    <mergeCell ref="I716:I717"/>
    <mergeCell ref="I718:I719"/>
    <mergeCell ref="I720:I721"/>
    <mergeCell ref="I722:I723"/>
    <mergeCell ref="I724:I725"/>
    <mergeCell ref="I726:I727"/>
    <mergeCell ref="I728:I729"/>
    <mergeCell ref="I730:I731"/>
    <mergeCell ref="I732:I733"/>
    <mergeCell ref="I734:I735"/>
    <mergeCell ref="I736:I737"/>
    <mergeCell ref="I738:I739"/>
    <mergeCell ref="I740:I741"/>
    <mergeCell ref="I742:I743"/>
    <mergeCell ref="I744:I745"/>
    <mergeCell ref="I746:I747"/>
    <mergeCell ref="I748:I749"/>
    <mergeCell ref="I750:I751"/>
    <mergeCell ref="I752:I753"/>
    <mergeCell ref="I754:I755"/>
    <mergeCell ref="I756:I757"/>
    <mergeCell ref="I758:I759"/>
    <mergeCell ref="I760:I761"/>
    <mergeCell ref="I762:I763"/>
    <mergeCell ref="I764:I765"/>
    <mergeCell ref="I766:I767"/>
    <mergeCell ref="I768:I769"/>
    <mergeCell ref="I770:I771"/>
    <mergeCell ref="I772:I773"/>
    <mergeCell ref="I774:I775"/>
    <mergeCell ref="I776:I777"/>
    <mergeCell ref="I778:I779"/>
    <mergeCell ref="I780:I781"/>
    <mergeCell ref="I782:I783"/>
    <mergeCell ref="I784:I785"/>
    <mergeCell ref="I786:I787"/>
    <mergeCell ref="I788:I789"/>
    <mergeCell ref="I790:I791"/>
    <mergeCell ref="I792:I793"/>
    <mergeCell ref="I794:I795"/>
    <mergeCell ref="I796:I797"/>
    <mergeCell ref="I798:I799"/>
    <mergeCell ref="I800:I801"/>
    <mergeCell ref="I802:I803"/>
    <mergeCell ref="I804:I805"/>
    <mergeCell ref="I806:I807"/>
    <mergeCell ref="I808:I809"/>
    <mergeCell ref="I810:I811"/>
    <mergeCell ref="I812:I813"/>
    <mergeCell ref="I814:I815"/>
    <mergeCell ref="I816:I817"/>
    <mergeCell ref="I818:I819"/>
    <mergeCell ref="I820:I821"/>
    <mergeCell ref="I822:I823"/>
    <mergeCell ref="I824:I825"/>
    <mergeCell ref="I826:I827"/>
    <mergeCell ref="I828:I829"/>
    <mergeCell ref="I830:I831"/>
    <mergeCell ref="I832:I833"/>
    <mergeCell ref="I834:I835"/>
    <mergeCell ref="I836:I837"/>
    <mergeCell ref="I838:I839"/>
    <mergeCell ref="I840:I841"/>
    <mergeCell ref="I842:I843"/>
    <mergeCell ref="I844:I845"/>
    <mergeCell ref="I846:I847"/>
    <mergeCell ref="I848:I849"/>
    <mergeCell ref="I850:I851"/>
    <mergeCell ref="I852:I853"/>
    <mergeCell ref="I854:I855"/>
    <mergeCell ref="I856:I857"/>
    <mergeCell ref="I858:I859"/>
    <mergeCell ref="I860:I861"/>
    <mergeCell ref="I863:I864"/>
    <mergeCell ref="I865:I866"/>
    <mergeCell ref="I867:I868"/>
    <mergeCell ref="I869:I870"/>
    <mergeCell ref="I871:I872"/>
    <mergeCell ref="I873:I874"/>
    <mergeCell ref="I875:I876"/>
    <mergeCell ref="I877:I878"/>
    <mergeCell ref="I879:I880"/>
    <mergeCell ref="I881:I882"/>
    <mergeCell ref="I883:I884"/>
    <mergeCell ref="I885:I886"/>
    <mergeCell ref="I887:I888"/>
    <mergeCell ref="I889:I890"/>
    <mergeCell ref="I891:I892"/>
    <mergeCell ref="I893:I894"/>
    <mergeCell ref="I895:I896"/>
    <mergeCell ref="I897:I898"/>
    <mergeCell ref="I899:I900"/>
    <mergeCell ref="I901:I902"/>
    <mergeCell ref="I903:I904"/>
    <mergeCell ref="I905:I906"/>
    <mergeCell ref="I909:I910"/>
    <mergeCell ref="I911:I912"/>
    <mergeCell ref="I913:I914"/>
    <mergeCell ref="I915:I916"/>
    <mergeCell ref="I917:I918"/>
    <mergeCell ref="I919:I920"/>
    <mergeCell ref="I921:I922"/>
    <mergeCell ref="I923:I924"/>
    <mergeCell ref="I925:I926"/>
    <mergeCell ref="I927:I928"/>
    <mergeCell ref="I929:I930"/>
    <mergeCell ref="I931:I932"/>
    <mergeCell ref="I933:I934"/>
    <mergeCell ref="I935:I936"/>
    <mergeCell ref="I937:I938"/>
    <mergeCell ref="I939:I940"/>
    <mergeCell ref="I941:I942"/>
    <mergeCell ref="I943:I944"/>
    <mergeCell ref="I945:I946"/>
    <mergeCell ref="I947:I948"/>
    <mergeCell ref="I949:I950"/>
    <mergeCell ref="I951:I952"/>
    <mergeCell ref="I953:I954"/>
    <mergeCell ref="I955:I956"/>
    <mergeCell ref="I957:I958"/>
    <mergeCell ref="I959:I960"/>
    <mergeCell ref="I961:I962"/>
    <mergeCell ref="I964:I965"/>
    <mergeCell ref="I966:I967"/>
    <mergeCell ref="I968:I969"/>
    <mergeCell ref="I970:I971"/>
    <mergeCell ref="I972:I973"/>
    <mergeCell ref="I974:I975"/>
    <mergeCell ref="I976:I977"/>
    <mergeCell ref="I978:I979"/>
    <mergeCell ref="I980:I981"/>
    <mergeCell ref="I982:I983"/>
    <mergeCell ref="I984:I985"/>
    <mergeCell ref="I986:I987"/>
    <mergeCell ref="I988:I989"/>
    <mergeCell ref="I990:I991"/>
    <mergeCell ref="I992:I993"/>
    <mergeCell ref="I994:I995"/>
    <mergeCell ref="I996:I997"/>
    <mergeCell ref="I998:I999"/>
    <mergeCell ref="I1000:I1001"/>
    <mergeCell ref="I1002:I1003"/>
    <mergeCell ref="I1004:I1005"/>
    <mergeCell ref="I1006:I1007"/>
    <mergeCell ref="I1008:I1009"/>
    <mergeCell ref="I1010:I1011"/>
    <mergeCell ref="I1012:I1013"/>
    <mergeCell ref="I1014:I1015"/>
    <mergeCell ref="I1016:I1017"/>
    <mergeCell ref="I1018:I1019"/>
    <mergeCell ref="I1020:I1021"/>
    <mergeCell ref="I1022:I1023"/>
    <mergeCell ref="I1024:I1025"/>
    <mergeCell ref="I1026:I1027"/>
    <mergeCell ref="I1028:I1029"/>
    <mergeCell ref="I1030:I1031"/>
    <mergeCell ref="I1032:I1033"/>
    <mergeCell ref="I1034:I1035"/>
    <mergeCell ref="I1036:I1037"/>
    <mergeCell ref="I1038:I1039"/>
    <mergeCell ref="I1040:I1041"/>
    <mergeCell ref="I1042:I1043"/>
    <mergeCell ref="I1044:I1045"/>
    <mergeCell ref="I1046:I1047"/>
    <mergeCell ref="I1048:I1049"/>
    <mergeCell ref="I1050:I1051"/>
    <mergeCell ref="I1052:I1053"/>
    <mergeCell ref="I1054:I1055"/>
    <mergeCell ref="I1056:I1057"/>
    <mergeCell ref="I1058:I1059"/>
    <mergeCell ref="I1060:I1061"/>
    <mergeCell ref="I1063:I1064"/>
    <mergeCell ref="I1065:I1066"/>
    <mergeCell ref="I1067:I1068"/>
    <mergeCell ref="I1069:I1070"/>
    <mergeCell ref="I1071:I1072"/>
    <mergeCell ref="I1073:I1074"/>
    <mergeCell ref="I1075:I1076"/>
    <mergeCell ref="I1077:I1078"/>
    <mergeCell ref="I1079:I1080"/>
    <mergeCell ref="I1081:I1082"/>
    <mergeCell ref="I1083:I1084"/>
    <mergeCell ref="I1085:I1086"/>
    <mergeCell ref="I1087:I1088"/>
    <mergeCell ref="I1089:I1090"/>
    <mergeCell ref="I1091:I1092"/>
    <mergeCell ref="I1093:I1094"/>
    <mergeCell ref="I1095:I1096"/>
    <mergeCell ref="I1097:I1098"/>
    <mergeCell ref="I1099:I1100"/>
    <mergeCell ref="I1101:I1102"/>
    <mergeCell ref="I1103:I1104"/>
    <mergeCell ref="I1105:I1106"/>
    <mergeCell ref="I1107:I1108"/>
    <mergeCell ref="I1109:I1110"/>
    <mergeCell ref="I1111:I1112"/>
    <mergeCell ref="I1113:I1114"/>
    <mergeCell ref="I1115:I1116"/>
    <mergeCell ref="I1117:I1118"/>
    <mergeCell ref="I1119:I1120"/>
    <mergeCell ref="I1121:I1122"/>
    <mergeCell ref="I1123:I1124"/>
    <mergeCell ref="I1125:I1126"/>
    <mergeCell ref="I1127:I1128"/>
    <mergeCell ref="I1129:I1130"/>
    <mergeCell ref="I1131:I1132"/>
    <mergeCell ref="I1133:I1134"/>
    <mergeCell ref="I1135:I1136"/>
    <mergeCell ref="I1137:I1138"/>
    <mergeCell ref="I1139:I1140"/>
    <mergeCell ref="I1141:I1142"/>
    <mergeCell ref="I1143:I1144"/>
    <mergeCell ref="I1145:I1146"/>
    <mergeCell ref="I1147:I1148"/>
    <mergeCell ref="I1149:I1150"/>
    <mergeCell ref="I1151:I1152"/>
    <mergeCell ref="I1153:I1154"/>
    <mergeCell ref="I1155:I1156"/>
    <mergeCell ref="I1157:I1158"/>
    <mergeCell ref="I1159:I1160"/>
    <mergeCell ref="I1161:I1162"/>
    <mergeCell ref="I1163:I1164"/>
    <mergeCell ref="I1165:I1166"/>
    <mergeCell ref="I1167:I1168"/>
    <mergeCell ref="I1169:I1170"/>
    <mergeCell ref="I1171:I1172"/>
    <mergeCell ref="I1173:I1174"/>
    <mergeCell ref="I1175:I1176"/>
    <mergeCell ref="I1177:I1178"/>
    <mergeCell ref="I1179:I1180"/>
    <mergeCell ref="I1181:I1182"/>
    <mergeCell ref="I1183:I1184"/>
    <mergeCell ref="I1185:I1186"/>
    <mergeCell ref="I1187:I1188"/>
    <mergeCell ref="I1189:I1190"/>
    <mergeCell ref="I1191:I1192"/>
    <mergeCell ref="I1193:I1194"/>
    <mergeCell ref="I1195:I1196"/>
    <mergeCell ref="I1197:I1198"/>
    <mergeCell ref="I1199:I1200"/>
    <mergeCell ref="I1201:I1202"/>
    <mergeCell ref="I1203:I1204"/>
    <mergeCell ref="I1205:I1206"/>
    <mergeCell ref="I1207:I1208"/>
    <mergeCell ref="I1209:I1210"/>
    <mergeCell ref="I1211:I1212"/>
    <mergeCell ref="I1213:I1214"/>
    <mergeCell ref="I1215:I1216"/>
    <mergeCell ref="I1217:I1218"/>
    <mergeCell ref="I1219:I1220"/>
    <mergeCell ref="I1221:I1222"/>
    <mergeCell ref="I1223:I1224"/>
    <mergeCell ref="I1225:I1226"/>
    <mergeCell ref="I1227:I1228"/>
    <mergeCell ref="I1229:I1230"/>
    <mergeCell ref="I1231:I1232"/>
    <mergeCell ref="I1233:I1234"/>
    <mergeCell ref="I1235:I1236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8:J69"/>
    <mergeCell ref="J70:J71"/>
    <mergeCell ref="J72:J73"/>
    <mergeCell ref="J75:J76"/>
    <mergeCell ref="J78:J79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100:J101"/>
    <mergeCell ref="J102:J103"/>
    <mergeCell ref="J104:J105"/>
    <mergeCell ref="J106:J107"/>
    <mergeCell ref="J108:J109"/>
    <mergeCell ref="J110:J111"/>
    <mergeCell ref="J112:J113"/>
    <mergeCell ref="J115:J116"/>
    <mergeCell ref="J117:J118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6:J147"/>
    <mergeCell ref="J148:J149"/>
    <mergeCell ref="J150:J151"/>
    <mergeCell ref="J152:J153"/>
    <mergeCell ref="J154:J155"/>
    <mergeCell ref="J157:J158"/>
    <mergeCell ref="J159:J160"/>
    <mergeCell ref="J161:J162"/>
    <mergeCell ref="J163:J164"/>
    <mergeCell ref="J165:J166"/>
    <mergeCell ref="J168:J169"/>
    <mergeCell ref="J170:J171"/>
    <mergeCell ref="J172:J173"/>
    <mergeCell ref="J175:J176"/>
    <mergeCell ref="J178:J179"/>
    <mergeCell ref="J180:J181"/>
    <mergeCell ref="J182:J183"/>
    <mergeCell ref="J184:J185"/>
    <mergeCell ref="J187:J188"/>
    <mergeCell ref="J189:J190"/>
    <mergeCell ref="J191:J192"/>
    <mergeCell ref="J193:J194"/>
    <mergeCell ref="J195:J196"/>
    <mergeCell ref="J197:J198"/>
    <mergeCell ref="J199:J200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266:J267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6:J287"/>
    <mergeCell ref="J288:J289"/>
    <mergeCell ref="J291:J292"/>
    <mergeCell ref="J293:J294"/>
    <mergeCell ref="J296:J297"/>
    <mergeCell ref="J298:J299"/>
    <mergeCell ref="J300:J301"/>
    <mergeCell ref="J302:J303"/>
    <mergeCell ref="J305:J306"/>
    <mergeCell ref="J307:J308"/>
    <mergeCell ref="J309:J310"/>
    <mergeCell ref="J311:J312"/>
    <mergeCell ref="J313:J314"/>
    <mergeCell ref="J315:J316"/>
    <mergeCell ref="J317:J318"/>
    <mergeCell ref="J319:J320"/>
    <mergeCell ref="J321:J322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3:J364"/>
    <mergeCell ref="J365:J366"/>
    <mergeCell ref="J367:J368"/>
    <mergeCell ref="J369:J370"/>
    <mergeCell ref="J371:J372"/>
    <mergeCell ref="J373:J374"/>
    <mergeCell ref="J376:J377"/>
    <mergeCell ref="J378:J379"/>
    <mergeCell ref="J380:J381"/>
    <mergeCell ref="J382:J383"/>
    <mergeCell ref="J384:J385"/>
    <mergeCell ref="J386:J387"/>
    <mergeCell ref="J388:J389"/>
    <mergeCell ref="J391:J392"/>
    <mergeCell ref="J393:J394"/>
    <mergeCell ref="J395:J396"/>
    <mergeCell ref="J397:J398"/>
    <mergeCell ref="J399:J400"/>
    <mergeCell ref="J401:J402"/>
    <mergeCell ref="J403:J404"/>
    <mergeCell ref="J405:J406"/>
    <mergeCell ref="J407:J408"/>
    <mergeCell ref="J409:J410"/>
    <mergeCell ref="J411:J412"/>
    <mergeCell ref="J413:J414"/>
    <mergeCell ref="J415:J416"/>
    <mergeCell ref="J417:J418"/>
    <mergeCell ref="J419:J420"/>
    <mergeCell ref="J421:J422"/>
    <mergeCell ref="J423:J424"/>
    <mergeCell ref="J425:J426"/>
    <mergeCell ref="J427:J428"/>
    <mergeCell ref="J429:J430"/>
    <mergeCell ref="J431:J432"/>
    <mergeCell ref="J433:J434"/>
    <mergeCell ref="J435:J436"/>
    <mergeCell ref="J437:J438"/>
    <mergeCell ref="J439:J440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3:J484"/>
    <mergeCell ref="J485:J486"/>
    <mergeCell ref="J487:J488"/>
    <mergeCell ref="J489:J490"/>
    <mergeCell ref="J491:J492"/>
    <mergeCell ref="J493:J494"/>
    <mergeCell ref="J495:J496"/>
    <mergeCell ref="J497:J498"/>
    <mergeCell ref="J499:J500"/>
    <mergeCell ref="J501:J502"/>
    <mergeCell ref="J503:J504"/>
    <mergeCell ref="J505:J506"/>
    <mergeCell ref="J507:J508"/>
    <mergeCell ref="J510:J511"/>
    <mergeCell ref="J512:J513"/>
    <mergeCell ref="J514:J515"/>
    <mergeCell ref="J516:J517"/>
    <mergeCell ref="J518:J519"/>
    <mergeCell ref="J520:J521"/>
    <mergeCell ref="J522:J523"/>
    <mergeCell ref="J524:J525"/>
    <mergeCell ref="J526:J527"/>
    <mergeCell ref="J529:J530"/>
    <mergeCell ref="J531:J532"/>
    <mergeCell ref="J533:J534"/>
    <mergeCell ref="J536:J537"/>
    <mergeCell ref="J538:J539"/>
    <mergeCell ref="J540:J541"/>
    <mergeCell ref="J542:J543"/>
    <mergeCell ref="J544:J545"/>
    <mergeCell ref="J547:J548"/>
    <mergeCell ref="J549:J550"/>
    <mergeCell ref="J551:J552"/>
    <mergeCell ref="J553:J554"/>
    <mergeCell ref="J555:J556"/>
    <mergeCell ref="J557:J558"/>
    <mergeCell ref="J559:J560"/>
    <mergeCell ref="J561:J562"/>
    <mergeCell ref="J564:J565"/>
    <mergeCell ref="J566:J567"/>
    <mergeCell ref="J568:J569"/>
    <mergeCell ref="J570:J571"/>
    <mergeCell ref="J572:J573"/>
    <mergeCell ref="J574:J575"/>
    <mergeCell ref="J576:J577"/>
    <mergeCell ref="J578:J579"/>
    <mergeCell ref="J580:J581"/>
    <mergeCell ref="J582:J583"/>
    <mergeCell ref="J584:J585"/>
    <mergeCell ref="J586:J587"/>
    <mergeCell ref="J588:J589"/>
    <mergeCell ref="J590:J591"/>
    <mergeCell ref="J592:J593"/>
    <mergeCell ref="J594:J595"/>
    <mergeCell ref="J596:J597"/>
    <mergeCell ref="J598:J599"/>
    <mergeCell ref="J600:J601"/>
    <mergeCell ref="J602:J603"/>
    <mergeCell ref="J604:J605"/>
    <mergeCell ref="J606:J607"/>
    <mergeCell ref="J608:J609"/>
    <mergeCell ref="J610:J611"/>
    <mergeCell ref="J612:J613"/>
    <mergeCell ref="J614:J615"/>
    <mergeCell ref="J616:J617"/>
    <mergeCell ref="J618:J619"/>
    <mergeCell ref="J620:J621"/>
    <mergeCell ref="J622:J623"/>
    <mergeCell ref="J624:J625"/>
    <mergeCell ref="J626:J627"/>
    <mergeCell ref="J628:J629"/>
    <mergeCell ref="J630:J631"/>
    <mergeCell ref="J632:J633"/>
    <mergeCell ref="J634:J635"/>
    <mergeCell ref="J636:J637"/>
    <mergeCell ref="J638:J639"/>
    <mergeCell ref="J640:J641"/>
    <mergeCell ref="J642:J643"/>
    <mergeCell ref="J644:J645"/>
    <mergeCell ref="J646:J647"/>
    <mergeCell ref="J648:J649"/>
    <mergeCell ref="J650:J651"/>
    <mergeCell ref="J652:J653"/>
    <mergeCell ref="J654:J655"/>
    <mergeCell ref="J656:J657"/>
    <mergeCell ref="J658:J659"/>
    <mergeCell ref="J660:J661"/>
    <mergeCell ref="J662:J663"/>
    <mergeCell ref="J664:J665"/>
    <mergeCell ref="J666:J667"/>
    <mergeCell ref="J668:J669"/>
    <mergeCell ref="J670:J671"/>
    <mergeCell ref="J672:J673"/>
    <mergeCell ref="J674:J675"/>
    <mergeCell ref="J676:J677"/>
    <mergeCell ref="J678:J679"/>
    <mergeCell ref="J680:J681"/>
    <mergeCell ref="J682:J683"/>
    <mergeCell ref="J684:J685"/>
    <mergeCell ref="J686:J687"/>
    <mergeCell ref="J688:J689"/>
    <mergeCell ref="J690:J691"/>
    <mergeCell ref="J692:J693"/>
    <mergeCell ref="J694:J695"/>
    <mergeCell ref="J696:J697"/>
    <mergeCell ref="J698:J699"/>
    <mergeCell ref="J700:J701"/>
    <mergeCell ref="J702:J703"/>
    <mergeCell ref="J704:J705"/>
    <mergeCell ref="J706:J707"/>
    <mergeCell ref="J708:J709"/>
    <mergeCell ref="J710:J711"/>
    <mergeCell ref="J712:J713"/>
    <mergeCell ref="J714:J715"/>
    <mergeCell ref="J716:J717"/>
    <mergeCell ref="J718:J719"/>
    <mergeCell ref="J720:J721"/>
    <mergeCell ref="J722:J723"/>
    <mergeCell ref="J724:J725"/>
    <mergeCell ref="J726:J727"/>
    <mergeCell ref="J728:J729"/>
    <mergeCell ref="J730:J731"/>
    <mergeCell ref="J732:J733"/>
    <mergeCell ref="J734:J735"/>
    <mergeCell ref="J736:J737"/>
    <mergeCell ref="J738:J739"/>
    <mergeCell ref="J740:J741"/>
    <mergeCell ref="J742:J743"/>
    <mergeCell ref="J744:J745"/>
    <mergeCell ref="J746:J747"/>
    <mergeCell ref="J748:J749"/>
    <mergeCell ref="J750:J751"/>
    <mergeCell ref="J752:J753"/>
    <mergeCell ref="J754:J755"/>
    <mergeCell ref="J756:J757"/>
    <mergeCell ref="J758:J759"/>
    <mergeCell ref="J760:J761"/>
    <mergeCell ref="J762:J763"/>
    <mergeCell ref="J764:J765"/>
    <mergeCell ref="J766:J767"/>
    <mergeCell ref="J768:J769"/>
    <mergeCell ref="J770:J771"/>
    <mergeCell ref="J772:J773"/>
    <mergeCell ref="J774:J775"/>
    <mergeCell ref="J776:J777"/>
    <mergeCell ref="J778:J779"/>
    <mergeCell ref="J780:J781"/>
    <mergeCell ref="J782:J783"/>
    <mergeCell ref="J784:J785"/>
    <mergeCell ref="J786:J787"/>
    <mergeCell ref="J788:J789"/>
    <mergeCell ref="J790:J791"/>
    <mergeCell ref="J792:J793"/>
    <mergeCell ref="J794:J795"/>
    <mergeCell ref="J796:J797"/>
    <mergeCell ref="J798:J799"/>
    <mergeCell ref="J800:J801"/>
    <mergeCell ref="J802:J803"/>
    <mergeCell ref="J804:J805"/>
    <mergeCell ref="J806:J807"/>
    <mergeCell ref="J808:J809"/>
    <mergeCell ref="J810:J811"/>
    <mergeCell ref="J812:J813"/>
    <mergeCell ref="J814:J815"/>
    <mergeCell ref="J816:J817"/>
    <mergeCell ref="J818:J819"/>
    <mergeCell ref="J820:J821"/>
    <mergeCell ref="J822:J823"/>
    <mergeCell ref="J824:J825"/>
    <mergeCell ref="J826:J827"/>
    <mergeCell ref="J828:J829"/>
    <mergeCell ref="J830:J831"/>
    <mergeCell ref="J832:J833"/>
    <mergeCell ref="J834:J835"/>
    <mergeCell ref="J836:J837"/>
    <mergeCell ref="J838:J839"/>
    <mergeCell ref="J840:J841"/>
    <mergeCell ref="J842:J843"/>
    <mergeCell ref="J844:J845"/>
    <mergeCell ref="J846:J847"/>
    <mergeCell ref="J848:J849"/>
    <mergeCell ref="J850:J851"/>
    <mergeCell ref="J852:J853"/>
    <mergeCell ref="J854:J855"/>
    <mergeCell ref="J856:J857"/>
    <mergeCell ref="J858:J859"/>
    <mergeCell ref="J860:J861"/>
    <mergeCell ref="J863:J864"/>
    <mergeCell ref="J865:J866"/>
    <mergeCell ref="J867:J868"/>
    <mergeCell ref="J869:J870"/>
    <mergeCell ref="J871:J872"/>
    <mergeCell ref="J873:J874"/>
    <mergeCell ref="J875:J876"/>
    <mergeCell ref="J877:J878"/>
    <mergeCell ref="J879:J880"/>
    <mergeCell ref="J881:J882"/>
    <mergeCell ref="J883:J884"/>
    <mergeCell ref="J885:J886"/>
    <mergeCell ref="J887:J888"/>
    <mergeCell ref="J889:J890"/>
    <mergeCell ref="J891:J892"/>
    <mergeCell ref="J893:J894"/>
    <mergeCell ref="J895:J896"/>
    <mergeCell ref="J897:J898"/>
    <mergeCell ref="J899:J900"/>
    <mergeCell ref="J901:J902"/>
    <mergeCell ref="J903:J904"/>
    <mergeCell ref="J905:J906"/>
    <mergeCell ref="J909:J910"/>
    <mergeCell ref="J911:J912"/>
    <mergeCell ref="J913:J914"/>
    <mergeCell ref="J915:J916"/>
    <mergeCell ref="J917:J918"/>
    <mergeCell ref="J919:J920"/>
    <mergeCell ref="J921:J922"/>
    <mergeCell ref="J923:J924"/>
    <mergeCell ref="J925:J926"/>
    <mergeCell ref="J927:J928"/>
    <mergeCell ref="J929:J930"/>
    <mergeCell ref="J931:J932"/>
    <mergeCell ref="J933:J934"/>
    <mergeCell ref="J935:J936"/>
    <mergeCell ref="J937:J938"/>
    <mergeCell ref="J939:J940"/>
    <mergeCell ref="J941:J942"/>
    <mergeCell ref="J943:J944"/>
    <mergeCell ref="J945:J946"/>
    <mergeCell ref="J947:J948"/>
    <mergeCell ref="J949:J950"/>
    <mergeCell ref="J951:J952"/>
    <mergeCell ref="J953:J954"/>
    <mergeCell ref="J955:J956"/>
    <mergeCell ref="J957:J958"/>
    <mergeCell ref="J959:J960"/>
    <mergeCell ref="J961:J962"/>
    <mergeCell ref="J964:J965"/>
    <mergeCell ref="J966:J967"/>
    <mergeCell ref="J968:J969"/>
    <mergeCell ref="J970:J971"/>
    <mergeCell ref="J972:J973"/>
    <mergeCell ref="J974:J975"/>
    <mergeCell ref="J976:J977"/>
    <mergeCell ref="J978:J979"/>
    <mergeCell ref="J980:J981"/>
    <mergeCell ref="J982:J983"/>
    <mergeCell ref="J984:J985"/>
    <mergeCell ref="J986:J987"/>
    <mergeCell ref="J988:J989"/>
    <mergeCell ref="J990:J991"/>
    <mergeCell ref="J992:J993"/>
    <mergeCell ref="J994:J995"/>
    <mergeCell ref="J996:J997"/>
    <mergeCell ref="J998:J999"/>
    <mergeCell ref="J1000:J1001"/>
    <mergeCell ref="J1002:J1003"/>
    <mergeCell ref="J1004:J1005"/>
    <mergeCell ref="J1006:J1007"/>
    <mergeCell ref="J1008:J1009"/>
    <mergeCell ref="J1010:J1011"/>
    <mergeCell ref="J1012:J1013"/>
    <mergeCell ref="J1014:J1015"/>
    <mergeCell ref="J1016:J1017"/>
    <mergeCell ref="J1018:J1019"/>
    <mergeCell ref="J1020:J1021"/>
    <mergeCell ref="J1022:J1023"/>
    <mergeCell ref="J1024:J1025"/>
    <mergeCell ref="J1026:J1027"/>
    <mergeCell ref="J1028:J1029"/>
    <mergeCell ref="J1030:J1031"/>
    <mergeCell ref="J1032:J1033"/>
    <mergeCell ref="J1034:J1035"/>
    <mergeCell ref="J1036:J1037"/>
    <mergeCell ref="J1038:J1039"/>
    <mergeCell ref="J1040:J1041"/>
    <mergeCell ref="J1042:J1043"/>
    <mergeCell ref="J1044:J1045"/>
    <mergeCell ref="J1046:J1047"/>
    <mergeCell ref="J1048:J1049"/>
    <mergeCell ref="J1050:J1051"/>
    <mergeCell ref="J1052:J1053"/>
    <mergeCell ref="J1054:J1055"/>
    <mergeCell ref="J1056:J1057"/>
    <mergeCell ref="J1058:J1059"/>
    <mergeCell ref="J1060:J1061"/>
    <mergeCell ref="J1063:J1064"/>
    <mergeCell ref="J1065:J1066"/>
    <mergeCell ref="J1067:J1068"/>
    <mergeCell ref="J1069:J1070"/>
    <mergeCell ref="J1071:J1072"/>
    <mergeCell ref="J1073:J1074"/>
    <mergeCell ref="J1075:J1076"/>
    <mergeCell ref="J1077:J1078"/>
    <mergeCell ref="J1079:J1080"/>
    <mergeCell ref="J1081:J1082"/>
    <mergeCell ref="J1083:J1084"/>
    <mergeCell ref="J1085:J1086"/>
    <mergeCell ref="J1087:J1088"/>
    <mergeCell ref="J1089:J1090"/>
    <mergeCell ref="J1091:J1092"/>
    <mergeCell ref="J1093:J1094"/>
    <mergeCell ref="J1095:J1096"/>
    <mergeCell ref="J1097:J1098"/>
    <mergeCell ref="J1099:J1100"/>
    <mergeCell ref="J1101:J1102"/>
    <mergeCell ref="J1103:J1104"/>
    <mergeCell ref="J1105:J1106"/>
    <mergeCell ref="J1107:J1108"/>
    <mergeCell ref="J1109:J1110"/>
    <mergeCell ref="J1111:J1112"/>
    <mergeCell ref="J1113:J1114"/>
    <mergeCell ref="J1115:J1116"/>
    <mergeCell ref="J1117:J1118"/>
    <mergeCell ref="J1119:J1120"/>
    <mergeCell ref="J1121:J1122"/>
    <mergeCell ref="J1123:J1124"/>
    <mergeCell ref="J1125:J1126"/>
    <mergeCell ref="J1127:J1128"/>
    <mergeCell ref="J1129:J1130"/>
    <mergeCell ref="J1131:J1132"/>
    <mergeCell ref="J1133:J1134"/>
    <mergeCell ref="J1135:J1136"/>
    <mergeCell ref="J1137:J1138"/>
    <mergeCell ref="J1139:J1140"/>
    <mergeCell ref="J1141:J1142"/>
    <mergeCell ref="J1143:J1144"/>
    <mergeCell ref="J1145:J1146"/>
    <mergeCell ref="J1147:J1148"/>
    <mergeCell ref="J1149:J1150"/>
    <mergeCell ref="J1151:J1152"/>
    <mergeCell ref="J1153:J1154"/>
    <mergeCell ref="J1155:J1156"/>
    <mergeCell ref="J1157:J1158"/>
    <mergeCell ref="J1159:J1160"/>
    <mergeCell ref="J1161:J1162"/>
    <mergeCell ref="J1163:J1164"/>
    <mergeCell ref="J1165:J1166"/>
    <mergeCell ref="J1167:J1168"/>
    <mergeCell ref="J1169:J1170"/>
    <mergeCell ref="J1171:J1172"/>
    <mergeCell ref="J1173:J1174"/>
    <mergeCell ref="J1175:J1176"/>
    <mergeCell ref="J1177:J1178"/>
    <mergeCell ref="J1179:J1180"/>
    <mergeCell ref="J1181:J1182"/>
    <mergeCell ref="J1183:J1184"/>
    <mergeCell ref="J1185:J1186"/>
    <mergeCell ref="J1187:J1188"/>
    <mergeCell ref="J1189:J1190"/>
    <mergeCell ref="J1191:J1192"/>
    <mergeCell ref="J1193:J1194"/>
    <mergeCell ref="J1195:J1196"/>
    <mergeCell ref="J1197:J1198"/>
    <mergeCell ref="J1199:J1200"/>
    <mergeCell ref="J1201:J1202"/>
    <mergeCell ref="J1203:J1204"/>
    <mergeCell ref="J1205:J1206"/>
    <mergeCell ref="J1207:J1208"/>
    <mergeCell ref="J1209:J1210"/>
    <mergeCell ref="J1211:J1212"/>
    <mergeCell ref="J1213:J1214"/>
    <mergeCell ref="J1215:J1216"/>
    <mergeCell ref="J1217:J1218"/>
    <mergeCell ref="J1219:J1220"/>
    <mergeCell ref="J1221:J1222"/>
    <mergeCell ref="J1223:J1224"/>
    <mergeCell ref="J1225:J1226"/>
    <mergeCell ref="J1227:J1228"/>
    <mergeCell ref="J1229:J1230"/>
    <mergeCell ref="J1231:J1232"/>
    <mergeCell ref="J1233:J1234"/>
    <mergeCell ref="J1235:J1236"/>
    <mergeCell ref="K2:K3"/>
    <mergeCell ref="K4:K5"/>
    <mergeCell ref="K6:K7"/>
    <mergeCell ref="K8:K9"/>
    <mergeCell ref="K10:K11"/>
    <mergeCell ref="K12:K13"/>
    <mergeCell ref="K14:K15"/>
    <mergeCell ref="K505:K506"/>
    <mergeCell ref="K507:K508"/>
    <mergeCell ref="K512:K513"/>
    <mergeCell ref="K514:K515"/>
    <mergeCell ref="K516:K517"/>
    <mergeCell ref="K518:K519"/>
    <mergeCell ref="K520:K521"/>
    <mergeCell ref="K522:K523"/>
    <mergeCell ref="K524:K525"/>
    <mergeCell ref="K526:K527"/>
    <mergeCell ref="K529:K530"/>
    <mergeCell ref="K531:K532"/>
    <mergeCell ref="K533:K534"/>
    <mergeCell ref="K536:K537"/>
    <mergeCell ref="K538:K539"/>
    <mergeCell ref="K540:K541"/>
    <mergeCell ref="K542:K543"/>
    <mergeCell ref="K544:K545"/>
    <mergeCell ref="K547:K548"/>
    <mergeCell ref="K549:K550"/>
    <mergeCell ref="K551:K552"/>
    <mergeCell ref="K553:K554"/>
    <mergeCell ref="K555:K556"/>
    <mergeCell ref="K557:K558"/>
    <mergeCell ref="K559:K560"/>
    <mergeCell ref="K561:K562"/>
    <mergeCell ref="K564:K565"/>
    <mergeCell ref="K566:K567"/>
    <mergeCell ref="K568:K569"/>
    <mergeCell ref="K570:K571"/>
    <mergeCell ref="K572:K573"/>
    <mergeCell ref="K574:K575"/>
    <mergeCell ref="K576:K577"/>
    <mergeCell ref="K578:K579"/>
    <mergeCell ref="K580:K581"/>
    <mergeCell ref="K582:K583"/>
    <mergeCell ref="K584:K585"/>
    <mergeCell ref="K586:K587"/>
    <mergeCell ref="K588:K589"/>
    <mergeCell ref="K590:K591"/>
    <mergeCell ref="K592:K593"/>
    <mergeCell ref="K594:K595"/>
    <mergeCell ref="K596:K597"/>
    <mergeCell ref="K598:K599"/>
    <mergeCell ref="K600:K601"/>
    <mergeCell ref="K602:K603"/>
    <mergeCell ref="K604:K605"/>
    <mergeCell ref="K606:K607"/>
    <mergeCell ref="K608:K609"/>
    <mergeCell ref="K610:K611"/>
    <mergeCell ref="K612:K613"/>
    <mergeCell ref="K614:K615"/>
    <mergeCell ref="K616:K617"/>
    <mergeCell ref="K618:K619"/>
    <mergeCell ref="K620:K621"/>
    <mergeCell ref="K622:K623"/>
    <mergeCell ref="K624:K625"/>
    <mergeCell ref="K626:K627"/>
    <mergeCell ref="K628:K629"/>
    <mergeCell ref="K630:K631"/>
    <mergeCell ref="K632:K633"/>
    <mergeCell ref="K634:K635"/>
    <mergeCell ref="K636:K637"/>
    <mergeCell ref="K638:K639"/>
    <mergeCell ref="K640:K641"/>
    <mergeCell ref="K642:K643"/>
    <mergeCell ref="K644:K645"/>
    <mergeCell ref="K646:K647"/>
    <mergeCell ref="K648:K649"/>
    <mergeCell ref="K650:K651"/>
    <mergeCell ref="K652:K653"/>
    <mergeCell ref="K654:K655"/>
    <mergeCell ref="K656:K657"/>
    <mergeCell ref="K658:K659"/>
    <mergeCell ref="K660:K661"/>
    <mergeCell ref="K662:K663"/>
    <mergeCell ref="K664:K665"/>
    <mergeCell ref="K666:K667"/>
    <mergeCell ref="K668:K669"/>
    <mergeCell ref="K670:K671"/>
    <mergeCell ref="K672:K673"/>
    <mergeCell ref="K674:K675"/>
    <mergeCell ref="K676:K677"/>
    <mergeCell ref="K678:K679"/>
    <mergeCell ref="K680:K681"/>
    <mergeCell ref="K682:K683"/>
    <mergeCell ref="K684:K685"/>
    <mergeCell ref="K686:K687"/>
    <mergeCell ref="K688:K689"/>
    <mergeCell ref="K690:K691"/>
    <mergeCell ref="K692:K693"/>
    <mergeCell ref="K694:K695"/>
    <mergeCell ref="K696:K697"/>
    <mergeCell ref="K698:K699"/>
    <mergeCell ref="K700:K701"/>
    <mergeCell ref="K702:K703"/>
    <mergeCell ref="K704:K705"/>
    <mergeCell ref="K706:K707"/>
    <mergeCell ref="K708:K709"/>
    <mergeCell ref="K710:K711"/>
    <mergeCell ref="K712:K713"/>
    <mergeCell ref="K714:K715"/>
    <mergeCell ref="K716:K717"/>
    <mergeCell ref="K718:K719"/>
    <mergeCell ref="K720:K721"/>
    <mergeCell ref="K722:K723"/>
    <mergeCell ref="K724:K725"/>
    <mergeCell ref="K726:K727"/>
    <mergeCell ref="K728:K729"/>
    <mergeCell ref="K730:K731"/>
    <mergeCell ref="K732:K733"/>
    <mergeCell ref="K734:K735"/>
    <mergeCell ref="K736:K737"/>
    <mergeCell ref="K738:K739"/>
    <mergeCell ref="K740:K741"/>
    <mergeCell ref="K742:K743"/>
    <mergeCell ref="K744:K745"/>
    <mergeCell ref="K746:K747"/>
    <mergeCell ref="K748:K749"/>
    <mergeCell ref="K750:K751"/>
    <mergeCell ref="K752:K753"/>
    <mergeCell ref="K754:K755"/>
    <mergeCell ref="K756:K757"/>
    <mergeCell ref="K758:K759"/>
    <mergeCell ref="K760:K761"/>
    <mergeCell ref="K762:K763"/>
    <mergeCell ref="K764:K765"/>
    <mergeCell ref="K766:K767"/>
    <mergeCell ref="K768:K769"/>
    <mergeCell ref="K770:K771"/>
    <mergeCell ref="K772:K773"/>
    <mergeCell ref="K774:K775"/>
    <mergeCell ref="K776:K777"/>
    <mergeCell ref="K778:K779"/>
    <mergeCell ref="K780:K781"/>
    <mergeCell ref="K782:K783"/>
    <mergeCell ref="K784:K785"/>
    <mergeCell ref="K786:K787"/>
    <mergeCell ref="K788:K789"/>
    <mergeCell ref="K790:K791"/>
    <mergeCell ref="K792:K793"/>
    <mergeCell ref="K794:K795"/>
    <mergeCell ref="K796:K797"/>
    <mergeCell ref="K798:K799"/>
    <mergeCell ref="K800:K801"/>
    <mergeCell ref="K802:K803"/>
    <mergeCell ref="K804:K805"/>
    <mergeCell ref="K806:K807"/>
    <mergeCell ref="K808:K809"/>
    <mergeCell ref="K810:K811"/>
    <mergeCell ref="K812:K813"/>
    <mergeCell ref="K814:K815"/>
    <mergeCell ref="K816:K817"/>
    <mergeCell ref="K818:K819"/>
    <mergeCell ref="K820:K821"/>
    <mergeCell ref="K822:K823"/>
    <mergeCell ref="K824:K825"/>
    <mergeCell ref="K826:K827"/>
    <mergeCell ref="K828:K829"/>
    <mergeCell ref="K830:K831"/>
    <mergeCell ref="K832:K833"/>
    <mergeCell ref="K834:K835"/>
    <mergeCell ref="K836:K837"/>
    <mergeCell ref="K838:K839"/>
    <mergeCell ref="K840:K841"/>
    <mergeCell ref="K842:K843"/>
    <mergeCell ref="K844:K845"/>
    <mergeCell ref="K846:K847"/>
    <mergeCell ref="K848:K849"/>
    <mergeCell ref="K850:K851"/>
    <mergeCell ref="K852:K853"/>
    <mergeCell ref="K854:K855"/>
    <mergeCell ref="K856:K857"/>
    <mergeCell ref="K858:K859"/>
    <mergeCell ref="K860:K861"/>
    <mergeCell ref="K863:K864"/>
    <mergeCell ref="K865:K866"/>
    <mergeCell ref="K867:K868"/>
    <mergeCell ref="K869:K870"/>
    <mergeCell ref="K871:K872"/>
    <mergeCell ref="K873:K874"/>
    <mergeCell ref="K875:K876"/>
    <mergeCell ref="K877:K878"/>
    <mergeCell ref="K879:K880"/>
    <mergeCell ref="K881:K882"/>
    <mergeCell ref="K883:K884"/>
    <mergeCell ref="K885:K886"/>
    <mergeCell ref="K887:K888"/>
    <mergeCell ref="K889:K890"/>
    <mergeCell ref="K891:K892"/>
    <mergeCell ref="K893:K894"/>
    <mergeCell ref="K895:K896"/>
    <mergeCell ref="K897:K898"/>
    <mergeCell ref="K899:K900"/>
    <mergeCell ref="K901:K902"/>
    <mergeCell ref="K903:K904"/>
    <mergeCell ref="K905:K906"/>
    <mergeCell ref="K909:K910"/>
    <mergeCell ref="K911:K912"/>
    <mergeCell ref="K913:K914"/>
    <mergeCell ref="K915:K916"/>
    <mergeCell ref="K917:K918"/>
    <mergeCell ref="K919:K920"/>
    <mergeCell ref="K921:K922"/>
    <mergeCell ref="K923:K924"/>
    <mergeCell ref="K925:K926"/>
    <mergeCell ref="K927:K928"/>
    <mergeCell ref="K929:K930"/>
    <mergeCell ref="K931:K932"/>
    <mergeCell ref="K933:K934"/>
    <mergeCell ref="K935:K936"/>
    <mergeCell ref="K937:K938"/>
    <mergeCell ref="K939:K940"/>
    <mergeCell ref="K941:K942"/>
    <mergeCell ref="K943:K944"/>
    <mergeCell ref="K945:K946"/>
    <mergeCell ref="K947:K948"/>
    <mergeCell ref="K949:K950"/>
    <mergeCell ref="K951:K952"/>
    <mergeCell ref="K953:K954"/>
    <mergeCell ref="K955:K956"/>
    <mergeCell ref="K957:K958"/>
    <mergeCell ref="K959:K960"/>
    <mergeCell ref="K961:K962"/>
    <mergeCell ref="K964:K965"/>
    <mergeCell ref="K966:K967"/>
    <mergeCell ref="K968:K969"/>
    <mergeCell ref="K970:K971"/>
    <mergeCell ref="K972:K973"/>
    <mergeCell ref="K974:K975"/>
    <mergeCell ref="K976:K977"/>
    <mergeCell ref="K978:K979"/>
    <mergeCell ref="K980:K981"/>
    <mergeCell ref="K982:K983"/>
    <mergeCell ref="K984:K985"/>
    <mergeCell ref="K986:K987"/>
    <mergeCell ref="K988:K989"/>
    <mergeCell ref="K990:K991"/>
    <mergeCell ref="K992:K993"/>
    <mergeCell ref="K994:K995"/>
    <mergeCell ref="K996:K997"/>
    <mergeCell ref="K998:K999"/>
    <mergeCell ref="K1000:K1001"/>
    <mergeCell ref="K1002:K1003"/>
    <mergeCell ref="K1004:K1005"/>
    <mergeCell ref="K1006:K1007"/>
    <mergeCell ref="K1008:K1009"/>
    <mergeCell ref="K1010:K1011"/>
    <mergeCell ref="K1012:K1013"/>
    <mergeCell ref="K1014:K1015"/>
    <mergeCell ref="K1016:K1017"/>
    <mergeCell ref="K1018:K1019"/>
    <mergeCell ref="K1020:K1021"/>
    <mergeCell ref="K1022:K1023"/>
    <mergeCell ref="K1024:K1025"/>
    <mergeCell ref="K1026:K1027"/>
    <mergeCell ref="K1028:K1029"/>
    <mergeCell ref="K1030:K1031"/>
    <mergeCell ref="K1032:K1033"/>
    <mergeCell ref="K1034:K1035"/>
    <mergeCell ref="K1036:K1037"/>
    <mergeCell ref="K1038:K1039"/>
    <mergeCell ref="K1040:K1041"/>
    <mergeCell ref="K1042:K1043"/>
    <mergeCell ref="K1044:K1045"/>
    <mergeCell ref="K1046:K1047"/>
    <mergeCell ref="K1048:K1049"/>
    <mergeCell ref="K1050:K1051"/>
    <mergeCell ref="K1052:K1053"/>
    <mergeCell ref="K1054:K1055"/>
    <mergeCell ref="K1056:K1057"/>
    <mergeCell ref="K1058:K1059"/>
    <mergeCell ref="K1060:K1061"/>
    <mergeCell ref="K1063:K1064"/>
    <mergeCell ref="K1065:K1066"/>
    <mergeCell ref="K1067:K1068"/>
    <mergeCell ref="K1069:K1070"/>
    <mergeCell ref="K1071:K1072"/>
    <mergeCell ref="K1073:K1074"/>
    <mergeCell ref="K1075:K1076"/>
    <mergeCell ref="K1077:K1078"/>
    <mergeCell ref="K1079:K1080"/>
    <mergeCell ref="K1081:K1082"/>
    <mergeCell ref="K1083:K1084"/>
    <mergeCell ref="K1085:K1086"/>
    <mergeCell ref="K1087:K1088"/>
    <mergeCell ref="K1089:K1090"/>
    <mergeCell ref="K1091:K1092"/>
    <mergeCell ref="K1093:K1094"/>
    <mergeCell ref="K1095:K1096"/>
    <mergeCell ref="K1097:K1098"/>
    <mergeCell ref="K1099:K1100"/>
    <mergeCell ref="K1101:K1102"/>
    <mergeCell ref="K1103:K1104"/>
    <mergeCell ref="K1105:K1106"/>
    <mergeCell ref="K1107:K1108"/>
    <mergeCell ref="K1109:K1110"/>
    <mergeCell ref="K1111:K1112"/>
    <mergeCell ref="K1113:K1114"/>
    <mergeCell ref="K1115:K1116"/>
    <mergeCell ref="K1117:K1118"/>
    <mergeCell ref="K1119:K1120"/>
    <mergeCell ref="K1121:K1122"/>
    <mergeCell ref="K1123:K1124"/>
    <mergeCell ref="K1125:K1126"/>
    <mergeCell ref="K1127:K1128"/>
    <mergeCell ref="K1129:K1130"/>
    <mergeCell ref="K1131:K1132"/>
    <mergeCell ref="K1133:K1134"/>
    <mergeCell ref="K1135:K1136"/>
    <mergeCell ref="K1137:K1138"/>
    <mergeCell ref="K1139:K1140"/>
    <mergeCell ref="K1141:K1142"/>
    <mergeCell ref="K1143:K1144"/>
    <mergeCell ref="K1145:K1146"/>
    <mergeCell ref="K1147:K1148"/>
    <mergeCell ref="K1149:K1150"/>
    <mergeCell ref="K1151:K1152"/>
    <mergeCell ref="K1153:K1154"/>
    <mergeCell ref="K1155:K1156"/>
    <mergeCell ref="K1157:K1158"/>
    <mergeCell ref="K1159:K1160"/>
    <mergeCell ref="K1161:K1162"/>
    <mergeCell ref="K1163:K1164"/>
    <mergeCell ref="K1165:K1166"/>
    <mergeCell ref="K1167:K1168"/>
    <mergeCell ref="K1169:K1170"/>
    <mergeCell ref="K1171:K1172"/>
    <mergeCell ref="K1173:K1174"/>
    <mergeCell ref="K1175:K1176"/>
    <mergeCell ref="K1177:K1178"/>
    <mergeCell ref="K1179:K1180"/>
    <mergeCell ref="K1181:K1182"/>
    <mergeCell ref="K1183:K1184"/>
    <mergeCell ref="K1185:K1186"/>
    <mergeCell ref="K1187:K1188"/>
    <mergeCell ref="K1189:K1190"/>
    <mergeCell ref="K1191:K1192"/>
    <mergeCell ref="K1193:K1194"/>
    <mergeCell ref="K1195:K1196"/>
    <mergeCell ref="K1197:K1198"/>
    <mergeCell ref="K1199:K1200"/>
    <mergeCell ref="K1201:K1202"/>
    <mergeCell ref="K1203:K1204"/>
    <mergeCell ref="K1205:K1206"/>
    <mergeCell ref="K1207:K1208"/>
    <mergeCell ref="K1209:K1210"/>
    <mergeCell ref="K1211:K1212"/>
    <mergeCell ref="K1213:K1214"/>
    <mergeCell ref="K1215:K1216"/>
    <mergeCell ref="K1217:K1218"/>
    <mergeCell ref="K1219:K1220"/>
    <mergeCell ref="K1221:K1222"/>
    <mergeCell ref="K1223:K1224"/>
    <mergeCell ref="K1225:K1226"/>
    <mergeCell ref="K1227:K1228"/>
    <mergeCell ref="K1229:K1230"/>
    <mergeCell ref="K1231:K1232"/>
    <mergeCell ref="K1233:K1234"/>
    <mergeCell ref="L104:L105"/>
    <mergeCell ref="L106:L107"/>
    <mergeCell ref="L108:L109"/>
    <mergeCell ref="L110:L111"/>
    <mergeCell ref="L112:L113"/>
    <mergeCell ref="L115:L116"/>
    <mergeCell ref="L117:L118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6:L147"/>
    <mergeCell ref="L148:L149"/>
    <mergeCell ref="L150:L151"/>
    <mergeCell ref="L152:L153"/>
    <mergeCell ref="L154:L155"/>
    <mergeCell ref="L157:L158"/>
    <mergeCell ref="L159:L160"/>
    <mergeCell ref="L161:L162"/>
    <mergeCell ref="L163:L164"/>
    <mergeCell ref="L165:L166"/>
    <mergeCell ref="L168:L169"/>
    <mergeCell ref="L170:L171"/>
    <mergeCell ref="L172:L173"/>
    <mergeCell ref="L175:L176"/>
    <mergeCell ref="L178:L179"/>
    <mergeCell ref="L180:L181"/>
    <mergeCell ref="L182:L183"/>
    <mergeCell ref="L184:L185"/>
    <mergeCell ref="L187:L188"/>
    <mergeCell ref="L189:L190"/>
    <mergeCell ref="L191:L192"/>
    <mergeCell ref="L193:L194"/>
    <mergeCell ref="L195:L196"/>
    <mergeCell ref="L197:L198"/>
    <mergeCell ref="L199:L200"/>
    <mergeCell ref="L202:L203"/>
    <mergeCell ref="L204:L205"/>
    <mergeCell ref="L206:L207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9:L270"/>
    <mergeCell ref="L271:L272"/>
    <mergeCell ref="L273:L274"/>
    <mergeCell ref="L275:L276"/>
    <mergeCell ref="L277:L278"/>
    <mergeCell ref="L279:L280"/>
    <mergeCell ref="L281:L282"/>
    <mergeCell ref="L283:L284"/>
    <mergeCell ref="L286:L287"/>
    <mergeCell ref="L288:L289"/>
    <mergeCell ref="L291:L292"/>
    <mergeCell ref="L293:L294"/>
    <mergeCell ref="L296:L297"/>
    <mergeCell ref="L298:L299"/>
    <mergeCell ref="L300:L301"/>
    <mergeCell ref="L302:L303"/>
    <mergeCell ref="L305:L306"/>
    <mergeCell ref="L307:L308"/>
    <mergeCell ref="L309:L310"/>
    <mergeCell ref="L311:L312"/>
    <mergeCell ref="L313:L314"/>
    <mergeCell ref="L315:L316"/>
    <mergeCell ref="L317:L318"/>
    <mergeCell ref="L319:L320"/>
    <mergeCell ref="L321:L322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3:L364"/>
    <mergeCell ref="L365:L366"/>
    <mergeCell ref="L367:L368"/>
    <mergeCell ref="L369:L370"/>
    <mergeCell ref="L371:L372"/>
    <mergeCell ref="L373:L374"/>
    <mergeCell ref="L376:L377"/>
    <mergeCell ref="L378:L379"/>
    <mergeCell ref="L380:L381"/>
    <mergeCell ref="L382:L383"/>
    <mergeCell ref="L384:L385"/>
    <mergeCell ref="L386:L387"/>
    <mergeCell ref="L388:L389"/>
    <mergeCell ref="L391:L392"/>
    <mergeCell ref="L393:L394"/>
    <mergeCell ref="L395:L396"/>
    <mergeCell ref="L397:L398"/>
    <mergeCell ref="L399:L400"/>
    <mergeCell ref="L401:L402"/>
    <mergeCell ref="L403:L404"/>
    <mergeCell ref="L405:L406"/>
    <mergeCell ref="L407:L408"/>
    <mergeCell ref="L409:L410"/>
    <mergeCell ref="L411:L412"/>
    <mergeCell ref="L413:L414"/>
    <mergeCell ref="L415:L416"/>
    <mergeCell ref="L417:L418"/>
    <mergeCell ref="L419:L420"/>
    <mergeCell ref="L421:L422"/>
    <mergeCell ref="L423:L424"/>
    <mergeCell ref="L425:L426"/>
    <mergeCell ref="L427:L428"/>
    <mergeCell ref="L429:L430"/>
    <mergeCell ref="L431:L432"/>
    <mergeCell ref="L433:L434"/>
    <mergeCell ref="L435:L436"/>
    <mergeCell ref="L437:L438"/>
    <mergeCell ref="L439:L440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3:L484"/>
    <mergeCell ref="L485:L486"/>
    <mergeCell ref="L487:L488"/>
    <mergeCell ref="L489:L490"/>
    <mergeCell ref="L491:L492"/>
    <mergeCell ref="L493:L494"/>
    <mergeCell ref="L495:L496"/>
    <mergeCell ref="L497:L498"/>
    <mergeCell ref="L499:L500"/>
    <mergeCell ref="L501:L502"/>
    <mergeCell ref="L503:L504"/>
    <mergeCell ref="L505:L506"/>
    <mergeCell ref="L507:L508"/>
    <mergeCell ref="L510:L511"/>
    <mergeCell ref="L512:L513"/>
    <mergeCell ref="L514:L515"/>
    <mergeCell ref="L516:L517"/>
    <mergeCell ref="L518:L519"/>
    <mergeCell ref="L520:L521"/>
    <mergeCell ref="L522:L523"/>
    <mergeCell ref="L524:L525"/>
    <mergeCell ref="L526:L527"/>
    <mergeCell ref="L529:L530"/>
    <mergeCell ref="L531:L532"/>
    <mergeCell ref="L533:L534"/>
    <mergeCell ref="L536:L537"/>
    <mergeCell ref="L538:L539"/>
    <mergeCell ref="L540:L541"/>
    <mergeCell ref="L542:L543"/>
    <mergeCell ref="L544:L545"/>
    <mergeCell ref="L547:L548"/>
    <mergeCell ref="L549:L550"/>
    <mergeCell ref="L551:L552"/>
    <mergeCell ref="L553:L554"/>
    <mergeCell ref="L555:L556"/>
    <mergeCell ref="L557:L558"/>
    <mergeCell ref="L559:L560"/>
    <mergeCell ref="L561:L562"/>
    <mergeCell ref="L564:L565"/>
    <mergeCell ref="L566:L567"/>
    <mergeCell ref="L568:L569"/>
    <mergeCell ref="L570:L571"/>
    <mergeCell ref="L572:L573"/>
    <mergeCell ref="L574:L575"/>
    <mergeCell ref="L576:L577"/>
    <mergeCell ref="L578:L579"/>
    <mergeCell ref="L580:L581"/>
    <mergeCell ref="L582:L583"/>
    <mergeCell ref="L584:L585"/>
    <mergeCell ref="L586:L587"/>
    <mergeCell ref="L588:L589"/>
    <mergeCell ref="L590:L591"/>
    <mergeCell ref="L592:L593"/>
    <mergeCell ref="L594:L595"/>
    <mergeCell ref="L596:L597"/>
    <mergeCell ref="L598:L599"/>
    <mergeCell ref="L600:L601"/>
    <mergeCell ref="L602:L603"/>
    <mergeCell ref="L604:L605"/>
    <mergeCell ref="L606:L607"/>
    <mergeCell ref="L608:L609"/>
    <mergeCell ref="L610:L611"/>
    <mergeCell ref="L612:L613"/>
    <mergeCell ref="L614:L615"/>
    <mergeCell ref="L616:L617"/>
    <mergeCell ref="L618:L619"/>
    <mergeCell ref="L620:L621"/>
    <mergeCell ref="L622:L623"/>
    <mergeCell ref="L624:L625"/>
    <mergeCell ref="L626:L627"/>
    <mergeCell ref="L628:L629"/>
    <mergeCell ref="L630:L631"/>
    <mergeCell ref="L632:L633"/>
    <mergeCell ref="L634:L635"/>
    <mergeCell ref="L636:L637"/>
    <mergeCell ref="L638:L639"/>
    <mergeCell ref="L640:L641"/>
    <mergeCell ref="L642:L643"/>
    <mergeCell ref="L644:L645"/>
    <mergeCell ref="L646:L647"/>
    <mergeCell ref="L648:L649"/>
    <mergeCell ref="L650:L651"/>
    <mergeCell ref="L652:L653"/>
    <mergeCell ref="L654:L655"/>
    <mergeCell ref="L656:L657"/>
    <mergeCell ref="L658:L659"/>
    <mergeCell ref="L660:L661"/>
    <mergeCell ref="L662:L663"/>
    <mergeCell ref="L664:L665"/>
    <mergeCell ref="L666:L667"/>
    <mergeCell ref="L668:L669"/>
    <mergeCell ref="L670:L671"/>
    <mergeCell ref="L672:L673"/>
    <mergeCell ref="L674:L675"/>
    <mergeCell ref="L676:L677"/>
    <mergeCell ref="L678:L679"/>
    <mergeCell ref="L680:L681"/>
    <mergeCell ref="L682:L683"/>
    <mergeCell ref="L684:L685"/>
    <mergeCell ref="L686:L687"/>
    <mergeCell ref="L688:L689"/>
    <mergeCell ref="L690:L691"/>
    <mergeCell ref="L692:L693"/>
    <mergeCell ref="L694:L695"/>
    <mergeCell ref="L696:L697"/>
    <mergeCell ref="L698:L699"/>
    <mergeCell ref="L700:L701"/>
    <mergeCell ref="L702:L703"/>
    <mergeCell ref="L704:L705"/>
    <mergeCell ref="L706:L707"/>
    <mergeCell ref="L708:L709"/>
    <mergeCell ref="L710:L711"/>
    <mergeCell ref="L712:L713"/>
    <mergeCell ref="L714:L715"/>
    <mergeCell ref="L716:L717"/>
    <mergeCell ref="L718:L719"/>
    <mergeCell ref="L720:L721"/>
    <mergeCell ref="L722:L723"/>
    <mergeCell ref="L724:L725"/>
    <mergeCell ref="L726:L727"/>
    <mergeCell ref="L728:L729"/>
    <mergeCell ref="L730:L731"/>
    <mergeCell ref="L732:L733"/>
    <mergeCell ref="L734:L735"/>
    <mergeCell ref="L736:L737"/>
    <mergeCell ref="L738:L739"/>
    <mergeCell ref="L740:L741"/>
    <mergeCell ref="L742:L743"/>
    <mergeCell ref="L744:L745"/>
    <mergeCell ref="L746:L747"/>
    <mergeCell ref="L748:L749"/>
    <mergeCell ref="L750:L751"/>
    <mergeCell ref="L752:L753"/>
    <mergeCell ref="L754:L755"/>
    <mergeCell ref="L756:L757"/>
    <mergeCell ref="L758:L759"/>
    <mergeCell ref="L760:L761"/>
    <mergeCell ref="L762:L763"/>
    <mergeCell ref="L764:L765"/>
    <mergeCell ref="L766:L767"/>
    <mergeCell ref="L768:L769"/>
    <mergeCell ref="L770:L771"/>
    <mergeCell ref="L772:L773"/>
    <mergeCell ref="L774:L775"/>
    <mergeCell ref="L776:L777"/>
    <mergeCell ref="L778:L779"/>
    <mergeCell ref="L780:L781"/>
    <mergeCell ref="L782:L783"/>
    <mergeCell ref="L784:L785"/>
    <mergeCell ref="L786:L787"/>
    <mergeCell ref="L788:L789"/>
    <mergeCell ref="L790:L791"/>
    <mergeCell ref="L792:L793"/>
    <mergeCell ref="L794:L795"/>
    <mergeCell ref="L796:L797"/>
    <mergeCell ref="L798:L799"/>
    <mergeCell ref="L800:L801"/>
    <mergeCell ref="L802:L803"/>
    <mergeCell ref="L804:L805"/>
    <mergeCell ref="L806:L807"/>
    <mergeCell ref="L808:L809"/>
    <mergeCell ref="L810:L811"/>
    <mergeCell ref="L812:L813"/>
    <mergeCell ref="L814:L815"/>
    <mergeCell ref="L816:L817"/>
    <mergeCell ref="L818:L819"/>
    <mergeCell ref="L820:L821"/>
    <mergeCell ref="L822:L823"/>
    <mergeCell ref="L824:L825"/>
    <mergeCell ref="L826:L827"/>
    <mergeCell ref="L828:L829"/>
    <mergeCell ref="L830:L831"/>
    <mergeCell ref="L832:L833"/>
    <mergeCell ref="L834:L835"/>
    <mergeCell ref="L836:L837"/>
    <mergeCell ref="L838:L839"/>
    <mergeCell ref="L840:L841"/>
    <mergeCell ref="L842:L843"/>
    <mergeCell ref="L844:L845"/>
    <mergeCell ref="L846:L847"/>
    <mergeCell ref="L848:L849"/>
    <mergeCell ref="L850:L851"/>
    <mergeCell ref="L852:L853"/>
    <mergeCell ref="L854:L855"/>
    <mergeCell ref="L856:L857"/>
    <mergeCell ref="L858:L859"/>
    <mergeCell ref="L860:L861"/>
    <mergeCell ref="L863:L864"/>
    <mergeCell ref="L865:L866"/>
    <mergeCell ref="L867:L868"/>
    <mergeCell ref="L869:L870"/>
    <mergeCell ref="L871:L872"/>
    <mergeCell ref="L873:L874"/>
    <mergeCell ref="L875:L876"/>
    <mergeCell ref="L877:L878"/>
    <mergeCell ref="L879:L880"/>
    <mergeCell ref="L881:L882"/>
    <mergeCell ref="L883:L884"/>
    <mergeCell ref="L885:L886"/>
    <mergeCell ref="L887:L888"/>
    <mergeCell ref="L889:L890"/>
    <mergeCell ref="L891:L892"/>
    <mergeCell ref="L893:L894"/>
    <mergeCell ref="L895:L896"/>
    <mergeCell ref="L897:L898"/>
    <mergeCell ref="L899:L900"/>
    <mergeCell ref="L901:L902"/>
    <mergeCell ref="L903:L904"/>
    <mergeCell ref="L905:L906"/>
    <mergeCell ref="L909:L910"/>
    <mergeCell ref="L911:L912"/>
    <mergeCell ref="L913:L914"/>
    <mergeCell ref="L915:L916"/>
    <mergeCell ref="L917:L918"/>
    <mergeCell ref="L919:L920"/>
    <mergeCell ref="L921:L922"/>
    <mergeCell ref="L923:L924"/>
    <mergeCell ref="L925:L926"/>
    <mergeCell ref="L927:L928"/>
    <mergeCell ref="L929:L930"/>
    <mergeCell ref="L931:L932"/>
    <mergeCell ref="L933:L934"/>
    <mergeCell ref="L935:L936"/>
    <mergeCell ref="L937:L938"/>
    <mergeCell ref="L939:L940"/>
    <mergeCell ref="L941:L942"/>
    <mergeCell ref="L943:L944"/>
    <mergeCell ref="L945:L946"/>
    <mergeCell ref="L947:L948"/>
    <mergeCell ref="L949:L950"/>
    <mergeCell ref="L951:L952"/>
    <mergeCell ref="L953:L954"/>
    <mergeCell ref="L955:L956"/>
    <mergeCell ref="L957:L958"/>
    <mergeCell ref="L959:L960"/>
    <mergeCell ref="L961:L962"/>
    <mergeCell ref="L964:L965"/>
    <mergeCell ref="L966:L967"/>
    <mergeCell ref="L968:L969"/>
    <mergeCell ref="L970:L971"/>
    <mergeCell ref="L972:L973"/>
    <mergeCell ref="L974:L975"/>
    <mergeCell ref="L976:L977"/>
    <mergeCell ref="L978:L979"/>
    <mergeCell ref="L980:L981"/>
    <mergeCell ref="L982:L983"/>
    <mergeCell ref="L984:L985"/>
    <mergeCell ref="L986:L987"/>
    <mergeCell ref="L988:L989"/>
    <mergeCell ref="L990:L991"/>
    <mergeCell ref="L992:L993"/>
    <mergeCell ref="L994:L995"/>
    <mergeCell ref="L996:L997"/>
    <mergeCell ref="L998:L999"/>
    <mergeCell ref="L1000:L1001"/>
    <mergeCell ref="L1002:L1003"/>
    <mergeCell ref="L1004:L1005"/>
    <mergeCell ref="L1006:L1007"/>
    <mergeCell ref="L1008:L1009"/>
    <mergeCell ref="L1010:L1011"/>
    <mergeCell ref="L1012:L1013"/>
    <mergeCell ref="L1014:L1015"/>
    <mergeCell ref="L1016:L1017"/>
    <mergeCell ref="L1018:L1019"/>
    <mergeCell ref="L1020:L1021"/>
    <mergeCell ref="L1022:L1023"/>
    <mergeCell ref="L1024:L1025"/>
    <mergeCell ref="L1026:L1027"/>
    <mergeCell ref="L1028:L1029"/>
    <mergeCell ref="L1030:L1031"/>
    <mergeCell ref="L1032:L1033"/>
    <mergeCell ref="L1034:L1035"/>
    <mergeCell ref="L1036:L1037"/>
    <mergeCell ref="L1038:L1039"/>
    <mergeCell ref="L1040:L1041"/>
    <mergeCell ref="L1042:L1043"/>
    <mergeCell ref="L1044:L1045"/>
    <mergeCell ref="L1046:L1047"/>
    <mergeCell ref="L1048:L1049"/>
    <mergeCell ref="L1050:L1051"/>
    <mergeCell ref="L1052:L1053"/>
    <mergeCell ref="L1054:L1055"/>
    <mergeCell ref="L1056:L1057"/>
    <mergeCell ref="L1058:L1059"/>
    <mergeCell ref="L1060:L1061"/>
    <mergeCell ref="L1063:L1064"/>
    <mergeCell ref="L1065:L1066"/>
    <mergeCell ref="L1067:L1068"/>
    <mergeCell ref="L1069:L1070"/>
    <mergeCell ref="L1071:L1072"/>
    <mergeCell ref="L1073:L1074"/>
    <mergeCell ref="L1075:L1076"/>
    <mergeCell ref="L1077:L1078"/>
    <mergeCell ref="L1079:L1080"/>
    <mergeCell ref="L1081:L1082"/>
    <mergeCell ref="L1083:L1084"/>
    <mergeCell ref="L1085:L1086"/>
    <mergeCell ref="L1087:L1088"/>
    <mergeCell ref="L1089:L1090"/>
    <mergeCell ref="L1091:L1092"/>
    <mergeCell ref="L1093:L1094"/>
    <mergeCell ref="L1095:L1096"/>
    <mergeCell ref="L1097:L1098"/>
    <mergeCell ref="L1099:L1100"/>
    <mergeCell ref="L1101:L1102"/>
    <mergeCell ref="L1103:L1104"/>
    <mergeCell ref="L1105:L1106"/>
    <mergeCell ref="L1107:L1108"/>
    <mergeCell ref="L1109:L1110"/>
    <mergeCell ref="L1111:L1112"/>
    <mergeCell ref="L1113:L1114"/>
    <mergeCell ref="L1115:L1116"/>
    <mergeCell ref="L1117:L1118"/>
    <mergeCell ref="L1119:L1120"/>
    <mergeCell ref="L1121:L1122"/>
    <mergeCell ref="L1123:L1124"/>
    <mergeCell ref="L1125:L1126"/>
    <mergeCell ref="L1127:L1128"/>
    <mergeCell ref="L1129:L1130"/>
    <mergeCell ref="L1131:L1132"/>
    <mergeCell ref="L1133:L1134"/>
    <mergeCell ref="L1135:L1136"/>
    <mergeCell ref="L1137:L1138"/>
    <mergeCell ref="L1139:L1140"/>
    <mergeCell ref="L1141:L1142"/>
    <mergeCell ref="L1143:L1144"/>
    <mergeCell ref="L1145:L1146"/>
    <mergeCell ref="L1147:L1148"/>
    <mergeCell ref="L1149:L1150"/>
    <mergeCell ref="L1151:L1152"/>
    <mergeCell ref="L1153:L1154"/>
    <mergeCell ref="L1155:L1156"/>
    <mergeCell ref="L1157:L1158"/>
    <mergeCell ref="L1159:L1160"/>
    <mergeCell ref="L1161:L1162"/>
    <mergeCell ref="L1163:L1164"/>
    <mergeCell ref="L1165:L1166"/>
    <mergeCell ref="L1167:L1168"/>
    <mergeCell ref="L1169:L1170"/>
    <mergeCell ref="L1171:L1172"/>
    <mergeCell ref="L1173:L1174"/>
    <mergeCell ref="L1175:L1176"/>
    <mergeCell ref="L1177:L1178"/>
    <mergeCell ref="L1179:L1180"/>
    <mergeCell ref="L1181:L1182"/>
    <mergeCell ref="L1183:L1184"/>
    <mergeCell ref="L1185:L1186"/>
    <mergeCell ref="L1187:L1188"/>
    <mergeCell ref="L1189:L1190"/>
    <mergeCell ref="L1191:L1192"/>
    <mergeCell ref="L1193:L1194"/>
    <mergeCell ref="L1195:L1196"/>
    <mergeCell ref="L1197:L1198"/>
    <mergeCell ref="L1199:L1200"/>
    <mergeCell ref="L1201:L1202"/>
    <mergeCell ref="L1203:L1204"/>
    <mergeCell ref="L1205:L1206"/>
    <mergeCell ref="L1207:L1208"/>
    <mergeCell ref="L1209:L1210"/>
    <mergeCell ref="L1211:L1212"/>
    <mergeCell ref="L1213:L1214"/>
    <mergeCell ref="L1215:L1216"/>
    <mergeCell ref="L1217:L1218"/>
    <mergeCell ref="L1219:L1220"/>
    <mergeCell ref="L1221:L1222"/>
    <mergeCell ref="L1223:L1224"/>
    <mergeCell ref="L1225:L1226"/>
    <mergeCell ref="L1227:L1228"/>
    <mergeCell ref="L1229:L1230"/>
    <mergeCell ref="L1231:L1232"/>
    <mergeCell ref="L1233:L1234"/>
    <mergeCell ref="M1079:M1080"/>
    <mergeCell ref="M1081:M1082"/>
    <mergeCell ref="M1083:M1084"/>
    <mergeCell ref="M1085:M1086"/>
    <mergeCell ref="M1087:M1088"/>
    <mergeCell ref="M1089:M1090"/>
    <mergeCell ref="M1091:M1092"/>
    <mergeCell ref="M1093:M1094"/>
    <mergeCell ref="M1095:M1096"/>
    <mergeCell ref="M1097:M1098"/>
    <mergeCell ref="M1099:M1100"/>
    <mergeCell ref="M1101:M1102"/>
    <mergeCell ref="M1103:M1104"/>
    <mergeCell ref="M1105:M1106"/>
    <mergeCell ref="M1107:M1108"/>
    <mergeCell ref="M1109:M1110"/>
    <mergeCell ref="M1111:M1112"/>
    <mergeCell ref="M1113:M1114"/>
    <mergeCell ref="M1115:M1116"/>
    <mergeCell ref="M1117:M1118"/>
    <mergeCell ref="M1167:M1168"/>
    <mergeCell ref="M1169:M1170"/>
    <mergeCell ref="M1171:M1172"/>
    <mergeCell ref="M1173:M1174"/>
    <mergeCell ref="M1175:M1176"/>
    <mergeCell ref="M1177:M1178"/>
    <mergeCell ref="M1179:M1180"/>
    <mergeCell ref="M1181:M1182"/>
    <mergeCell ref="M1183:M1184"/>
    <mergeCell ref="M1185:M1186"/>
    <mergeCell ref="M1187:M1188"/>
    <mergeCell ref="M1189:M1190"/>
    <mergeCell ref="M1191:M1192"/>
    <mergeCell ref="M1193:M1194"/>
    <mergeCell ref="M1195:M1196"/>
    <mergeCell ref="M1197:M1198"/>
    <mergeCell ref="M1209:M1210"/>
    <mergeCell ref="M1211:M1212"/>
    <mergeCell ref="M1213:M1214"/>
    <mergeCell ref="M1215:M1216"/>
    <mergeCell ref="N1167:N1168"/>
    <mergeCell ref="N1169:N1170"/>
    <mergeCell ref="N1171:N1172"/>
    <mergeCell ref="N1173:N1174"/>
    <mergeCell ref="N1175:N1176"/>
    <mergeCell ref="N1177:N1178"/>
    <mergeCell ref="N1179:N1180"/>
    <mergeCell ref="N1181:N1182"/>
    <mergeCell ref="N1183:N1184"/>
    <mergeCell ref="N1185:N1186"/>
    <mergeCell ref="N1187:N1188"/>
    <mergeCell ref="N1189:N1190"/>
    <mergeCell ref="N1191:N1192"/>
    <mergeCell ref="N1193:N1194"/>
    <mergeCell ref="N1195:N1196"/>
    <mergeCell ref="N1197:N1198"/>
    <mergeCell ref="N1201:N1202"/>
    <mergeCell ref="N1203:N1204"/>
    <mergeCell ref="N1205:N1206"/>
    <mergeCell ref="N1207:N1208"/>
    <mergeCell ref="N1209:N1210"/>
    <mergeCell ref="N1211:N1212"/>
    <mergeCell ref="N1213:N1214"/>
    <mergeCell ref="N1215:N1216"/>
    <mergeCell ref="N1217:N1218"/>
    <mergeCell ref="N1219:N1220"/>
    <mergeCell ref="N1221:N1222"/>
    <mergeCell ref="N1227:N1228"/>
    <mergeCell ref="N1229:N1230"/>
    <mergeCell ref="N1231:N1232"/>
    <mergeCell ref="N1233:N1234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146"/>
  <sheetViews>
    <sheetView zoomScale="85" zoomScaleNormal="85" workbookViewId="0">
      <pane ySplit="1" topLeftCell="A125" activePane="bottomLeft" state="frozen"/>
      <selection/>
      <selection pane="bottomLeft" activeCell="K157" sqref="K157"/>
    </sheetView>
  </sheetViews>
  <sheetFormatPr defaultColWidth="9" defaultRowHeight="17.25"/>
  <cols>
    <col min="1" max="1" width="9" style="293"/>
    <col min="2" max="2" width="14.875" style="293" customWidth="1"/>
    <col min="3" max="3" width="17.875" style="293" customWidth="1"/>
    <col min="4" max="4" width="12.625" style="293" customWidth="1"/>
    <col min="5" max="5" width="12.875" style="293" customWidth="1"/>
    <col min="6" max="6" width="13.625" style="293" customWidth="1"/>
    <col min="7" max="7" width="10" style="293" customWidth="1"/>
    <col min="8" max="8" width="23.25" style="293" customWidth="1"/>
    <col min="9" max="9" width="9" style="293"/>
    <col min="10" max="10" width="14" style="293" customWidth="1"/>
    <col min="11" max="16384" width="9" style="293"/>
  </cols>
  <sheetData>
    <row r="1" s="264" customFormat="1" ht="36" customHeight="1" spans="2:14">
      <c r="B1" s="268" t="s">
        <v>368</v>
      </c>
      <c r="C1" s="268" t="s">
        <v>2</v>
      </c>
      <c r="D1" s="264" t="s">
        <v>140</v>
      </c>
      <c r="E1" s="269" t="s">
        <v>141</v>
      </c>
      <c r="F1" s="264" t="s">
        <v>142</v>
      </c>
      <c r="G1" s="270" t="s">
        <v>143</v>
      </c>
      <c r="H1" s="270" t="s">
        <v>144</v>
      </c>
      <c r="I1" s="271" t="s">
        <v>145</v>
      </c>
      <c r="J1" s="296" t="s">
        <v>146</v>
      </c>
      <c r="L1" s="297"/>
      <c r="M1" s="298"/>
      <c r="N1" s="296"/>
    </row>
    <row r="2" spans="2:11">
      <c r="B2" s="294" t="s">
        <v>1152</v>
      </c>
      <c r="C2" s="295" t="s">
        <v>1153</v>
      </c>
      <c r="D2" s="39">
        <v>11.3</v>
      </c>
      <c r="E2" s="40">
        <v>2.6589</v>
      </c>
      <c r="F2" s="39">
        <v>2</v>
      </c>
      <c r="G2" s="106">
        <v>6.1</v>
      </c>
      <c r="H2" s="106">
        <f t="shared" ref="H2:H3" si="0">ROUND(D2*100*F2*100*250/E2/G2/50/1000*0.95,2)</f>
        <v>66.19</v>
      </c>
      <c r="I2" s="299">
        <f t="shared" ref="I2" si="1">ROUND((H2+H3)/2,1)</f>
        <v>66.1</v>
      </c>
      <c r="J2" s="300">
        <f t="shared" ref="J2" si="2">(H2-H3)*100/I2</f>
        <v>0.24205748865355</v>
      </c>
      <c r="K2" s="293" t="s">
        <v>150</v>
      </c>
    </row>
    <row r="3" spans="2:10">
      <c r="B3" s="294"/>
      <c r="C3" s="295"/>
      <c r="D3" s="39">
        <v>11.3</v>
      </c>
      <c r="E3" s="40">
        <v>2.6651</v>
      </c>
      <c r="F3" s="39">
        <v>2</v>
      </c>
      <c r="G3" s="106">
        <v>6.1</v>
      </c>
      <c r="H3" s="106">
        <f t="shared" si="0"/>
        <v>66.03</v>
      </c>
      <c r="I3" s="299"/>
      <c r="J3" s="300"/>
    </row>
    <row r="5" spans="2:11">
      <c r="B5" s="294" t="s">
        <v>1154</v>
      </c>
      <c r="C5" s="295" t="s">
        <v>1155</v>
      </c>
      <c r="D5" s="39">
        <v>11.3</v>
      </c>
      <c r="E5" s="40">
        <v>3.0462</v>
      </c>
      <c r="F5" s="39">
        <v>2</v>
      </c>
      <c r="G5" s="106">
        <v>9.5</v>
      </c>
      <c r="H5" s="106">
        <f t="shared" ref="H5:H6" si="3">ROUND(D5*100*F5*100*250/E5/G5/50/1000*0.95,2)</f>
        <v>37.1</v>
      </c>
      <c r="I5" s="299">
        <f t="shared" ref="I5" si="4">ROUND((H5+H6)/2,1)</f>
        <v>38.2</v>
      </c>
      <c r="J5" s="300">
        <f t="shared" ref="J5" si="5">(H5-H6)*100/I5</f>
        <v>-5.96858638743456</v>
      </c>
      <c r="K5" s="293" t="s">
        <v>150</v>
      </c>
    </row>
    <row r="6" spans="2:10">
      <c r="B6" s="294"/>
      <c r="C6" s="295"/>
      <c r="D6" s="39">
        <v>11.3</v>
      </c>
      <c r="E6" s="40">
        <v>3.2068</v>
      </c>
      <c r="F6" s="39">
        <v>2</v>
      </c>
      <c r="G6" s="106">
        <v>8.5</v>
      </c>
      <c r="H6" s="106">
        <f t="shared" si="3"/>
        <v>39.38</v>
      </c>
      <c r="I6" s="299"/>
      <c r="J6" s="300"/>
    </row>
    <row r="8" spans="2:11">
      <c r="B8" s="294" t="s">
        <v>1156</v>
      </c>
      <c r="C8" s="295" t="s">
        <v>1157</v>
      </c>
      <c r="D8" s="39">
        <v>11.45</v>
      </c>
      <c r="E8" s="40">
        <v>2.6561</v>
      </c>
      <c r="F8" s="39">
        <v>2</v>
      </c>
      <c r="G8" s="106">
        <v>9.6</v>
      </c>
      <c r="H8" s="106">
        <f t="shared" ref="H8:H9" si="6">ROUND(D8*100*F8*100*250/E8/G8/50/1000*0.95,2)</f>
        <v>42.66</v>
      </c>
      <c r="I8" s="299">
        <f t="shared" ref="I8" si="7">ROUND((H8+H9)/2,1)</f>
        <v>42.2</v>
      </c>
      <c r="J8" s="300">
        <f t="shared" ref="J8" si="8">(H8-H9)*100/I8</f>
        <v>2.15639810426539</v>
      </c>
      <c r="K8" s="293" t="s">
        <v>150</v>
      </c>
    </row>
    <row r="9" spans="2:10">
      <c r="B9" s="294"/>
      <c r="C9" s="295"/>
      <c r="D9" s="39">
        <v>11.45</v>
      </c>
      <c r="E9" s="40">
        <v>2.7866</v>
      </c>
      <c r="F9" s="39">
        <v>2</v>
      </c>
      <c r="G9" s="106">
        <v>9.35</v>
      </c>
      <c r="H9" s="106">
        <f t="shared" si="6"/>
        <v>41.75</v>
      </c>
      <c r="I9" s="299"/>
      <c r="J9" s="300"/>
    </row>
    <row r="10" spans="2:11">
      <c r="B10" s="294" t="s">
        <v>1154</v>
      </c>
      <c r="C10" s="295" t="s">
        <v>1158</v>
      </c>
      <c r="D10" s="39">
        <v>11.45</v>
      </c>
      <c r="E10" s="40">
        <v>2.6732</v>
      </c>
      <c r="F10" s="39">
        <v>1</v>
      </c>
      <c r="G10" s="106">
        <v>6</v>
      </c>
      <c r="H10" s="106">
        <f t="shared" ref="H10:H11" si="9">ROUND(D10*100*F10*100*250/E10/G10/50/1000*0.95,2)</f>
        <v>33.91</v>
      </c>
      <c r="I10" s="299">
        <f t="shared" ref="I10" si="10">ROUND((H10+H11)/2,1)</f>
        <v>33.6</v>
      </c>
      <c r="J10" s="300">
        <f t="shared" ref="J10" si="11">(H10-H11)*100/I10</f>
        <v>1.69642857142855</v>
      </c>
      <c r="K10" s="293" t="s">
        <v>150</v>
      </c>
    </row>
    <row r="11" spans="2:10">
      <c r="B11" s="294"/>
      <c r="C11" s="295"/>
      <c r="D11" s="39">
        <v>11.45</v>
      </c>
      <c r="E11" s="40">
        <v>2.9126</v>
      </c>
      <c r="F11" s="39">
        <v>1</v>
      </c>
      <c r="G11" s="106">
        <v>5.6</v>
      </c>
      <c r="H11" s="106">
        <f t="shared" si="9"/>
        <v>33.34</v>
      </c>
      <c r="I11" s="299"/>
      <c r="J11" s="300"/>
    </row>
    <row r="12" spans="2:11">
      <c r="B12" s="294" t="s">
        <v>1159</v>
      </c>
      <c r="C12" s="295" t="s">
        <v>1160</v>
      </c>
      <c r="D12" s="39">
        <v>11.5</v>
      </c>
      <c r="E12" s="40">
        <v>3.9848</v>
      </c>
      <c r="F12" s="39">
        <v>1</v>
      </c>
      <c r="G12" s="106">
        <v>7.5</v>
      </c>
      <c r="H12" s="106">
        <f t="shared" ref="H12:H13" si="12">ROUND(D12*100*F12*100*250/E12/G12/50/1000*0.95,2)</f>
        <v>18.28</v>
      </c>
      <c r="I12" s="299">
        <f t="shared" ref="I12" si="13">ROUND((H12+H13)/2,1)</f>
        <v>18.3</v>
      </c>
      <c r="J12" s="300">
        <f t="shared" ref="J12" si="14">(H12-H13)*100/I12</f>
        <v>-0.546448087431682</v>
      </c>
      <c r="K12" s="293" t="s">
        <v>150</v>
      </c>
    </row>
    <row r="13" spans="2:10">
      <c r="B13" s="294"/>
      <c r="C13" s="295"/>
      <c r="D13" s="39">
        <v>11.5</v>
      </c>
      <c r="E13" s="40">
        <v>3.9102</v>
      </c>
      <c r="F13" s="39">
        <v>1</v>
      </c>
      <c r="G13" s="106">
        <v>7.6</v>
      </c>
      <c r="H13" s="106">
        <f t="shared" si="12"/>
        <v>18.38</v>
      </c>
      <c r="I13" s="299"/>
      <c r="J13" s="300"/>
    </row>
    <row r="15" spans="2:11">
      <c r="B15" s="294" t="s">
        <v>1159</v>
      </c>
      <c r="C15" s="295" t="s">
        <v>1160</v>
      </c>
      <c r="D15" s="39">
        <v>11.2</v>
      </c>
      <c r="E15" s="40">
        <v>1.6841</v>
      </c>
      <c r="F15" s="39">
        <v>1</v>
      </c>
      <c r="G15" s="106">
        <v>9.3</v>
      </c>
      <c r="H15" s="106">
        <f t="shared" ref="H15:H16" si="15">ROUND(D15*100*F15*100*250/E15/G15/50/1000*0.95,2)</f>
        <v>33.97</v>
      </c>
      <c r="I15" s="299">
        <f t="shared" ref="I15" si="16">ROUND((H15+H16)/2,1)</f>
        <v>34.1</v>
      </c>
      <c r="J15" s="300">
        <f t="shared" ref="J15" si="17">(H15-H16)*100/I15</f>
        <v>-0.82111436950147</v>
      </c>
      <c r="K15" s="293" t="s">
        <v>150</v>
      </c>
    </row>
    <row r="16" spans="2:10">
      <c r="B16" s="294"/>
      <c r="C16" s="295"/>
      <c r="D16" s="39">
        <v>11.2</v>
      </c>
      <c r="E16" s="40">
        <v>1.3163</v>
      </c>
      <c r="F16" s="39">
        <v>1</v>
      </c>
      <c r="G16" s="106">
        <v>11.8</v>
      </c>
      <c r="H16" s="106">
        <f t="shared" si="15"/>
        <v>34.25</v>
      </c>
      <c r="I16" s="299"/>
      <c r="J16" s="300"/>
    </row>
    <row r="18" spans="2:11">
      <c r="B18" s="294" t="s">
        <v>1161</v>
      </c>
      <c r="C18" s="295" t="s">
        <v>1162</v>
      </c>
      <c r="D18" s="39">
        <v>11.2</v>
      </c>
      <c r="E18" s="40">
        <v>2.5445</v>
      </c>
      <c r="F18" s="39">
        <v>1</v>
      </c>
      <c r="G18" s="106">
        <v>14.05</v>
      </c>
      <c r="H18" s="106">
        <f t="shared" ref="H18:H19" si="18">ROUND(D18*100*F18*100*250/E18/G18/50/1000*0.95,2)</f>
        <v>14.88</v>
      </c>
      <c r="I18" s="299">
        <f t="shared" ref="I18" si="19">ROUND((H18+H19)/2,1)</f>
        <v>14.9</v>
      </c>
      <c r="J18" s="300">
        <f t="shared" ref="J18" si="20">(H18-H19)*100/I18</f>
        <v>0.201342281879202</v>
      </c>
      <c r="K18" s="293" t="s">
        <v>150</v>
      </c>
    </row>
    <row r="19" spans="2:10">
      <c r="B19" s="294"/>
      <c r="C19" s="295"/>
      <c r="D19" s="39">
        <v>11.2</v>
      </c>
      <c r="E19" s="40">
        <v>2.5591</v>
      </c>
      <c r="F19" s="39">
        <v>1</v>
      </c>
      <c r="G19" s="106">
        <v>14</v>
      </c>
      <c r="H19" s="106">
        <f t="shared" si="18"/>
        <v>14.85</v>
      </c>
      <c r="I19" s="299"/>
      <c r="J19" s="300"/>
    </row>
    <row r="20" ht="31.5" customHeight="1" spans="2:11">
      <c r="B20" s="294" t="s">
        <v>1163</v>
      </c>
      <c r="C20" s="295" t="s">
        <v>1162</v>
      </c>
      <c r="D20" s="39">
        <v>11.4</v>
      </c>
      <c r="E20" s="40">
        <v>2.7864</v>
      </c>
      <c r="F20" s="39">
        <v>1</v>
      </c>
      <c r="G20" s="106">
        <v>5.55</v>
      </c>
      <c r="H20" s="106">
        <f t="shared" ref="H20:H21" si="21">ROUND(D20*100*F20*100*250/E20/G20/50/1000*0.95,2)</f>
        <v>35.02</v>
      </c>
      <c r="I20" s="299">
        <f t="shared" ref="I20" si="22">ROUND((H20+H21)/2,1)</f>
        <v>34.8</v>
      </c>
      <c r="J20" s="300">
        <f t="shared" ref="J20" si="23">(H20-H21)*100/I20</f>
        <v>1.03448275862071</v>
      </c>
      <c r="K20" s="293" t="s">
        <v>150</v>
      </c>
    </row>
    <row r="21" ht="25.5" customHeight="1" spans="2:10">
      <c r="B21" s="294"/>
      <c r="C21" s="295"/>
      <c r="D21" s="39">
        <v>11.4</v>
      </c>
      <c r="E21" s="40">
        <v>2.7901</v>
      </c>
      <c r="F21" s="39">
        <v>1</v>
      </c>
      <c r="G21" s="106">
        <v>5.6</v>
      </c>
      <c r="H21" s="106">
        <f t="shared" si="21"/>
        <v>34.66</v>
      </c>
      <c r="I21" s="299"/>
      <c r="J21" s="300"/>
    </row>
    <row r="22" ht="21" customHeight="1" spans="2:11">
      <c r="B22" s="294" t="s">
        <v>1164</v>
      </c>
      <c r="C22" s="295" t="s">
        <v>1162</v>
      </c>
      <c r="D22" s="39">
        <v>11.4</v>
      </c>
      <c r="E22" s="40">
        <v>2.5744</v>
      </c>
      <c r="F22" s="39">
        <v>1</v>
      </c>
      <c r="G22" s="106">
        <v>7.2</v>
      </c>
      <c r="H22" s="106">
        <f t="shared" ref="H22:H23" si="24">ROUND(D22*100*F22*100*250/E22/G22/50/1000*0.95,2)</f>
        <v>29.21</v>
      </c>
      <c r="I22" s="299">
        <f t="shared" ref="I22" si="25">ROUND((H22+H23)/2,1)</f>
        <v>29.7</v>
      </c>
      <c r="J22" s="300">
        <f t="shared" ref="J22" si="26">(H22-H23)*100/I22</f>
        <v>-3.56902356902356</v>
      </c>
      <c r="K22" s="293" t="s">
        <v>150</v>
      </c>
    </row>
    <row r="23" spans="2:10">
      <c r="B23" s="294"/>
      <c r="C23" s="295"/>
      <c r="D23" s="39">
        <v>11.4</v>
      </c>
      <c r="E23" s="40">
        <v>2.6901</v>
      </c>
      <c r="F23" s="39">
        <v>1</v>
      </c>
      <c r="G23" s="106">
        <v>6.65</v>
      </c>
      <c r="H23" s="106">
        <f t="shared" si="24"/>
        <v>30.27</v>
      </c>
      <c r="I23" s="299"/>
      <c r="J23" s="300"/>
    </row>
    <row r="24" spans="2:11">
      <c r="B24" s="294" t="s">
        <v>791</v>
      </c>
      <c r="C24" s="295" t="s">
        <v>1162</v>
      </c>
      <c r="D24" s="39">
        <v>11.4</v>
      </c>
      <c r="E24" s="40">
        <v>3.3728</v>
      </c>
      <c r="F24" s="39">
        <v>1</v>
      </c>
      <c r="G24" s="106">
        <v>11.95</v>
      </c>
      <c r="H24" s="106">
        <f t="shared" ref="H24:H29" si="27">ROUND(D24*100*F24*100*250/E24/G24/50/1000*0.95,2)</f>
        <v>13.44</v>
      </c>
      <c r="I24" s="299">
        <f t="shared" ref="I24" si="28">ROUND((H24+H25)/2,1)</f>
        <v>13.4</v>
      </c>
      <c r="J24" s="300">
        <f t="shared" ref="J24" si="29">(H24-H25)*100/I24</f>
        <v>1.11940298507463</v>
      </c>
      <c r="K24" s="293" t="s">
        <v>150</v>
      </c>
    </row>
    <row r="25" spans="2:10">
      <c r="B25" s="294"/>
      <c r="C25" s="295"/>
      <c r="D25" s="39">
        <v>11.4</v>
      </c>
      <c r="E25" s="40">
        <v>3.2584</v>
      </c>
      <c r="F25" s="39">
        <v>1</v>
      </c>
      <c r="G25" s="106">
        <v>12.5</v>
      </c>
      <c r="H25" s="106">
        <f t="shared" si="27"/>
        <v>13.29</v>
      </c>
      <c r="I25" s="299"/>
      <c r="J25" s="300"/>
    </row>
    <row r="26" spans="2:12">
      <c r="B26" s="294" t="s">
        <v>1165</v>
      </c>
      <c r="C26" s="295" t="s">
        <v>1162</v>
      </c>
      <c r="D26" s="39">
        <v>11.4</v>
      </c>
      <c r="E26" s="40">
        <v>2.8174</v>
      </c>
      <c r="F26" s="39">
        <v>1</v>
      </c>
      <c r="G26" s="106">
        <v>6.1</v>
      </c>
      <c r="H26" s="106">
        <f t="shared" si="27"/>
        <v>31.51</v>
      </c>
      <c r="I26" s="299">
        <f t="shared" ref="I26" si="30">ROUND((H26+H27)/2,1)</f>
        <v>31.4</v>
      </c>
      <c r="J26" s="300">
        <f t="shared" ref="J26" si="31">(H26-H27)*100/I26</f>
        <v>0.796178343949045</v>
      </c>
      <c r="K26" s="293" t="s">
        <v>150</v>
      </c>
      <c r="L26" s="301">
        <f>H27-H26</f>
        <v>-0.25</v>
      </c>
    </row>
    <row r="27" spans="2:12">
      <c r="B27" s="294"/>
      <c r="C27" s="295"/>
      <c r="D27" s="39">
        <v>11.4</v>
      </c>
      <c r="E27" s="40">
        <v>2.6854</v>
      </c>
      <c r="F27" s="39">
        <v>1</v>
      </c>
      <c r="G27" s="106">
        <v>6.45</v>
      </c>
      <c r="H27" s="106">
        <f t="shared" si="27"/>
        <v>31.26</v>
      </c>
      <c r="I27" s="299"/>
      <c r="J27" s="300"/>
      <c r="K27" s="293"/>
      <c r="L27" s="301"/>
    </row>
    <row r="28" spans="2:12">
      <c r="B28" s="294" t="s">
        <v>1166</v>
      </c>
      <c r="C28" s="295" t="s">
        <v>1162</v>
      </c>
      <c r="D28" s="39">
        <v>11.4</v>
      </c>
      <c r="E28" s="40">
        <v>2.5558</v>
      </c>
      <c r="F28" s="39">
        <v>1</v>
      </c>
      <c r="G28" s="106">
        <v>8.5</v>
      </c>
      <c r="H28" s="106">
        <f t="shared" si="27"/>
        <v>24.93</v>
      </c>
      <c r="I28" s="299">
        <f t="shared" ref="I28" si="32">ROUND((H28+H29)/2,1)</f>
        <v>24.6</v>
      </c>
      <c r="J28" s="300">
        <f t="shared" ref="J28" si="33">(H28-H29)*100/I28</f>
        <v>2.56097560975609</v>
      </c>
      <c r="K28" s="293" t="s">
        <v>150</v>
      </c>
      <c r="L28" s="301">
        <f t="shared" ref="L28" si="34">H29-H28</f>
        <v>-0.629999999999999</v>
      </c>
    </row>
    <row r="29" spans="2:12">
      <c r="B29" s="294"/>
      <c r="C29" s="295"/>
      <c r="D29" s="39">
        <v>11.4</v>
      </c>
      <c r="E29" s="40">
        <v>2.6525</v>
      </c>
      <c r="F29" s="39">
        <v>1</v>
      </c>
      <c r="G29" s="106">
        <v>8.4</v>
      </c>
      <c r="H29" s="106">
        <f t="shared" si="27"/>
        <v>24.3</v>
      </c>
      <c r="I29" s="299"/>
      <c r="J29" s="300"/>
      <c r="K29" s="293"/>
      <c r="L29" s="301"/>
    </row>
    <row r="30" spans="2:12">
      <c r="B30" s="294" t="s">
        <v>1167</v>
      </c>
      <c r="C30" s="295" t="s">
        <v>1162</v>
      </c>
      <c r="D30" s="39">
        <v>11.4</v>
      </c>
      <c r="E30" s="40">
        <v>2.7336</v>
      </c>
      <c r="F30" s="39">
        <v>1</v>
      </c>
      <c r="G30" s="106">
        <v>8.6</v>
      </c>
      <c r="H30" s="106">
        <f t="shared" ref="H30:H31" si="35">ROUND(D30*100*F30*100*250/E30/G30/50/1000*0.95,2)</f>
        <v>23.03</v>
      </c>
      <c r="I30" s="299">
        <f t="shared" ref="I30" si="36">ROUND((H30+H31)/2,1)</f>
        <v>22.9</v>
      </c>
      <c r="J30" s="300">
        <f t="shared" ref="J30" si="37">(H30-H31)*100/I30</f>
        <v>0.742358078602628</v>
      </c>
      <c r="K30" s="293" t="s">
        <v>150</v>
      </c>
      <c r="L30" s="301">
        <f t="shared" ref="L30" si="38">H31-H30</f>
        <v>-0.170000000000002</v>
      </c>
    </row>
    <row r="31" spans="2:12">
      <c r="B31" s="294"/>
      <c r="C31" s="295"/>
      <c r="D31" s="39">
        <v>11.4</v>
      </c>
      <c r="E31" s="40">
        <v>2.8541</v>
      </c>
      <c r="F31" s="39">
        <v>1</v>
      </c>
      <c r="G31" s="106">
        <v>8.3</v>
      </c>
      <c r="H31" s="106">
        <f t="shared" si="35"/>
        <v>22.86</v>
      </c>
      <c r="I31" s="299"/>
      <c r="J31" s="300"/>
      <c r="K31" s="293"/>
      <c r="L31" s="301"/>
    </row>
    <row r="32" spans="2:12">
      <c r="B32" s="294" t="s">
        <v>793</v>
      </c>
      <c r="C32" s="295" t="s">
        <v>1162</v>
      </c>
      <c r="D32" s="39">
        <v>10.8</v>
      </c>
      <c r="E32" s="40">
        <v>5.2977</v>
      </c>
      <c r="F32" s="39">
        <v>1</v>
      </c>
      <c r="G32" s="106">
        <v>10</v>
      </c>
      <c r="H32" s="106">
        <f t="shared" ref="H32:H33" si="39">ROUND(D32*100*F32*100*250/E32/G32/50/1000*0.95,2)</f>
        <v>9.68</v>
      </c>
      <c r="I32" s="299">
        <f t="shared" ref="I32" si="40">ROUND((H32+H33)/2,1)</f>
        <v>9.9</v>
      </c>
      <c r="J32" s="300">
        <f t="shared" ref="J32" si="41">(H32-H33)*100/I32</f>
        <v>-3.83838383838385</v>
      </c>
      <c r="K32" s="293" t="s">
        <v>150</v>
      </c>
      <c r="L32" s="301">
        <f t="shared" ref="L32" si="42">H33-H32</f>
        <v>0.380000000000001</v>
      </c>
    </row>
    <row r="33" spans="2:12">
      <c r="B33" s="294"/>
      <c r="C33" s="295"/>
      <c r="D33" s="39">
        <v>10.8</v>
      </c>
      <c r="E33" s="40">
        <v>5.368</v>
      </c>
      <c r="F33" s="39">
        <v>1</v>
      </c>
      <c r="G33" s="106">
        <v>9.5</v>
      </c>
      <c r="H33" s="106">
        <f t="shared" si="39"/>
        <v>10.06</v>
      </c>
      <c r="I33" s="299"/>
      <c r="J33" s="300"/>
      <c r="K33" s="293"/>
      <c r="L33" s="301"/>
    </row>
    <row r="34" spans="2:12">
      <c r="B34" s="294" t="s">
        <v>1168</v>
      </c>
      <c r="C34" s="295" t="s">
        <v>1169</v>
      </c>
      <c r="D34" s="39">
        <v>11.4</v>
      </c>
      <c r="E34" s="40">
        <v>2.5041</v>
      </c>
      <c r="F34" s="39">
        <v>1</v>
      </c>
      <c r="G34" s="106">
        <v>9.6</v>
      </c>
      <c r="H34" s="106">
        <f t="shared" ref="H34:H35" si="43">ROUND(D34*100*F34*100*250/E34/G34/50/1000*0.95,2)</f>
        <v>22.53</v>
      </c>
      <c r="I34" s="299">
        <f t="shared" ref="I34" si="44">ROUND((H34+H35)/2,1)</f>
        <v>22.4</v>
      </c>
      <c r="J34" s="300">
        <f t="shared" ref="J34" si="45">(H34-H35)*100/I34</f>
        <v>1.42857142857143</v>
      </c>
      <c r="K34" s="293" t="s">
        <v>150</v>
      </c>
      <c r="L34" s="301">
        <f t="shared" ref="L34" si="46">H35-H34</f>
        <v>-0.32</v>
      </c>
    </row>
    <row r="35" spans="2:12">
      <c r="B35" s="294"/>
      <c r="C35" s="295"/>
      <c r="D35" s="39">
        <v>11.4</v>
      </c>
      <c r="E35" s="40">
        <v>2.6358</v>
      </c>
      <c r="F35" s="39">
        <v>1</v>
      </c>
      <c r="G35" s="106">
        <v>9.25</v>
      </c>
      <c r="H35" s="106">
        <f t="shared" si="43"/>
        <v>22.21</v>
      </c>
      <c r="I35" s="299"/>
      <c r="J35" s="300"/>
      <c r="K35" s="293"/>
      <c r="L35" s="301"/>
    </row>
    <row r="37" spans="2:12">
      <c r="B37" s="294" t="s">
        <v>1170</v>
      </c>
      <c r="C37" s="295" t="s">
        <v>1171</v>
      </c>
      <c r="D37" s="39">
        <v>11.4</v>
      </c>
      <c r="E37" s="40">
        <v>1.7974</v>
      </c>
      <c r="F37" s="39">
        <v>1</v>
      </c>
      <c r="G37" s="106">
        <v>9.6</v>
      </c>
      <c r="H37" s="106">
        <f t="shared" ref="H37:H38" si="47">ROUND(D37*100*F37*100*250/E37/G37/50/1000*0.95,2)</f>
        <v>31.38</v>
      </c>
      <c r="I37" s="299">
        <f t="shared" ref="I37" si="48">ROUND((H37+H38)/2,1)</f>
        <v>26.8</v>
      </c>
      <c r="J37" s="300">
        <f t="shared" ref="J37" si="49">(H37-H38)*100/I37</f>
        <v>34.2164179104478</v>
      </c>
      <c r="K37" s="293" t="s">
        <v>150</v>
      </c>
      <c r="L37" s="301">
        <f t="shared" ref="L37" si="50">H38-H37</f>
        <v>-9.17</v>
      </c>
    </row>
    <row r="38" spans="2:12">
      <c r="B38" s="294"/>
      <c r="C38" s="295"/>
      <c r="D38" s="39">
        <v>11.4</v>
      </c>
      <c r="E38" s="40">
        <v>2.6358</v>
      </c>
      <c r="F38" s="39">
        <v>1</v>
      </c>
      <c r="G38" s="106">
        <v>9.25</v>
      </c>
      <c r="H38" s="106">
        <f t="shared" si="47"/>
        <v>22.21</v>
      </c>
      <c r="I38" s="299"/>
      <c r="J38" s="300"/>
      <c r="K38" s="293"/>
      <c r="L38" s="301"/>
    </row>
    <row r="39" spans="2:12">
      <c r="B39" s="294" t="s">
        <v>1172</v>
      </c>
      <c r="C39" s="295" t="s">
        <v>1173</v>
      </c>
      <c r="D39" s="39">
        <v>11.4</v>
      </c>
      <c r="E39" s="40">
        <v>3.412</v>
      </c>
      <c r="F39" s="39">
        <v>1</v>
      </c>
      <c r="G39" s="106">
        <v>5.75</v>
      </c>
      <c r="H39" s="106">
        <f t="shared" ref="H39:H40" si="51">ROUND(D39*100*F39*100*250/E39/G39/50/1000*0.95,2)</f>
        <v>27.6</v>
      </c>
      <c r="I39" s="299">
        <f t="shared" ref="I39" si="52">ROUND((H39+H40)/2,1)</f>
        <v>28.1</v>
      </c>
      <c r="J39" s="300">
        <f t="shared" ref="J39" si="53">(H39-H40)*100/I39</f>
        <v>-3.30960854092527</v>
      </c>
      <c r="K39" s="293" t="s">
        <v>150</v>
      </c>
      <c r="L39" s="301">
        <f t="shared" ref="L39" si="54">H40-H39</f>
        <v>0.93</v>
      </c>
    </row>
    <row r="40" spans="2:12">
      <c r="B40" s="294"/>
      <c r="C40" s="295"/>
      <c r="D40" s="39">
        <v>11.4</v>
      </c>
      <c r="E40" s="40">
        <v>2.6358</v>
      </c>
      <c r="F40" s="39">
        <v>1</v>
      </c>
      <c r="G40" s="106">
        <v>7.2</v>
      </c>
      <c r="H40" s="106">
        <f t="shared" si="51"/>
        <v>28.53</v>
      </c>
      <c r="I40" s="299"/>
      <c r="J40" s="300"/>
      <c r="K40" s="293"/>
      <c r="L40" s="301"/>
    </row>
    <row r="41" spans="2:12">
      <c r="B41" s="294" t="s">
        <v>1174</v>
      </c>
      <c r="C41" s="295" t="s">
        <v>1162</v>
      </c>
      <c r="D41" s="39">
        <v>11.4</v>
      </c>
      <c r="E41" s="40">
        <v>2.3112</v>
      </c>
      <c r="F41" s="39">
        <v>1</v>
      </c>
      <c r="G41" s="106">
        <v>14.3</v>
      </c>
      <c r="H41" s="106">
        <f t="shared" ref="H41:H44" si="55">ROUND(D41*100*F41*100*250/E41/G41/50/1000*0.95,2)</f>
        <v>16.38</v>
      </c>
      <c r="I41" s="299">
        <f t="shared" ref="I41" si="56">ROUND((H41+H42)/2,1)</f>
        <v>16.1</v>
      </c>
      <c r="J41" s="300">
        <f t="shared" ref="J41" si="57">(H41-H42)*100/I41</f>
        <v>3.41614906832297</v>
      </c>
      <c r="K41" s="293" t="s">
        <v>150</v>
      </c>
      <c r="L41" s="301">
        <f t="shared" ref="L41" si="58">H42-H41</f>
        <v>-0.549999999999999</v>
      </c>
    </row>
    <row r="42" spans="2:12">
      <c r="B42" s="294"/>
      <c r="C42" s="295"/>
      <c r="D42" s="39">
        <v>11.4</v>
      </c>
      <c r="E42" s="40">
        <v>2.5248</v>
      </c>
      <c r="F42" s="39">
        <v>1</v>
      </c>
      <c r="G42" s="106">
        <v>13.55</v>
      </c>
      <c r="H42" s="106">
        <f t="shared" si="55"/>
        <v>15.83</v>
      </c>
      <c r="I42" s="299"/>
      <c r="J42" s="300"/>
      <c r="K42" s="293"/>
      <c r="L42" s="301"/>
    </row>
    <row r="43" spans="2:12">
      <c r="B43" s="294" t="s">
        <v>1175</v>
      </c>
      <c r="C43" s="295" t="s">
        <v>1173</v>
      </c>
      <c r="D43" s="39">
        <v>11.4</v>
      </c>
      <c r="E43" s="40">
        <v>2.1774</v>
      </c>
      <c r="F43" s="39">
        <v>1</v>
      </c>
      <c r="G43" s="106">
        <v>6.4</v>
      </c>
      <c r="H43" s="106">
        <f t="shared" si="55"/>
        <v>38.86</v>
      </c>
      <c r="I43" s="299">
        <f t="shared" ref="I43" si="59">ROUND((H43+H44)/2,1)</f>
        <v>37.9</v>
      </c>
      <c r="J43" s="300">
        <f t="shared" ref="J43" si="60">(H43-H44)*100/I43</f>
        <v>5.06596306068602</v>
      </c>
      <c r="K43" s="293" t="s">
        <v>150</v>
      </c>
      <c r="L43" s="301">
        <f t="shared" ref="L43" si="61">H44-H43</f>
        <v>-1.92</v>
      </c>
    </row>
    <row r="44" spans="2:12">
      <c r="B44" s="294"/>
      <c r="C44" s="295"/>
      <c r="D44" s="39">
        <v>11.4</v>
      </c>
      <c r="E44" s="40">
        <v>2.0358</v>
      </c>
      <c r="F44" s="39">
        <v>1</v>
      </c>
      <c r="G44" s="106">
        <v>7.2</v>
      </c>
      <c r="H44" s="106">
        <f t="shared" si="55"/>
        <v>36.94</v>
      </c>
      <c r="I44" s="299"/>
      <c r="J44" s="300"/>
      <c r="K44" s="293"/>
      <c r="L44" s="301"/>
    </row>
    <row r="45" spans="2:12">
      <c r="B45" s="294" t="s">
        <v>1176</v>
      </c>
      <c r="C45" s="295"/>
      <c r="D45" s="39">
        <v>11.3</v>
      </c>
      <c r="E45" s="40">
        <v>2.576</v>
      </c>
      <c r="F45" s="39">
        <v>1</v>
      </c>
      <c r="G45" s="106">
        <v>14.65</v>
      </c>
      <c r="H45" s="106">
        <f t="shared" ref="H45:H48" si="62">ROUND(D45*100*F45*100*250/E45/G45/50/1000*0.95,2)</f>
        <v>14.22</v>
      </c>
      <c r="I45" s="299">
        <f t="shared" ref="I45" si="63">ROUND((H45+H46)/2,1)</f>
        <v>14.2</v>
      </c>
      <c r="J45" s="300">
        <f t="shared" ref="J45" si="64">(H45-H46)*100/I45</f>
        <v>0.845070422535218</v>
      </c>
      <c r="K45" s="293" t="s">
        <v>150</v>
      </c>
      <c r="L45" s="301">
        <f t="shared" ref="L45" si="65">H46-H45</f>
        <v>-0.120000000000001</v>
      </c>
    </row>
    <row r="46" spans="2:12">
      <c r="B46" s="294"/>
      <c r="C46" s="295"/>
      <c r="D46" s="39">
        <v>11.3</v>
      </c>
      <c r="E46" s="40">
        <v>2.6894</v>
      </c>
      <c r="F46" s="39">
        <v>1</v>
      </c>
      <c r="G46" s="106">
        <v>14.15</v>
      </c>
      <c r="H46" s="106">
        <f t="shared" si="62"/>
        <v>14.1</v>
      </c>
      <c r="I46" s="299"/>
      <c r="J46" s="300"/>
      <c r="K46" s="293"/>
      <c r="L46" s="301"/>
    </row>
    <row r="47" spans="2:12">
      <c r="B47" s="294" t="s">
        <v>1177</v>
      </c>
      <c r="C47" s="295"/>
      <c r="D47" s="39">
        <v>11.3</v>
      </c>
      <c r="E47" s="40">
        <v>3.1633</v>
      </c>
      <c r="F47" s="39">
        <v>1</v>
      </c>
      <c r="G47" s="106">
        <v>12.3</v>
      </c>
      <c r="H47" s="106">
        <f t="shared" si="62"/>
        <v>13.8</v>
      </c>
      <c r="I47" s="299">
        <f t="shared" ref="I47" si="66">ROUND((H47+H48)/2,1)</f>
        <v>13.5</v>
      </c>
      <c r="J47" s="300">
        <f t="shared" ref="J47" si="67">(H47-H48)*100/I47</f>
        <v>4.96296296296296</v>
      </c>
      <c r="K47" s="293" t="s">
        <v>150</v>
      </c>
      <c r="L47" s="301">
        <f t="shared" ref="L47" si="68">H48-H47</f>
        <v>-0.67</v>
      </c>
    </row>
    <row r="48" spans="2:12">
      <c r="B48" s="294"/>
      <c r="C48" s="295"/>
      <c r="D48" s="39">
        <v>11.3</v>
      </c>
      <c r="E48" s="40">
        <v>3.2581</v>
      </c>
      <c r="F48" s="39">
        <v>1</v>
      </c>
      <c r="G48" s="106">
        <v>12.55</v>
      </c>
      <c r="H48" s="106">
        <f t="shared" si="62"/>
        <v>13.13</v>
      </c>
      <c r="I48" s="299"/>
      <c r="J48" s="300"/>
      <c r="K48" s="293"/>
      <c r="L48" s="301"/>
    </row>
    <row r="49" spans="2:12">
      <c r="B49" s="294" t="s">
        <v>1178</v>
      </c>
      <c r="C49" s="295"/>
      <c r="D49" s="39">
        <v>11.3</v>
      </c>
      <c r="E49" s="40">
        <v>3.6885</v>
      </c>
      <c r="F49" s="39">
        <v>1</v>
      </c>
      <c r="G49" s="106">
        <v>5.6</v>
      </c>
      <c r="H49" s="106">
        <f t="shared" ref="H49:H50" si="69">ROUND(D49*100*F49*100*250/E49/G49/50/1000*0.95,2)</f>
        <v>25.99</v>
      </c>
      <c r="I49" s="299">
        <f t="shared" ref="I49" si="70">ROUND((H49+H50)/2,1)</f>
        <v>25.7</v>
      </c>
      <c r="J49" s="300">
        <f t="shared" ref="J49" si="71">(H49-H50)*100/I49</f>
        <v>2.29571984435798</v>
      </c>
      <c r="K49" s="293" t="s">
        <v>150</v>
      </c>
      <c r="L49" s="301">
        <f t="shared" ref="L49" si="72">H50-H49</f>
        <v>-0.59</v>
      </c>
    </row>
    <row r="50" spans="2:12">
      <c r="B50" s="294"/>
      <c r="C50" s="295"/>
      <c r="D50" s="39">
        <v>11.3</v>
      </c>
      <c r="E50" s="40">
        <v>3.2514</v>
      </c>
      <c r="F50" s="39">
        <v>1</v>
      </c>
      <c r="G50" s="106">
        <v>6.5</v>
      </c>
      <c r="H50" s="106">
        <f t="shared" si="69"/>
        <v>25.4</v>
      </c>
      <c r="I50" s="299"/>
      <c r="J50" s="300"/>
      <c r="K50" s="293"/>
      <c r="L50" s="301"/>
    </row>
    <row r="51" spans="2:12">
      <c r="B51" s="294" t="s">
        <v>1179</v>
      </c>
      <c r="C51" s="295"/>
      <c r="D51" s="39">
        <v>11.3</v>
      </c>
      <c r="E51" s="40">
        <v>1.5767</v>
      </c>
      <c r="F51" s="39">
        <v>1</v>
      </c>
      <c r="G51" s="106">
        <v>11.7</v>
      </c>
      <c r="H51" s="106">
        <f t="shared" ref="H51:H52" si="73">ROUND(D51*100*F51*100*250/E51/G51/50/1000*0.95,2)</f>
        <v>29.1</v>
      </c>
      <c r="I51" s="299">
        <f t="shared" ref="I51" si="74">ROUND((H51+H52)/2,1)</f>
        <v>29.8</v>
      </c>
      <c r="J51" s="300">
        <f t="shared" ref="J51" si="75">(H51-H52)*100/I51</f>
        <v>-4.7986577181208</v>
      </c>
      <c r="K51" s="293" t="s">
        <v>150</v>
      </c>
      <c r="L51" s="301">
        <f t="shared" ref="L51" si="76">H52-H51</f>
        <v>1.43</v>
      </c>
    </row>
    <row r="52" spans="2:12">
      <c r="B52" s="294"/>
      <c r="C52" s="295"/>
      <c r="D52" s="39">
        <v>11.3</v>
      </c>
      <c r="E52" s="40">
        <v>1.6984</v>
      </c>
      <c r="F52" s="39">
        <v>1</v>
      </c>
      <c r="G52" s="106">
        <v>10.35</v>
      </c>
      <c r="H52" s="106">
        <f t="shared" si="73"/>
        <v>30.53</v>
      </c>
      <c r="I52" s="299"/>
      <c r="J52" s="300"/>
      <c r="K52" s="293"/>
      <c r="L52" s="301"/>
    </row>
    <row r="53" spans="2:12">
      <c r="B53" s="294" t="s">
        <v>1179</v>
      </c>
      <c r="C53" s="295"/>
      <c r="D53" s="39">
        <v>11.3</v>
      </c>
      <c r="E53" s="40">
        <v>1.5767</v>
      </c>
      <c r="F53" s="39">
        <v>1</v>
      </c>
      <c r="G53" s="106">
        <v>11.7</v>
      </c>
      <c r="H53" s="106">
        <f t="shared" ref="H53:H54" si="77">ROUND(D53*100*F53*100*250/E53/G53/50/1000*0.95,2)</f>
        <v>29.1</v>
      </c>
      <c r="I53" s="299">
        <f t="shared" ref="I53" si="78">ROUND((H53+H54)/2,1)</f>
        <v>29.8</v>
      </c>
      <c r="J53" s="300">
        <f t="shared" ref="J53" si="79">(H53-H54)*100/I53</f>
        <v>-4.7986577181208</v>
      </c>
      <c r="K53" s="293" t="s">
        <v>150</v>
      </c>
      <c r="L53" s="301">
        <f t="shared" ref="L53" si="80">H54-H53</f>
        <v>1.43</v>
      </c>
    </row>
    <row r="54" spans="2:12">
      <c r="B54" s="294"/>
      <c r="C54" s="295"/>
      <c r="D54" s="39">
        <v>11.3</v>
      </c>
      <c r="E54" s="40">
        <v>1.6984</v>
      </c>
      <c r="F54" s="39">
        <v>1</v>
      </c>
      <c r="G54" s="106">
        <v>10.35</v>
      </c>
      <c r="H54" s="106">
        <f t="shared" si="77"/>
        <v>30.53</v>
      </c>
      <c r="I54" s="299"/>
      <c r="J54" s="300"/>
      <c r="K54" s="293"/>
      <c r="L54" s="301"/>
    </row>
    <row r="55" spans="2:12">
      <c r="B55" s="294" t="s">
        <v>1180</v>
      </c>
      <c r="C55" s="295"/>
      <c r="D55" s="39">
        <v>11.3</v>
      </c>
      <c r="E55" s="40">
        <v>2.3901</v>
      </c>
      <c r="F55" s="39">
        <v>1</v>
      </c>
      <c r="G55" s="106">
        <v>14.7</v>
      </c>
      <c r="H55" s="106">
        <f t="shared" ref="H55:H56" si="81">ROUND(D55*100*F55*100*250/E55/G55/50/1000*0.95,2)</f>
        <v>15.28</v>
      </c>
      <c r="I55" s="299">
        <f t="shared" ref="I55" si="82">ROUND((H55+H56)/2,1)</f>
        <v>15.4</v>
      </c>
      <c r="J55" s="300">
        <f t="shared" ref="J55" si="83">(H55-H56)*100/I55</f>
        <v>-1.03896103896104</v>
      </c>
      <c r="K55" s="293" t="s">
        <v>150</v>
      </c>
      <c r="L55" s="301">
        <f t="shared" ref="L55" si="84">H56-H55</f>
        <v>0.16</v>
      </c>
    </row>
    <row r="56" spans="2:12">
      <c r="B56" s="294"/>
      <c r="C56" s="295"/>
      <c r="D56" s="39">
        <v>11.3</v>
      </c>
      <c r="E56" s="40">
        <v>2.3325</v>
      </c>
      <c r="F56" s="39">
        <v>1</v>
      </c>
      <c r="G56" s="106">
        <v>14.9</v>
      </c>
      <c r="H56" s="106">
        <f t="shared" si="81"/>
        <v>15.44</v>
      </c>
      <c r="I56" s="299"/>
      <c r="J56" s="300"/>
      <c r="K56" s="293"/>
      <c r="L56" s="301"/>
    </row>
    <row r="57" spans="2:12">
      <c r="B57" s="294" t="s">
        <v>1180</v>
      </c>
      <c r="C57" s="295"/>
      <c r="D57" s="39">
        <v>11.3</v>
      </c>
      <c r="E57" s="40">
        <v>2.5901</v>
      </c>
      <c r="F57" s="39">
        <v>1</v>
      </c>
      <c r="G57" s="106">
        <v>14.7</v>
      </c>
      <c r="H57" s="106">
        <f t="shared" ref="H57:H58" si="85">ROUND(D57*100*F57*100*250/E57/G57/50/1000*0.95,2)</f>
        <v>14.1</v>
      </c>
      <c r="I57" s="299">
        <f t="shared" ref="I57" si="86">ROUND((H57+H58)/2,1)</f>
        <v>13.9</v>
      </c>
      <c r="J57" s="300">
        <f t="shared" ref="J57" si="87">(H57-H58)*100/I57</f>
        <v>2.44604316546762</v>
      </c>
      <c r="K57" s="293" t="s">
        <v>150</v>
      </c>
      <c r="L57" s="301">
        <f t="shared" ref="L57" si="88">H58-H57</f>
        <v>-0.34</v>
      </c>
    </row>
    <row r="58" spans="2:12">
      <c r="B58" s="294"/>
      <c r="C58" s="295"/>
      <c r="D58" s="39">
        <v>11.3</v>
      </c>
      <c r="E58" s="40">
        <v>2.6625</v>
      </c>
      <c r="F58" s="39">
        <v>1</v>
      </c>
      <c r="G58" s="106">
        <v>14.65</v>
      </c>
      <c r="H58" s="106">
        <f t="shared" si="85"/>
        <v>13.76</v>
      </c>
      <c r="I58" s="299"/>
      <c r="J58" s="300"/>
      <c r="K58" s="293"/>
      <c r="L58" s="301"/>
    </row>
    <row r="59" spans="2:12">
      <c r="B59" s="294" t="s">
        <v>1181</v>
      </c>
      <c r="C59" s="295"/>
      <c r="D59" s="39">
        <v>11.3</v>
      </c>
      <c r="E59" s="40">
        <v>4.1054</v>
      </c>
      <c r="F59" s="39">
        <v>1</v>
      </c>
      <c r="G59" s="106">
        <v>7.6</v>
      </c>
      <c r="H59" s="106">
        <f t="shared" ref="H59:H60" si="89">ROUND(D59*100*F59*100*250/E59/G59/50/1000*0.95,2)</f>
        <v>17.2</v>
      </c>
      <c r="I59" s="299">
        <f t="shared" ref="I59" si="90">ROUND((H59+H60)/2,1)</f>
        <v>17.2</v>
      </c>
      <c r="J59" s="300">
        <f t="shared" ref="J59" si="91">(H59-H60)*100/I59</f>
        <v>-0.348837209302339</v>
      </c>
      <c r="K59" s="293" t="s">
        <v>150</v>
      </c>
      <c r="L59" s="301">
        <f t="shared" ref="L59" si="92">H60-H59</f>
        <v>0.0600000000000023</v>
      </c>
    </row>
    <row r="60" spans="2:12">
      <c r="B60" s="294"/>
      <c r="C60" s="295"/>
      <c r="D60" s="39">
        <v>11.3</v>
      </c>
      <c r="E60" s="40">
        <v>4.0125</v>
      </c>
      <c r="F60" s="39">
        <v>1</v>
      </c>
      <c r="G60" s="106">
        <v>7.75</v>
      </c>
      <c r="H60" s="106">
        <f t="shared" si="89"/>
        <v>17.26</v>
      </c>
      <c r="I60" s="299"/>
      <c r="J60" s="300"/>
      <c r="K60" s="293"/>
      <c r="L60" s="301"/>
    </row>
    <row r="61" spans="2:12">
      <c r="B61" s="294" t="s">
        <v>1182</v>
      </c>
      <c r="C61" s="295"/>
      <c r="D61" s="39">
        <v>11.3</v>
      </c>
      <c r="E61" s="40">
        <v>2.9041</v>
      </c>
      <c r="F61" s="39">
        <v>2</v>
      </c>
      <c r="G61" s="106">
        <v>8.25</v>
      </c>
      <c r="H61" s="106">
        <f t="shared" ref="H61:H62" si="93">ROUND(D61*100*F61*100*250/E61/G61/50/1000*0.95,2)</f>
        <v>44.81</v>
      </c>
      <c r="I61" s="299">
        <f t="shared" ref="I61" si="94">ROUND((H61+H62)/2,1)</f>
        <v>44.1</v>
      </c>
      <c r="J61" s="300">
        <f t="shared" ref="J61" si="95">(H61-H62)*100/I61</f>
        <v>3.35600907029479</v>
      </c>
      <c r="K61" s="293" t="s">
        <v>150</v>
      </c>
      <c r="L61" s="301">
        <f t="shared" ref="L61" si="96">H62-H61</f>
        <v>-1.48</v>
      </c>
    </row>
    <row r="62" spans="2:12">
      <c r="B62" s="294"/>
      <c r="C62" s="295"/>
      <c r="D62" s="39">
        <v>11.3</v>
      </c>
      <c r="E62" s="40">
        <v>3.0214</v>
      </c>
      <c r="F62" s="39">
        <v>2</v>
      </c>
      <c r="G62" s="106">
        <v>8.2</v>
      </c>
      <c r="H62" s="106">
        <f t="shared" si="93"/>
        <v>43.33</v>
      </c>
      <c r="I62" s="299"/>
      <c r="J62" s="300"/>
      <c r="K62" s="293"/>
      <c r="L62" s="301"/>
    </row>
    <row r="63" spans="2:12">
      <c r="B63" s="294" t="s">
        <v>1183</v>
      </c>
      <c r="C63" s="295"/>
      <c r="D63" s="39">
        <v>11.1</v>
      </c>
      <c r="E63" s="40">
        <v>3.0009</v>
      </c>
      <c r="F63" s="39">
        <v>1</v>
      </c>
      <c r="G63" s="106">
        <v>8.9</v>
      </c>
      <c r="H63" s="106">
        <f t="shared" ref="H63:H64" si="97">ROUND(D63*100*F63*100*250/E63/G63/50/1000*0.95,2)</f>
        <v>19.74</v>
      </c>
      <c r="I63" s="299">
        <f t="shared" ref="I63" si="98">ROUND((H63+H64)/2,1)</f>
        <v>19.6</v>
      </c>
      <c r="J63" s="300">
        <f t="shared" ref="J63" si="99">(H63-H64)*100/I63</f>
        <v>1.0204081632653</v>
      </c>
      <c r="K63" s="293" t="s">
        <v>150</v>
      </c>
      <c r="L63" s="301">
        <f t="shared" ref="L63" si="100">H64-H63</f>
        <v>-0.199999999999999</v>
      </c>
    </row>
    <row r="64" spans="2:12">
      <c r="B64" s="294"/>
      <c r="C64" s="295"/>
      <c r="D64" s="39">
        <v>11.1</v>
      </c>
      <c r="E64" s="40">
        <v>2.9658</v>
      </c>
      <c r="F64" s="39">
        <v>1</v>
      </c>
      <c r="G64" s="106">
        <v>9.1</v>
      </c>
      <c r="H64" s="106">
        <f t="shared" si="97"/>
        <v>19.54</v>
      </c>
      <c r="I64" s="299"/>
      <c r="J64" s="300"/>
      <c r="K64" s="293"/>
      <c r="L64" s="301"/>
    </row>
    <row r="65" spans="2:12">
      <c r="B65" s="294" t="s">
        <v>1184</v>
      </c>
      <c r="C65" s="295"/>
      <c r="D65" s="39">
        <v>11.1</v>
      </c>
      <c r="E65" s="40">
        <v>3.0153</v>
      </c>
      <c r="F65" s="39">
        <v>1</v>
      </c>
      <c r="G65" s="106">
        <v>5.95</v>
      </c>
      <c r="H65" s="106">
        <f t="shared" ref="H65:H66" si="101">ROUND(D65*100*F65*100*250/E65/G65/50/1000*0.95,2)</f>
        <v>29.39</v>
      </c>
      <c r="I65" s="299">
        <f t="shared" ref="I65" si="102">ROUND((H65+H66)/2,1)</f>
        <v>29</v>
      </c>
      <c r="J65" s="300">
        <f t="shared" ref="J65" si="103">(H65-H66)*100/I65</f>
        <v>2.48275862068965</v>
      </c>
      <c r="K65" s="293" t="s">
        <v>150</v>
      </c>
      <c r="L65" s="301">
        <f t="shared" ref="L65" si="104">H66-H65</f>
        <v>-0.719999999999999</v>
      </c>
    </row>
    <row r="66" spans="2:12">
      <c r="B66" s="294"/>
      <c r="C66" s="295"/>
      <c r="D66" s="39">
        <v>11.1</v>
      </c>
      <c r="E66" s="40">
        <v>2.9658</v>
      </c>
      <c r="F66" s="39">
        <v>1</v>
      </c>
      <c r="G66" s="106">
        <v>6.2</v>
      </c>
      <c r="H66" s="106">
        <f t="shared" si="101"/>
        <v>28.67</v>
      </c>
      <c r="I66" s="299"/>
      <c r="J66" s="300"/>
      <c r="K66" s="293"/>
      <c r="L66" s="301"/>
    </row>
    <row r="67" spans="2:12">
      <c r="B67" s="294" t="s">
        <v>1185</v>
      </c>
      <c r="C67" s="295"/>
      <c r="D67" s="39">
        <v>11.2</v>
      </c>
      <c r="E67" s="40">
        <v>2.5586</v>
      </c>
      <c r="F67" s="39">
        <v>1</v>
      </c>
      <c r="G67" s="106">
        <v>14.3</v>
      </c>
      <c r="H67" s="106">
        <f t="shared" ref="H67:H68" si="105">ROUND(D67*100*F67*100*250/E67/G67/50/1000*0.95,2)</f>
        <v>14.54</v>
      </c>
      <c r="I67" s="299">
        <f t="shared" ref="I67" si="106">ROUND((H67+H68)/2,1)</f>
        <v>14.5</v>
      </c>
      <c r="J67" s="300">
        <f t="shared" ref="J67" si="107">(H67-H68)*100/I67</f>
        <v>0.551724137931023</v>
      </c>
      <c r="K67" s="293" t="s">
        <v>150</v>
      </c>
      <c r="L67" s="301">
        <f t="shared" ref="L67" si="108">H68-H67</f>
        <v>-0.0799999999999983</v>
      </c>
    </row>
    <row r="68" spans="2:12">
      <c r="B68" s="294"/>
      <c r="C68" s="295"/>
      <c r="D68" s="39">
        <v>11.2</v>
      </c>
      <c r="E68" s="40">
        <v>2.5647</v>
      </c>
      <c r="F68" s="39">
        <v>1</v>
      </c>
      <c r="G68" s="106">
        <v>14.35</v>
      </c>
      <c r="H68" s="106">
        <f t="shared" si="105"/>
        <v>14.46</v>
      </c>
      <c r="I68" s="299"/>
      <c r="J68" s="300"/>
      <c r="K68" s="293"/>
      <c r="L68" s="301"/>
    </row>
    <row r="69" spans="2:12">
      <c r="B69" s="294" t="s">
        <v>1186</v>
      </c>
      <c r="C69" s="295"/>
      <c r="D69" s="39">
        <v>11.1</v>
      </c>
      <c r="E69" s="40">
        <v>3.2483</v>
      </c>
      <c r="F69" s="39">
        <v>1</v>
      </c>
      <c r="G69" s="106">
        <v>6.8</v>
      </c>
      <c r="H69" s="106">
        <f t="shared" ref="H69:H82" si="109">ROUND(D69*100*F69*100*250/E69/G69/50/1000*0.95,2)</f>
        <v>23.87</v>
      </c>
      <c r="I69" s="299">
        <f t="shared" ref="I69" si="110">ROUND((H69+H70)/2,1)</f>
        <v>23.6</v>
      </c>
      <c r="J69" s="300">
        <f t="shared" ref="J69" si="111">(H69-H70)*100/I69</f>
        <v>2.37288135593221</v>
      </c>
      <c r="K69" s="293" t="s">
        <v>150</v>
      </c>
      <c r="L69" s="301">
        <f t="shared" ref="L69" si="112">H70-H69</f>
        <v>-0.560000000000002</v>
      </c>
    </row>
    <row r="70" spans="2:12">
      <c r="B70" s="294"/>
      <c r="C70" s="295"/>
      <c r="D70" s="39">
        <v>11.1</v>
      </c>
      <c r="E70" s="40">
        <v>3.3258</v>
      </c>
      <c r="F70" s="39">
        <v>1</v>
      </c>
      <c r="G70" s="106">
        <v>6.8</v>
      </c>
      <c r="H70" s="106">
        <f t="shared" si="109"/>
        <v>23.31</v>
      </c>
      <c r="I70" s="299"/>
      <c r="J70" s="300"/>
      <c r="K70" s="293"/>
      <c r="L70" s="301"/>
    </row>
    <row r="71" spans="2:12">
      <c r="B71" s="294" t="s">
        <v>1187</v>
      </c>
      <c r="C71" s="295"/>
      <c r="D71" s="39">
        <v>11.1</v>
      </c>
      <c r="E71" s="40">
        <v>2.1128</v>
      </c>
      <c r="F71" s="39">
        <v>1</v>
      </c>
      <c r="G71" s="106">
        <v>9.85</v>
      </c>
      <c r="H71" s="106">
        <f t="shared" si="109"/>
        <v>25.34</v>
      </c>
      <c r="I71" s="299">
        <f t="shared" ref="I71" si="113">ROUND((H71+H72)/2,1)</f>
        <v>25.4</v>
      </c>
      <c r="J71" s="300">
        <f t="shared" ref="J71" si="114">(H71-H72)*100/I71</f>
        <v>-0.748031496062997</v>
      </c>
      <c r="K71" s="293" t="s">
        <v>150</v>
      </c>
      <c r="L71" s="301">
        <f t="shared" ref="L71" si="115">H72-H71</f>
        <v>0.190000000000001</v>
      </c>
    </row>
    <row r="72" spans="2:12">
      <c r="B72" s="294"/>
      <c r="C72" s="295"/>
      <c r="D72" s="39">
        <v>11.1</v>
      </c>
      <c r="E72" s="40">
        <v>2.0966</v>
      </c>
      <c r="F72" s="39">
        <v>1</v>
      </c>
      <c r="G72" s="106">
        <v>9.85</v>
      </c>
      <c r="H72" s="106">
        <f t="shared" si="109"/>
        <v>25.53</v>
      </c>
      <c r="I72" s="299"/>
      <c r="J72" s="300"/>
      <c r="K72" s="293"/>
      <c r="L72" s="301"/>
    </row>
    <row r="73" spans="2:12">
      <c r="B73" s="294" t="s">
        <v>1188</v>
      </c>
      <c r="C73" s="295"/>
      <c r="D73" s="39">
        <v>11.1</v>
      </c>
      <c r="E73" s="40">
        <v>2.6151</v>
      </c>
      <c r="F73" s="39">
        <v>1</v>
      </c>
      <c r="G73" s="106">
        <v>7.05</v>
      </c>
      <c r="H73" s="106">
        <f t="shared" si="109"/>
        <v>28.6</v>
      </c>
      <c r="I73" s="299">
        <f t="shared" ref="I73" si="116">ROUND((H73+H74)/2,1)</f>
        <v>28.5</v>
      </c>
      <c r="J73" s="300">
        <f t="shared" ref="J73" si="117">(H73-H74)*100/I73</f>
        <v>0.771929824561412</v>
      </c>
      <c r="K73" s="293" t="s">
        <v>150</v>
      </c>
      <c r="L73" s="301">
        <f t="shared" ref="L73" si="118">H74-H73</f>
        <v>-0.220000000000002</v>
      </c>
    </row>
    <row r="74" spans="2:12">
      <c r="B74" s="294"/>
      <c r="C74" s="295"/>
      <c r="D74" s="39">
        <v>11.1</v>
      </c>
      <c r="E74" s="40">
        <v>2.6541</v>
      </c>
      <c r="F74" s="39">
        <v>1</v>
      </c>
      <c r="G74" s="106">
        <v>7</v>
      </c>
      <c r="H74" s="106">
        <f t="shared" si="109"/>
        <v>28.38</v>
      </c>
      <c r="I74" s="299"/>
      <c r="J74" s="300"/>
      <c r="K74" s="293"/>
      <c r="L74" s="301"/>
    </row>
    <row r="75" spans="2:12">
      <c r="B75" s="294" t="s">
        <v>1189</v>
      </c>
      <c r="C75" s="295"/>
      <c r="D75" s="39">
        <v>11.1</v>
      </c>
      <c r="E75" s="40">
        <v>2.6752</v>
      </c>
      <c r="F75" s="39">
        <v>1</v>
      </c>
      <c r="G75" s="106">
        <v>7</v>
      </c>
      <c r="H75" s="106">
        <f t="shared" si="109"/>
        <v>28.16</v>
      </c>
      <c r="I75" s="299">
        <f t="shared" ref="I75" si="119">ROUND((H75+H76)/2,1)</f>
        <v>28.3</v>
      </c>
      <c r="J75" s="300">
        <f t="shared" ref="J75" si="120">(H75-H76)*100/I75</f>
        <v>-1.13074204946997</v>
      </c>
      <c r="K75" s="293" t="s">
        <v>150</v>
      </c>
      <c r="L75" s="301">
        <f t="shared" ref="L75" si="121">H76-H75</f>
        <v>0.32</v>
      </c>
    </row>
    <row r="76" spans="2:12">
      <c r="B76" s="294"/>
      <c r="C76" s="295"/>
      <c r="D76" s="39">
        <v>11.1</v>
      </c>
      <c r="E76" s="40">
        <v>2.5014</v>
      </c>
      <c r="F76" s="39">
        <v>1</v>
      </c>
      <c r="G76" s="106">
        <v>7.4</v>
      </c>
      <c r="H76" s="106">
        <f t="shared" si="109"/>
        <v>28.48</v>
      </c>
      <c r="I76" s="299"/>
      <c r="J76" s="300"/>
      <c r="K76" s="293"/>
      <c r="L76" s="301"/>
    </row>
    <row r="77" spans="2:12">
      <c r="B77" s="294" t="s">
        <v>1190</v>
      </c>
      <c r="C77" s="295"/>
      <c r="D77" s="39">
        <v>11.1</v>
      </c>
      <c r="E77" s="40">
        <v>2.7735</v>
      </c>
      <c r="F77" s="39">
        <v>1</v>
      </c>
      <c r="G77" s="106">
        <v>7.3</v>
      </c>
      <c r="H77" s="106">
        <f t="shared" si="109"/>
        <v>26.04</v>
      </c>
      <c r="I77" s="299">
        <f t="shared" ref="I77" si="122">ROUND((H77+H78)/2,1)</f>
        <v>26.4</v>
      </c>
      <c r="J77" s="300">
        <f t="shared" ref="J77" si="123">(H77-H78)*100/I77</f>
        <v>-2.80303030303031</v>
      </c>
      <c r="K77" s="293" t="s">
        <v>150</v>
      </c>
      <c r="L77" s="301">
        <f t="shared" ref="L77" si="124">H78-H77</f>
        <v>0.740000000000002</v>
      </c>
    </row>
    <row r="78" spans="2:12">
      <c r="B78" s="294"/>
      <c r="C78" s="295"/>
      <c r="D78" s="39">
        <v>11.1</v>
      </c>
      <c r="E78" s="40">
        <v>2.6254</v>
      </c>
      <c r="F78" s="39">
        <v>1</v>
      </c>
      <c r="G78" s="106">
        <v>7.5</v>
      </c>
      <c r="H78" s="106">
        <f t="shared" si="109"/>
        <v>26.78</v>
      </c>
      <c r="I78" s="299"/>
      <c r="J78" s="300"/>
      <c r="K78" s="293"/>
      <c r="L78" s="301"/>
    </row>
    <row r="79" spans="2:12">
      <c r="B79" s="294" t="s">
        <v>1191</v>
      </c>
      <c r="C79" s="295"/>
      <c r="D79" s="39">
        <v>11.1</v>
      </c>
      <c r="E79" s="40">
        <v>2.5521</v>
      </c>
      <c r="F79" s="39">
        <v>1</v>
      </c>
      <c r="G79" s="106">
        <v>7.2</v>
      </c>
      <c r="H79" s="106">
        <f t="shared" si="109"/>
        <v>28.69</v>
      </c>
      <c r="I79" s="299">
        <f t="shared" ref="I79" si="125">ROUND((H79+H80)/2,1)</f>
        <v>28.8</v>
      </c>
      <c r="J79" s="300">
        <f t="shared" ref="J79" si="126">(H79-H80)*100/I79</f>
        <v>-0.624999999999999</v>
      </c>
      <c r="K79" s="293" t="s">
        <v>150</v>
      </c>
      <c r="L79" s="301">
        <f t="shared" ref="L79" si="127">H80-H79</f>
        <v>0.18</v>
      </c>
    </row>
    <row r="80" spans="2:12">
      <c r="B80" s="294"/>
      <c r="C80" s="295"/>
      <c r="D80" s="39">
        <v>11.1</v>
      </c>
      <c r="E80" s="40">
        <v>2.4189</v>
      </c>
      <c r="F80" s="39">
        <v>1</v>
      </c>
      <c r="G80" s="106">
        <v>7.55</v>
      </c>
      <c r="H80" s="106">
        <f t="shared" si="109"/>
        <v>28.87</v>
      </c>
      <c r="I80" s="299"/>
      <c r="J80" s="300"/>
      <c r="K80" s="293"/>
      <c r="L80" s="301"/>
    </row>
    <row r="81" spans="2:12">
      <c r="B81" s="294" t="s">
        <v>1192</v>
      </c>
      <c r="C81" s="295"/>
      <c r="D81" s="39">
        <v>11.1</v>
      </c>
      <c r="E81" s="40">
        <v>2.6654</v>
      </c>
      <c r="F81" s="39">
        <v>1</v>
      </c>
      <c r="G81" s="106">
        <v>6.8</v>
      </c>
      <c r="H81" s="106">
        <f t="shared" si="109"/>
        <v>29.09</v>
      </c>
      <c r="I81" s="299">
        <f t="shared" ref="I81" si="128">ROUND((H81+H82)/2,1)</f>
        <v>29.1</v>
      </c>
      <c r="J81" s="300">
        <f t="shared" ref="J81" si="129">(H81-H82)*100/I81</f>
        <v>-0.137457044673537</v>
      </c>
      <c r="K81" s="293" t="s">
        <v>150</v>
      </c>
      <c r="L81" s="301">
        <f t="shared" ref="L81" si="130">H82-H81</f>
        <v>0.0399999999999991</v>
      </c>
    </row>
    <row r="82" spans="2:12">
      <c r="B82" s="294"/>
      <c r="C82" s="295"/>
      <c r="D82" s="39">
        <v>11.1</v>
      </c>
      <c r="E82" s="40">
        <v>2.7011</v>
      </c>
      <c r="F82" s="39">
        <v>1</v>
      </c>
      <c r="G82" s="106">
        <v>6.7</v>
      </c>
      <c r="H82" s="106">
        <f t="shared" si="109"/>
        <v>29.13</v>
      </c>
      <c r="I82" s="299"/>
      <c r="J82" s="300"/>
      <c r="K82" s="293"/>
      <c r="L82" s="301"/>
    </row>
    <row r="83" spans="2:12">
      <c r="B83" s="294" t="s">
        <v>1193</v>
      </c>
      <c r="C83" s="295"/>
      <c r="D83" s="39">
        <v>11.1</v>
      </c>
      <c r="E83" s="40">
        <v>2.6027</v>
      </c>
      <c r="F83" s="39">
        <v>1</v>
      </c>
      <c r="G83" s="106">
        <v>8</v>
      </c>
      <c r="H83" s="106">
        <f t="shared" ref="H83:H84" si="131">ROUND(D83*100*F83*100*250/E83/G83/50/1000*0.95,2)</f>
        <v>25.32</v>
      </c>
      <c r="I83" s="299">
        <f t="shared" ref="I83" si="132">ROUND((H83+H84)/2,1)</f>
        <v>25.7</v>
      </c>
      <c r="J83" s="300">
        <f t="shared" ref="J83" si="133">(H83-H84)*100/I83</f>
        <v>-2.99610894941634</v>
      </c>
      <c r="K83" s="293" t="s">
        <v>150</v>
      </c>
      <c r="L83" s="301">
        <f t="shared" ref="L83" si="134">H84-H83</f>
        <v>0.77</v>
      </c>
    </row>
    <row r="84" spans="2:12">
      <c r="B84" s="294"/>
      <c r="C84" s="295"/>
      <c r="D84" s="39">
        <v>11.1</v>
      </c>
      <c r="E84" s="40">
        <v>2.5263</v>
      </c>
      <c r="F84" s="39">
        <v>1</v>
      </c>
      <c r="G84" s="106">
        <v>8</v>
      </c>
      <c r="H84" s="106">
        <f t="shared" si="131"/>
        <v>26.09</v>
      </c>
      <c r="I84" s="299"/>
      <c r="J84" s="300"/>
      <c r="K84" s="293"/>
      <c r="L84" s="301"/>
    </row>
    <row r="85" spans="2:12">
      <c r="B85" s="294" t="s">
        <v>1194</v>
      </c>
      <c r="C85" s="295"/>
      <c r="D85" s="39">
        <v>10.8</v>
      </c>
      <c r="E85" s="40">
        <v>3.2258</v>
      </c>
      <c r="F85" s="39">
        <v>1</v>
      </c>
      <c r="G85" s="106">
        <v>16.4</v>
      </c>
      <c r="H85" s="106">
        <f>ROUND(D85*100*F85*100*200/E85/G85/50/1000*0.95,2)</f>
        <v>7.76</v>
      </c>
      <c r="I85" s="299">
        <f t="shared" ref="I85" si="135">ROUND((H85+H86)/2,1)</f>
        <v>7.8</v>
      </c>
      <c r="J85" s="300">
        <f t="shared" ref="J85" si="136">(H85-H86)*100/I85</f>
        <v>0</v>
      </c>
      <c r="K85" s="316" t="s">
        <v>877</v>
      </c>
      <c r="L85" s="301">
        <f t="shared" ref="L85" si="137">H86-H85</f>
        <v>0</v>
      </c>
    </row>
    <row r="86" spans="2:12">
      <c r="B86" s="294"/>
      <c r="C86" s="295"/>
      <c r="D86" s="39">
        <v>10.8</v>
      </c>
      <c r="E86" s="40">
        <v>3.2258</v>
      </c>
      <c r="F86" s="39">
        <v>1</v>
      </c>
      <c r="G86" s="106">
        <v>16.4</v>
      </c>
      <c r="H86" s="106">
        <f>ROUND(D86*100*F86*100*200/E86/G86/50/1000*0.95,2)</f>
        <v>7.76</v>
      </c>
      <c r="I86" s="299"/>
      <c r="J86" s="300"/>
      <c r="K86" s="316"/>
      <c r="L86" s="301"/>
    </row>
    <row r="87" spans="2:12">
      <c r="B87" s="294" t="s">
        <v>1194</v>
      </c>
      <c r="C87" s="295"/>
      <c r="D87" s="39">
        <v>10.8</v>
      </c>
      <c r="E87" s="40">
        <v>3.9588</v>
      </c>
      <c r="F87" s="39">
        <v>1</v>
      </c>
      <c r="G87" s="106">
        <v>14.8</v>
      </c>
      <c r="H87" s="106">
        <f t="shared" ref="H87:H88" si="138">ROUND(D87*100*F87*100*250/E87/G87/50/1000*0.95,2)</f>
        <v>8.76</v>
      </c>
      <c r="I87" s="299">
        <f t="shared" ref="I87" si="139">ROUND((H87+H88)/2,1)</f>
        <v>8.6</v>
      </c>
      <c r="J87" s="300">
        <f t="shared" ref="J87" si="140">(H87-H88)*100/I87</f>
        <v>2.79069767441861</v>
      </c>
      <c r="K87" s="293" t="s">
        <v>150</v>
      </c>
      <c r="L87" s="301">
        <f t="shared" ref="L87" si="141">H88-H87</f>
        <v>-0.24</v>
      </c>
    </row>
    <row r="88" spans="2:12">
      <c r="B88" s="294"/>
      <c r="C88" s="295"/>
      <c r="D88" s="39">
        <v>10.8</v>
      </c>
      <c r="E88" s="40">
        <v>4.0398</v>
      </c>
      <c r="F88" s="39">
        <v>1</v>
      </c>
      <c r="G88" s="106">
        <v>14.9</v>
      </c>
      <c r="H88" s="106">
        <f t="shared" si="138"/>
        <v>8.52</v>
      </c>
      <c r="I88" s="299"/>
      <c r="J88" s="300"/>
      <c r="K88" s="293"/>
      <c r="L88" s="301"/>
    </row>
    <row r="89" spans="2:12">
      <c r="B89" s="302" t="s">
        <v>898</v>
      </c>
      <c r="C89" s="295"/>
      <c r="D89" s="39">
        <v>10.9</v>
      </c>
      <c r="E89" s="303">
        <v>3.6289</v>
      </c>
      <c r="F89" s="39">
        <v>1</v>
      </c>
      <c r="G89" s="106">
        <v>10.5</v>
      </c>
      <c r="H89" s="106">
        <f t="shared" ref="H89:H90" si="142">ROUND(D89*100*F89*100*250/E89/G89/50/1000*0.95,2)</f>
        <v>13.59</v>
      </c>
      <c r="I89" s="299">
        <f t="shared" ref="I89" si="143">ROUND((H89+H90)/2,1)</f>
        <v>13.5</v>
      </c>
      <c r="J89" s="300">
        <f t="shared" ref="J89" si="144">(H89-H90)*100/I89</f>
        <v>1.55555555555555</v>
      </c>
      <c r="K89" s="293" t="s">
        <v>150</v>
      </c>
      <c r="L89" s="301">
        <f t="shared" ref="L89" si="145">H90-H89</f>
        <v>-0.209999999999999</v>
      </c>
    </row>
    <row r="90" spans="2:12">
      <c r="B90" s="302"/>
      <c r="C90" s="295"/>
      <c r="D90" s="39">
        <v>10.9</v>
      </c>
      <c r="E90" s="303">
        <v>3.6851</v>
      </c>
      <c r="F90" s="39">
        <v>1</v>
      </c>
      <c r="G90" s="106">
        <v>10.5</v>
      </c>
      <c r="H90" s="106">
        <f t="shared" si="142"/>
        <v>13.38</v>
      </c>
      <c r="I90" s="299"/>
      <c r="J90" s="300"/>
      <c r="K90" s="293"/>
      <c r="L90" s="301"/>
    </row>
    <row r="91" spans="2:12">
      <c r="B91" s="294" t="s">
        <v>1195</v>
      </c>
      <c r="C91" s="295"/>
      <c r="D91" s="39">
        <v>10.9</v>
      </c>
      <c r="E91" s="40">
        <v>4.4561</v>
      </c>
      <c r="F91" s="39">
        <v>4</v>
      </c>
      <c r="G91" s="106">
        <v>10.5</v>
      </c>
      <c r="H91" s="106">
        <f t="shared" ref="H91:H102" si="146">ROUND(D91*100*F91*100*250/E91/G91/50/1000*0.95,2)</f>
        <v>44.26</v>
      </c>
      <c r="I91" s="299">
        <f t="shared" ref="I91" si="147">ROUND((H91+H92)/2,1)</f>
        <v>44.5</v>
      </c>
      <c r="J91" s="300">
        <f t="shared" ref="J91" si="148">(H91-H92)*100/I91</f>
        <v>-1.0561797752809</v>
      </c>
      <c r="K91" s="293" t="s">
        <v>150</v>
      </c>
      <c r="L91" s="301">
        <f t="shared" ref="L91" si="149">H92-H91</f>
        <v>0.469999999999999</v>
      </c>
    </row>
    <row r="92" ht="22.5" customHeight="1" spans="2:12">
      <c r="B92" s="294"/>
      <c r="C92" s="295"/>
      <c r="D92" s="39">
        <v>10.9</v>
      </c>
      <c r="E92" s="40">
        <v>4.4098</v>
      </c>
      <c r="F92" s="39">
        <v>4</v>
      </c>
      <c r="G92" s="106">
        <v>10.5</v>
      </c>
      <c r="H92" s="106">
        <f t="shared" si="146"/>
        <v>44.73</v>
      </c>
      <c r="I92" s="299"/>
      <c r="J92" s="300"/>
      <c r="K92" s="293"/>
      <c r="L92" s="301"/>
    </row>
    <row r="93" spans="2:12">
      <c r="B93" s="302" t="s">
        <v>1196</v>
      </c>
      <c r="C93" s="304"/>
      <c r="D93" s="305">
        <v>10.8</v>
      </c>
      <c r="E93" s="303">
        <v>2.5678</v>
      </c>
      <c r="F93" s="305">
        <v>1</v>
      </c>
      <c r="G93" s="306">
        <v>11.9</v>
      </c>
      <c r="H93" s="106">
        <f t="shared" si="146"/>
        <v>16.79</v>
      </c>
      <c r="I93" s="299">
        <f t="shared" ref="I93" si="150">ROUND((H93+H94)/2,1)</f>
        <v>16.8</v>
      </c>
      <c r="J93" s="300">
        <f t="shared" ref="J93" si="151">(H93-H94)*100/I93</f>
        <v>0.119047619047617</v>
      </c>
      <c r="K93" s="293" t="s">
        <v>150</v>
      </c>
      <c r="L93" s="301">
        <f t="shared" ref="L93" si="152">H94-H93</f>
        <v>-0.0199999999999996</v>
      </c>
    </row>
    <row r="94" spans="2:12">
      <c r="B94" s="302"/>
      <c r="C94" s="304"/>
      <c r="D94" s="305">
        <v>10.8</v>
      </c>
      <c r="E94" s="303">
        <v>2.5701</v>
      </c>
      <c r="F94" s="305">
        <v>1</v>
      </c>
      <c r="G94" s="306">
        <v>11.9</v>
      </c>
      <c r="H94" s="106">
        <f t="shared" si="146"/>
        <v>16.77</v>
      </c>
      <c r="I94" s="299"/>
      <c r="J94" s="300"/>
      <c r="K94" s="293"/>
      <c r="L94" s="301"/>
    </row>
    <row r="95" customHeight="1" spans="2:12">
      <c r="B95" s="307" t="s">
        <v>1197</v>
      </c>
      <c r="C95" s="308"/>
      <c r="D95" s="282">
        <v>10.8</v>
      </c>
      <c r="E95" s="29">
        <v>3.8459</v>
      </c>
      <c r="F95" s="305">
        <v>1</v>
      </c>
      <c r="G95" s="306">
        <v>12.2</v>
      </c>
      <c r="H95" s="106">
        <f t="shared" si="146"/>
        <v>10.93</v>
      </c>
      <c r="I95" s="299">
        <f t="shared" ref="I95" si="153">ROUND((H95+H96)/2,1)</f>
        <v>10.8</v>
      </c>
      <c r="J95" s="300">
        <f t="shared" ref="J95" si="154">(H95-H96)*100/I95</f>
        <v>3.33333333333333</v>
      </c>
      <c r="K95" s="293" t="s">
        <v>150</v>
      </c>
      <c r="L95" s="301">
        <f t="shared" ref="L95" si="155">H96-H95</f>
        <v>-0.359999999999999</v>
      </c>
    </row>
    <row r="96" ht="18" customHeight="1" spans="2:12">
      <c r="B96" s="307"/>
      <c r="C96" s="308"/>
      <c r="D96" s="282">
        <v>10.8</v>
      </c>
      <c r="E96" s="29">
        <v>4.0122</v>
      </c>
      <c r="F96" s="305">
        <v>1</v>
      </c>
      <c r="G96" s="306">
        <v>12.1</v>
      </c>
      <c r="H96" s="106">
        <f t="shared" si="146"/>
        <v>10.57</v>
      </c>
      <c r="I96" s="299"/>
      <c r="J96" s="300"/>
      <c r="K96" s="293"/>
      <c r="L96" s="301"/>
    </row>
    <row r="97" ht="20.25" spans="2:12">
      <c r="B97" s="307" t="s">
        <v>959</v>
      </c>
      <c r="C97" s="308"/>
      <c r="D97" s="282">
        <v>11</v>
      </c>
      <c r="E97" s="29">
        <v>2.5143</v>
      </c>
      <c r="F97" s="305">
        <v>1</v>
      </c>
      <c r="G97" s="306">
        <v>8.6</v>
      </c>
      <c r="H97" s="106">
        <f t="shared" si="146"/>
        <v>24.16</v>
      </c>
      <c r="I97" s="299">
        <f t="shared" ref="I97:I99" si="156">ROUND((H97+H98)/2,1)</f>
        <v>24.2</v>
      </c>
      <c r="J97" s="300">
        <f t="shared" ref="J97" si="157">(H97-H98)*100/I97</f>
        <v>-0.578512396694217</v>
      </c>
      <c r="K97" s="293" t="s">
        <v>150</v>
      </c>
      <c r="L97" s="301">
        <f t="shared" ref="L97" si="158">H98-H97</f>
        <v>0.140000000000001</v>
      </c>
    </row>
    <row r="98" ht="20.25" spans="2:12">
      <c r="B98" s="307"/>
      <c r="C98" s="308"/>
      <c r="D98" s="282">
        <v>11</v>
      </c>
      <c r="E98" s="29">
        <v>2.4569</v>
      </c>
      <c r="F98" s="305">
        <v>1</v>
      </c>
      <c r="G98" s="306">
        <v>8.75</v>
      </c>
      <c r="H98" s="106">
        <f t="shared" si="146"/>
        <v>24.3</v>
      </c>
      <c r="I98" s="299"/>
      <c r="J98" s="300"/>
      <c r="K98" s="293"/>
      <c r="L98" s="301"/>
    </row>
    <row r="99" ht="20.25" spans="2:12">
      <c r="B99" s="307" t="s">
        <v>960</v>
      </c>
      <c r="C99" s="308"/>
      <c r="D99" s="282">
        <v>11</v>
      </c>
      <c r="E99" s="29">
        <v>8.4192</v>
      </c>
      <c r="F99" s="305">
        <v>1</v>
      </c>
      <c r="G99" s="306">
        <v>10.95</v>
      </c>
      <c r="H99" s="106">
        <f t="shared" si="146"/>
        <v>5.67</v>
      </c>
      <c r="I99" s="299">
        <f t="shared" si="156"/>
        <v>5.7</v>
      </c>
      <c r="J99" s="300">
        <f t="shared" ref="J99" si="159">(H99-H100)*100/I99</f>
        <v>-1.05263157894738</v>
      </c>
      <c r="K99" s="293" t="s">
        <v>150</v>
      </c>
      <c r="L99" s="301">
        <f t="shared" ref="L99" si="160">H100-H99</f>
        <v>0.0600000000000005</v>
      </c>
    </row>
    <row r="100" ht="20.25" spans="2:12">
      <c r="B100" s="307"/>
      <c r="C100" s="308"/>
      <c r="D100" s="282">
        <v>11</v>
      </c>
      <c r="E100" s="29">
        <v>9.0211</v>
      </c>
      <c r="F100" s="305">
        <v>1</v>
      </c>
      <c r="G100" s="306">
        <v>10.1</v>
      </c>
      <c r="H100" s="106">
        <f t="shared" si="146"/>
        <v>5.73</v>
      </c>
      <c r="I100" s="299"/>
      <c r="J100" s="300"/>
      <c r="K100" s="293"/>
      <c r="L100" s="301"/>
    </row>
    <row r="101" ht="20.25" customHeight="1" spans="2:12">
      <c r="B101" s="307" t="s">
        <v>1198</v>
      </c>
      <c r="C101" s="308"/>
      <c r="D101" s="282">
        <v>11</v>
      </c>
      <c r="E101" s="29">
        <v>4.808</v>
      </c>
      <c r="F101" s="305">
        <v>2</v>
      </c>
      <c r="G101" s="306">
        <v>8.2</v>
      </c>
      <c r="H101" s="293">
        <f t="shared" si="146"/>
        <v>26.51</v>
      </c>
      <c r="I101" s="299">
        <f t="shared" ref="I101" si="161">ROUND((H101+H102)/2,1)</f>
        <v>26.4</v>
      </c>
      <c r="J101" s="300">
        <f t="shared" ref="J101" si="162">(H101-H102)*100/I101</f>
        <v>0.606060606060607</v>
      </c>
      <c r="K101" s="293" t="s">
        <v>150</v>
      </c>
      <c r="L101" s="301">
        <f t="shared" ref="L101" si="163">H102-H101</f>
        <v>-0.16</v>
      </c>
    </row>
    <row r="102" ht="20.25" customHeight="1" spans="2:12">
      <c r="B102" s="307"/>
      <c r="C102" s="308"/>
      <c r="D102" s="282">
        <v>11</v>
      </c>
      <c r="E102" s="29">
        <v>4.9566</v>
      </c>
      <c r="F102" s="305">
        <v>2</v>
      </c>
      <c r="G102" s="306">
        <v>8</v>
      </c>
      <c r="H102" s="293">
        <f t="shared" si="146"/>
        <v>26.35</v>
      </c>
      <c r="I102" s="299"/>
      <c r="J102" s="300"/>
      <c r="K102" s="293"/>
      <c r="L102" s="301"/>
    </row>
    <row r="103" ht="20.25" spans="2:12">
      <c r="B103" s="309" t="s">
        <v>981</v>
      </c>
      <c r="C103" s="310"/>
      <c r="D103" s="311">
        <v>11</v>
      </c>
      <c r="E103" s="312">
        <v>2.4733</v>
      </c>
      <c r="F103" s="311">
        <v>2</v>
      </c>
      <c r="G103" s="313">
        <v>10.9</v>
      </c>
      <c r="H103" s="293">
        <f t="shared" ref="H103:H113" si="164">ROUND(D103*100*F103*100*250/E103/G103/50/1000*0.95,2)</f>
        <v>38.76</v>
      </c>
      <c r="I103" s="299">
        <f t="shared" ref="I103" si="165">ROUND((H103+H104)/2,1)</f>
        <v>38.5</v>
      </c>
      <c r="J103" s="300">
        <f t="shared" ref="J103" si="166">(H103-H104)*100/I103</f>
        <v>1.14285714285714</v>
      </c>
      <c r="K103" s="293" t="s">
        <v>883</v>
      </c>
      <c r="L103" s="301">
        <f t="shared" ref="L103" si="167">H104-H103</f>
        <v>-0.439999999999998</v>
      </c>
    </row>
    <row r="104" ht="20.25" spans="2:12">
      <c r="B104" s="309"/>
      <c r="C104" s="310"/>
      <c r="D104" s="311">
        <v>11</v>
      </c>
      <c r="E104" s="312">
        <v>2.5017</v>
      </c>
      <c r="F104" s="311">
        <v>2</v>
      </c>
      <c r="G104" s="313">
        <v>10.9</v>
      </c>
      <c r="H104" s="293">
        <f t="shared" si="164"/>
        <v>38.32</v>
      </c>
      <c r="I104" s="299"/>
      <c r="J104" s="300"/>
      <c r="K104" s="293"/>
      <c r="L104" s="301"/>
    </row>
    <row r="105" ht="20.25" spans="2:12">
      <c r="B105" s="309" t="s">
        <v>982</v>
      </c>
      <c r="C105" s="310"/>
      <c r="D105" s="311">
        <v>11</v>
      </c>
      <c r="E105" s="312">
        <v>2.1865</v>
      </c>
      <c r="F105" s="311">
        <v>1</v>
      </c>
      <c r="G105" s="313">
        <v>10.65</v>
      </c>
      <c r="H105" s="293">
        <f t="shared" si="164"/>
        <v>22.44</v>
      </c>
      <c r="I105" s="299">
        <f t="shared" ref="I105" si="168">ROUND((H105+H106)/2,1)</f>
        <v>22.7</v>
      </c>
      <c r="J105" s="300">
        <f t="shared" ref="J105" si="169">(H105-H106)*100/I105</f>
        <v>-2.15859030837004</v>
      </c>
      <c r="K105" s="293" t="s">
        <v>885</v>
      </c>
      <c r="L105" s="301">
        <f t="shared" ref="L105" si="170">H106-H105</f>
        <v>0.489999999999998</v>
      </c>
    </row>
    <row r="106" ht="18.95" customHeight="1" spans="2:12">
      <c r="B106" s="309"/>
      <c r="C106" s="310"/>
      <c r="D106" s="311">
        <v>11</v>
      </c>
      <c r="E106" s="312">
        <v>2.3987</v>
      </c>
      <c r="F106" s="311">
        <v>1</v>
      </c>
      <c r="G106" s="313">
        <v>9.5</v>
      </c>
      <c r="H106" s="293">
        <f t="shared" si="164"/>
        <v>22.93</v>
      </c>
      <c r="I106" s="299"/>
      <c r="J106" s="300"/>
      <c r="K106" s="293"/>
      <c r="L106" s="301"/>
    </row>
    <row r="107" ht="20.25" spans="2:11">
      <c r="B107" s="307" t="s">
        <v>1199</v>
      </c>
      <c r="C107" s="308"/>
      <c r="D107" s="282">
        <v>11.1</v>
      </c>
      <c r="E107" s="29">
        <v>3.106</v>
      </c>
      <c r="F107" s="305">
        <v>1</v>
      </c>
      <c r="G107" s="306">
        <v>8.2</v>
      </c>
      <c r="H107" s="293">
        <f t="shared" si="164"/>
        <v>20.7</v>
      </c>
      <c r="I107" s="299">
        <f t="shared" ref="I107:I111" si="171">ROUND((H107+H108)/2,1)</f>
        <v>20.6</v>
      </c>
      <c r="J107" s="300">
        <f t="shared" ref="J107:J111" si="172">(H107-H108)*100/I107</f>
        <v>0.631067961165044</v>
      </c>
      <c r="K107" s="293" t="s">
        <v>150</v>
      </c>
    </row>
    <row r="108" ht="20.25" spans="2:10">
      <c r="B108" s="307"/>
      <c r="C108" s="308"/>
      <c r="D108" s="282">
        <v>11.1</v>
      </c>
      <c r="E108" s="29">
        <v>2.589</v>
      </c>
      <c r="F108" s="305">
        <v>1</v>
      </c>
      <c r="G108" s="306">
        <v>9.9</v>
      </c>
      <c r="H108" s="293">
        <f t="shared" si="164"/>
        <v>20.57</v>
      </c>
      <c r="I108" s="299"/>
      <c r="J108" s="300"/>
    </row>
    <row r="109" ht="20.25" spans="2:11">
      <c r="B109" s="307" t="s">
        <v>1200</v>
      </c>
      <c r="C109" s="310"/>
      <c r="D109" s="282">
        <v>11.1</v>
      </c>
      <c r="E109" s="312">
        <v>2.6051</v>
      </c>
      <c r="F109" s="305">
        <v>1</v>
      </c>
      <c r="G109" s="313">
        <v>6.4</v>
      </c>
      <c r="H109" s="293">
        <f t="shared" si="164"/>
        <v>31.62</v>
      </c>
      <c r="I109" s="299">
        <f t="shared" si="171"/>
        <v>31.5</v>
      </c>
      <c r="J109" s="300">
        <f t="shared" si="172"/>
        <v>0.539682539682545</v>
      </c>
      <c r="K109" s="293" t="s">
        <v>883</v>
      </c>
    </row>
    <row r="110" ht="20.25" spans="2:10">
      <c r="B110" s="307"/>
      <c r="C110" s="310"/>
      <c r="D110" s="282">
        <v>11.1</v>
      </c>
      <c r="E110" s="312">
        <v>2.5211</v>
      </c>
      <c r="F110" s="305">
        <v>1</v>
      </c>
      <c r="G110" s="313">
        <v>6.65</v>
      </c>
      <c r="H110" s="293">
        <f t="shared" si="164"/>
        <v>31.45</v>
      </c>
      <c r="I110" s="299"/>
      <c r="J110" s="300"/>
    </row>
    <row r="111" ht="20.25" spans="2:11">
      <c r="B111" s="307" t="s">
        <v>1201</v>
      </c>
      <c r="C111" s="310"/>
      <c r="D111" s="282">
        <v>11.1</v>
      </c>
      <c r="E111" s="312">
        <v>3.6613</v>
      </c>
      <c r="F111" s="311">
        <v>1</v>
      </c>
      <c r="G111" s="313">
        <v>6.7</v>
      </c>
      <c r="H111" s="293">
        <f t="shared" si="164"/>
        <v>21.49</v>
      </c>
      <c r="I111" s="299">
        <f t="shared" si="171"/>
        <v>21.6</v>
      </c>
      <c r="J111" s="300">
        <f t="shared" si="172"/>
        <v>-0.879629629629636</v>
      </c>
      <c r="K111" s="293" t="s">
        <v>885</v>
      </c>
    </row>
    <row r="112" ht="20.25" spans="2:10">
      <c r="B112" s="307"/>
      <c r="C112" s="310"/>
      <c r="D112" s="282">
        <v>11.1</v>
      </c>
      <c r="E112" s="312">
        <v>3.0214</v>
      </c>
      <c r="F112" s="311">
        <v>1</v>
      </c>
      <c r="G112" s="313">
        <v>8.05</v>
      </c>
      <c r="H112" s="293">
        <f t="shared" si="164"/>
        <v>21.68</v>
      </c>
      <c r="I112" s="299"/>
      <c r="J112" s="300"/>
    </row>
    <row r="113" ht="20.25" spans="1:11">
      <c r="A113" s="293">
        <v>5.6</v>
      </c>
      <c r="B113" s="307" t="s">
        <v>1202</v>
      </c>
      <c r="C113" s="310"/>
      <c r="D113" s="282">
        <v>11</v>
      </c>
      <c r="E113" s="312">
        <v>3.5655</v>
      </c>
      <c r="F113" s="311">
        <v>1</v>
      </c>
      <c r="G113" s="313">
        <v>12.15</v>
      </c>
      <c r="H113" s="293">
        <f t="shared" si="164"/>
        <v>12.06</v>
      </c>
      <c r="I113" s="299">
        <f>ROUND((H113+H114)/2,1)</f>
        <v>12.1</v>
      </c>
      <c r="J113" s="300">
        <f>(H113-H114)*100/I113</f>
        <v>-0.826446280991733</v>
      </c>
      <c r="K113" s="293" t="s">
        <v>150</v>
      </c>
    </row>
    <row r="114" ht="20.25" spans="2:10">
      <c r="B114" s="307"/>
      <c r="C114" s="310"/>
      <c r="D114" s="282">
        <v>11</v>
      </c>
      <c r="E114" s="312">
        <v>3.1247</v>
      </c>
      <c r="F114" s="311">
        <v>1</v>
      </c>
      <c r="G114" s="313">
        <v>13.75</v>
      </c>
      <c r="H114" s="293">
        <f t="shared" ref="H114:H124" si="173">ROUND(D114*100*F114*100*250/E114/G114/50/1000*0.95,2)</f>
        <v>12.16</v>
      </c>
      <c r="I114" s="299"/>
      <c r="J114" s="300"/>
    </row>
    <row r="115" ht="20.25" spans="1:11">
      <c r="A115" s="293">
        <v>5.18</v>
      </c>
      <c r="B115" s="307" t="s">
        <v>1203</v>
      </c>
      <c r="C115" s="310"/>
      <c r="D115" s="282">
        <v>11</v>
      </c>
      <c r="E115" s="312">
        <v>2.5297</v>
      </c>
      <c r="F115" s="311">
        <v>1</v>
      </c>
      <c r="G115" s="313">
        <v>7.75</v>
      </c>
      <c r="H115" s="293">
        <f t="shared" si="173"/>
        <v>26.65</v>
      </c>
      <c r="I115" s="299">
        <f t="shared" ref="I115:I119" si="174">ROUND((H115+H116)/2,1)</f>
        <v>25.9</v>
      </c>
      <c r="J115" s="300">
        <f t="shared" ref="J115:J119" si="175">(H115-H116)*100/I115</f>
        <v>5.55984555984555</v>
      </c>
      <c r="K115" s="293" t="s">
        <v>150</v>
      </c>
    </row>
    <row r="116" ht="20.25" spans="2:10">
      <c r="B116" s="307"/>
      <c r="C116" s="310"/>
      <c r="D116" s="282">
        <v>11</v>
      </c>
      <c r="E116" s="312">
        <v>2.5911</v>
      </c>
      <c r="F116" s="311">
        <v>1</v>
      </c>
      <c r="G116" s="313">
        <v>8</v>
      </c>
      <c r="H116" s="293">
        <f t="shared" si="173"/>
        <v>25.21</v>
      </c>
      <c r="I116" s="299"/>
      <c r="J116" s="300"/>
    </row>
    <row r="117" ht="20.25" spans="1:11">
      <c r="A117" s="293">
        <v>6.3</v>
      </c>
      <c r="B117" s="307" t="s">
        <v>1204</v>
      </c>
      <c r="C117" s="310"/>
      <c r="D117" s="282">
        <v>11.1</v>
      </c>
      <c r="E117" s="312">
        <v>2.8639</v>
      </c>
      <c r="F117" s="311">
        <v>1</v>
      </c>
      <c r="G117" s="313">
        <v>6.5</v>
      </c>
      <c r="H117" s="293">
        <f t="shared" si="173"/>
        <v>28.32</v>
      </c>
      <c r="I117" s="299">
        <f t="shared" si="174"/>
        <v>28</v>
      </c>
      <c r="J117" s="300">
        <f t="shared" si="175"/>
        <v>2.46428571428572</v>
      </c>
      <c r="K117" s="293" t="s">
        <v>150</v>
      </c>
    </row>
    <row r="118" ht="20.25" spans="2:10">
      <c r="B118" s="307"/>
      <c r="C118" s="310"/>
      <c r="D118" s="282">
        <v>11.1</v>
      </c>
      <c r="E118" s="312">
        <v>2.982</v>
      </c>
      <c r="F118" s="311">
        <v>1</v>
      </c>
      <c r="G118" s="313">
        <v>6.4</v>
      </c>
      <c r="H118" s="293">
        <f t="shared" si="173"/>
        <v>27.63</v>
      </c>
      <c r="I118" s="299"/>
      <c r="J118" s="300"/>
    </row>
    <row r="119" ht="20.25" spans="2:11">
      <c r="B119" s="307" t="s">
        <v>1091</v>
      </c>
      <c r="C119" s="310"/>
      <c r="D119" s="282">
        <v>11.1</v>
      </c>
      <c r="E119" s="312">
        <v>5.669</v>
      </c>
      <c r="F119" s="311">
        <v>1</v>
      </c>
      <c r="G119" s="313">
        <v>8.95</v>
      </c>
      <c r="H119" s="293">
        <f t="shared" si="173"/>
        <v>10.39</v>
      </c>
      <c r="I119" s="299">
        <f t="shared" si="174"/>
        <v>10.4</v>
      </c>
      <c r="J119" s="300">
        <f t="shared" si="175"/>
        <v>-0.288461538461532</v>
      </c>
      <c r="K119" s="293" t="s">
        <v>150</v>
      </c>
    </row>
    <row r="120" ht="20.25" spans="2:10">
      <c r="B120" s="307"/>
      <c r="C120" s="310"/>
      <c r="D120" s="282">
        <v>11.1</v>
      </c>
      <c r="E120" s="312">
        <v>5.2147</v>
      </c>
      <c r="F120" s="311">
        <v>1</v>
      </c>
      <c r="G120" s="313">
        <v>9.7</v>
      </c>
      <c r="H120" s="293">
        <f t="shared" si="173"/>
        <v>10.42</v>
      </c>
      <c r="I120" s="299"/>
      <c r="J120" s="300"/>
    </row>
    <row r="121" ht="20.25" spans="1:11">
      <c r="A121" s="314">
        <v>5.22</v>
      </c>
      <c r="B121" s="315" t="s">
        <v>1098</v>
      </c>
      <c r="C121" s="310"/>
      <c r="D121" s="311">
        <v>11.1</v>
      </c>
      <c r="E121" s="312">
        <v>8.91971</v>
      </c>
      <c r="F121" s="311">
        <v>2</v>
      </c>
      <c r="G121" s="313">
        <v>10.9</v>
      </c>
      <c r="H121" s="293">
        <f t="shared" si="173"/>
        <v>10.85</v>
      </c>
      <c r="I121" s="299">
        <f>ROUND((H121+H122)/2,1)</f>
        <v>11</v>
      </c>
      <c r="J121" s="300">
        <f>(H121-H122)*100/I121</f>
        <v>-2.09090909090909</v>
      </c>
      <c r="K121" s="293" t="s">
        <v>150</v>
      </c>
    </row>
    <row r="122" ht="20.25" spans="1:10">
      <c r="A122" s="314"/>
      <c r="B122" s="309"/>
      <c r="C122" s="310"/>
      <c r="D122" s="311">
        <v>11.1</v>
      </c>
      <c r="E122" s="312">
        <v>8.2014</v>
      </c>
      <c r="F122" s="311">
        <v>2</v>
      </c>
      <c r="G122" s="313">
        <v>11.6</v>
      </c>
      <c r="H122" s="293">
        <f t="shared" si="173"/>
        <v>11.08</v>
      </c>
      <c r="I122" s="299"/>
      <c r="J122" s="300"/>
    </row>
    <row r="123" ht="20.25" spans="1:11">
      <c r="A123" s="293">
        <v>6.23</v>
      </c>
      <c r="B123" s="315" t="s">
        <v>1205</v>
      </c>
      <c r="D123" s="311">
        <v>11.1</v>
      </c>
      <c r="E123" s="312">
        <v>12.1147</v>
      </c>
      <c r="F123" s="311">
        <v>4</v>
      </c>
      <c r="G123" s="313">
        <v>12.6</v>
      </c>
      <c r="H123" s="293">
        <f t="shared" si="173"/>
        <v>13.82</v>
      </c>
      <c r="I123" s="299">
        <f t="shared" ref="I123:I127" si="176">ROUND((H123+H124)/2,1)</f>
        <v>13.8</v>
      </c>
      <c r="J123" s="300">
        <f t="shared" ref="J123:J127" si="177">(H123-H124)*100/I123</f>
        <v>0.797101449275358</v>
      </c>
      <c r="K123" s="293" t="s">
        <v>150</v>
      </c>
    </row>
    <row r="124" ht="20.25" spans="2:10">
      <c r="B124" s="309"/>
      <c r="D124" s="311">
        <v>11.1</v>
      </c>
      <c r="E124" s="312">
        <v>12.1147</v>
      </c>
      <c r="F124" s="311">
        <v>4</v>
      </c>
      <c r="G124" s="313">
        <v>12.7</v>
      </c>
      <c r="H124" s="293">
        <f t="shared" si="173"/>
        <v>13.71</v>
      </c>
      <c r="I124" s="299"/>
      <c r="J124" s="300"/>
    </row>
    <row r="125" ht="50.25" customHeight="1" spans="1:11">
      <c r="A125" s="293">
        <v>630</v>
      </c>
      <c r="B125" s="315" t="s">
        <v>1117</v>
      </c>
      <c r="C125" s="310"/>
      <c r="D125" s="311">
        <v>11</v>
      </c>
      <c r="E125" s="312">
        <v>3.218</v>
      </c>
      <c r="F125" s="311">
        <v>1</v>
      </c>
      <c r="G125" s="313">
        <v>8.1</v>
      </c>
      <c r="H125" s="293">
        <f t="shared" ref="H125:H146" si="178">ROUND(D125*100*F125*100*250/E125/G125/50/1000*0.95,2)</f>
        <v>20.05</v>
      </c>
      <c r="I125" s="299">
        <f t="shared" si="176"/>
        <v>20.5</v>
      </c>
      <c r="J125" s="300">
        <f t="shared" si="177"/>
        <v>-4.48780487804877</v>
      </c>
      <c r="K125" s="293" t="s">
        <v>150</v>
      </c>
    </row>
    <row r="126" ht="20.25" spans="2:10">
      <c r="B126" s="309"/>
      <c r="C126" s="310"/>
      <c r="D126" s="311">
        <v>11</v>
      </c>
      <c r="E126" s="312">
        <v>3.0026</v>
      </c>
      <c r="F126" s="311">
        <v>1</v>
      </c>
      <c r="G126" s="313">
        <v>8.3</v>
      </c>
      <c r="H126" s="293">
        <f t="shared" si="178"/>
        <v>20.97</v>
      </c>
      <c r="I126" s="299"/>
      <c r="J126" s="300"/>
    </row>
    <row r="127" ht="20.25" spans="1:10">
      <c r="A127" s="293">
        <v>7.9</v>
      </c>
      <c r="B127" s="307" t="s">
        <v>1206</v>
      </c>
      <c r="C127" s="310"/>
      <c r="D127" s="282">
        <v>11</v>
      </c>
      <c r="E127" s="312">
        <v>2.5463</v>
      </c>
      <c r="F127" s="311">
        <v>1</v>
      </c>
      <c r="G127" s="313">
        <v>5.6</v>
      </c>
      <c r="H127" s="293">
        <f t="shared" si="178"/>
        <v>36.64</v>
      </c>
      <c r="I127" s="299">
        <f t="shared" si="176"/>
        <v>36.7</v>
      </c>
      <c r="J127" s="300">
        <f t="shared" si="177"/>
        <v>-0.435967302452307</v>
      </c>
    </row>
    <row r="128" ht="20.25" spans="2:10">
      <c r="B128" s="307"/>
      <c r="C128" s="310"/>
      <c r="D128" s="282">
        <v>11</v>
      </c>
      <c r="E128" s="312">
        <v>2.2014</v>
      </c>
      <c r="F128" s="311">
        <v>1</v>
      </c>
      <c r="G128" s="313">
        <v>6.45</v>
      </c>
      <c r="H128" s="293">
        <f t="shared" si="178"/>
        <v>36.8</v>
      </c>
      <c r="I128" s="299"/>
      <c r="J128" s="300"/>
    </row>
    <row r="129" ht="20.25" spans="2:10">
      <c r="B129" s="307" t="s">
        <v>1207</v>
      </c>
      <c r="C129" s="310"/>
      <c r="D129" s="282">
        <v>11</v>
      </c>
      <c r="E129" s="312">
        <v>2.4863</v>
      </c>
      <c r="F129" s="311">
        <v>1</v>
      </c>
      <c r="G129" s="313">
        <v>14.55</v>
      </c>
      <c r="H129" s="293">
        <f t="shared" si="178"/>
        <v>14.44</v>
      </c>
      <c r="I129" s="299">
        <f t="shared" ref="I129:I133" si="179">ROUND((H129+H130)/2,1)</f>
        <v>14.6</v>
      </c>
      <c r="J129" s="300">
        <f t="shared" ref="J129:J133" si="180">(H129-H130)*100/I129</f>
        <v>-2.19178082191781</v>
      </c>
    </row>
    <row r="130" ht="20.25" spans="2:10">
      <c r="B130" s="307"/>
      <c r="C130" s="310"/>
      <c r="D130" s="282">
        <v>11</v>
      </c>
      <c r="E130" s="312">
        <v>2.4241</v>
      </c>
      <c r="F130" s="311">
        <v>1</v>
      </c>
      <c r="G130" s="313">
        <v>14.6</v>
      </c>
      <c r="H130" s="293">
        <f t="shared" si="178"/>
        <v>14.76</v>
      </c>
      <c r="I130" s="299"/>
      <c r="J130" s="300"/>
    </row>
    <row r="131" ht="20.25" spans="2:10">
      <c r="B131" s="307" t="s">
        <v>1208</v>
      </c>
      <c r="C131" s="310"/>
      <c r="D131" s="282">
        <v>11</v>
      </c>
      <c r="E131" s="312">
        <v>2.3056</v>
      </c>
      <c r="F131" s="311">
        <v>1</v>
      </c>
      <c r="G131" s="313">
        <v>5.8</v>
      </c>
      <c r="H131" s="293">
        <f t="shared" si="178"/>
        <v>39.07</v>
      </c>
      <c r="I131" s="299">
        <f t="shared" si="179"/>
        <v>38.6</v>
      </c>
      <c r="J131" s="300">
        <f t="shared" si="180"/>
        <v>2.30569948186529</v>
      </c>
    </row>
    <row r="132" ht="20.25" spans="2:10">
      <c r="B132" s="307"/>
      <c r="C132" s="310"/>
      <c r="D132" s="282">
        <v>11</v>
      </c>
      <c r="E132" s="312">
        <v>2.0124</v>
      </c>
      <c r="F132" s="311">
        <v>1</v>
      </c>
      <c r="G132" s="313">
        <v>6.8</v>
      </c>
      <c r="H132" s="293">
        <f t="shared" si="178"/>
        <v>38.18</v>
      </c>
      <c r="I132" s="299"/>
      <c r="J132" s="300"/>
    </row>
    <row r="133" ht="20.25" spans="2:10">
      <c r="B133" s="307" t="s">
        <v>1209</v>
      </c>
      <c r="C133" s="310"/>
      <c r="D133" s="282">
        <v>11</v>
      </c>
      <c r="E133" s="312">
        <v>2.2299</v>
      </c>
      <c r="F133" s="311">
        <v>1</v>
      </c>
      <c r="G133" s="313">
        <v>6</v>
      </c>
      <c r="H133" s="293">
        <f t="shared" si="178"/>
        <v>39.05</v>
      </c>
      <c r="I133" s="299">
        <f t="shared" si="179"/>
        <v>39.4</v>
      </c>
      <c r="J133" s="300">
        <f t="shared" si="180"/>
        <v>-1.7005076142132</v>
      </c>
    </row>
    <row r="134" ht="20.25" spans="2:10">
      <c r="B134" s="307"/>
      <c r="C134" s="310"/>
      <c r="D134" s="282">
        <v>11</v>
      </c>
      <c r="E134" s="312">
        <v>2.0081</v>
      </c>
      <c r="F134" s="311">
        <v>1</v>
      </c>
      <c r="G134" s="313">
        <v>6.55</v>
      </c>
      <c r="H134" s="293">
        <f t="shared" si="178"/>
        <v>39.72</v>
      </c>
      <c r="I134" s="299"/>
      <c r="J134" s="300"/>
    </row>
    <row r="135" ht="20.25" spans="2:10">
      <c r="B135" s="307" t="s">
        <v>1210</v>
      </c>
      <c r="C135" s="310"/>
      <c r="D135" s="282">
        <v>11</v>
      </c>
      <c r="E135" s="312">
        <v>2.6294</v>
      </c>
      <c r="F135" s="311">
        <v>1</v>
      </c>
      <c r="G135" s="313">
        <v>13.7</v>
      </c>
      <c r="H135" s="293">
        <f t="shared" si="178"/>
        <v>14.5</v>
      </c>
      <c r="I135" s="299">
        <f t="shared" ref="I135:I139" si="181">ROUND((H135+H136)/2,1)</f>
        <v>14.5</v>
      </c>
      <c r="J135" s="300">
        <f t="shared" ref="J135:J139" si="182">(H135-H136)*100/I135</f>
        <v>-0.551724137931035</v>
      </c>
    </row>
    <row r="136" ht="20.25" spans="2:10">
      <c r="B136" s="307"/>
      <c r="C136" s="310"/>
      <c r="D136" s="282">
        <v>11</v>
      </c>
      <c r="E136" s="312">
        <v>2.5598</v>
      </c>
      <c r="F136" s="311">
        <v>1</v>
      </c>
      <c r="G136" s="313">
        <v>14</v>
      </c>
      <c r="H136" s="293">
        <f t="shared" si="178"/>
        <v>14.58</v>
      </c>
      <c r="I136" s="299"/>
      <c r="J136" s="300"/>
    </row>
    <row r="137" ht="20.25" spans="2:12">
      <c r="B137" s="307" t="s">
        <v>1211</v>
      </c>
      <c r="C137" s="310"/>
      <c r="D137" s="282">
        <v>11</v>
      </c>
      <c r="E137" s="312">
        <v>2.5026</v>
      </c>
      <c r="F137" s="311">
        <v>2</v>
      </c>
      <c r="G137" s="313">
        <v>8.9</v>
      </c>
      <c r="H137" s="293">
        <f t="shared" si="178"/>
        <v>46.92</v>
      </c>
      <c r="I137" s="299">
        <f t="shared" si="181"/>
        <v>47</v>
      </c>
      <c r="J137" s="300">
        <f t="shared" si="182"/>
        <v>-0.170212765957443</v>
      </c>
      <c r="L137" s="301">
        <f>H138-H137</f>
        <v>0.0799999999999983</v>
      </c>
    </row>
    <row r="138" ht="20.25" spans="2:12">
      <c r="B138" s="307"/>
      <c r="C138" s="310"/>
      <c r="D138" s="282">
        <v>11</v>
      </c>
      <c r="E138" s="312">
        <v>2.5409</v>
      </c>
      <c r="F138" s="311">
        <v>2</v>
      </c>
      <c r="G138" s="313">
        <v>8.75</v>
      </c>
      <c r="H138" s="317">
        <f t="shared" si="178"/>
        <v>47</v>
      </c>
      <c r="I138" s="299"/>
      <c r="J138" s="300"/>
      <c r="L138" s="301"/>
    </row>
    <row r="139" ht="20.25" spans="2:12">
      <c r="B139" s="307" t="s">
        <v>1212</v>
      </c>
      <c r="C139" s="310"/>
      <c r="D139" s="282">
        <v>11</v>
      </c>
      <c r="E139" s="312">
        <v>3.0236</v>
      </c>
      <c r="F139" s="311">
        <v>1</v>
      </c>
      <c r="G139" s="313">
        <v>14.65</v>
      </c>
      <c r="H139" s="293">
        <f t="shared" si="178"/>
        <v>11.8</v>
      </c>
      <c r="I139" s="299">
        <f t="shared" si="181"/>
        <v>11.7</v>
      </c>
      <c r="J139" s="300">
        <f t="shared" si="182"/>
        <v>1.96581196581197</v>
      </c>
      <c r="L139" s="301">
        <f>H140-H139</f>
        <v>-0.23</v>
      </c>
    </row>
    <row r="140" ht="20.25" spans="2:12">
      <c r="B140" s="307"/>
      <c r="C140" s="310"/>
      <c r="D140" s="282">
        <v>11</v>
      </c>
      <c r="E140" s="312">
        <v>3.1029</v>
      </c>
      <c r="F140" s="311">
        <v>1</v>
      </c>
      <c r="G140" s="313">
        <v>14.55</v>
      </c>
      <c r="H140" s="293">
        <f t="shared" si="178"/>
        <v>11.57</v>
      </c>
      <c r="I140" s="299"/>
      <c r="J140" s="300"/>
      <c r="L140" s="301"/>
    </row>
    <row r="141" ht="20.25" spans="2:10">
      <c r="B141" s="307" t="s">
        <v>1213</v>
      </c>
      <c r="C141" s="310"/>
      <c r="D141" s="282">
        <v>11</v>
      </c>
      <c r="E141" s="312">
        <v>3.0025</v>
      </c>
      <c r="F141" s="311">
        <v>1</v>
      </c>
      <c r="G141" s="313">
        <v>17.05</v>
      </c>
      <c r="H141" s="293">
        <f t="shared" si="178"/>
        <v>10.21</v>
      </c>
      <c r="I141" s="299">
        <f t="shared" ref="I141:I145" si="183">ROUND((H141+H142)/2,1)</f>
        <v>10.2</v>
      </c>
      <c r="J141" s="300">
        <f t="shared" ref="J141:J145" si="184">(H141-H142)*100/I141</f>
        <v>0.49019607843138</v>
      </c>
    </row>
    <row r="142" ht="20.25" spans="2:10">
      <c r="B142" s="307"/>
      <c r="C142" s="310"/>
      <c r="D142" s="282">
        <v>11</v>
      </c>
      <c r="E142" s="312">
        <v>3.5207</v>
      </c>
      <c r="F142" s="311">
        <v>1</v>
      </c>
      <c r="G142" s="313">
        <v>14.6</v>
      </c>
      <c r="H142" s="293">
        <f t="shared" si="178"/>
        <v>10.16</v>
      </c>
      <c r="I142" s="299"/>
      <c r="J142" s="300"/>
    </row>
    <row r="143" ht="20.25" spans="2:10">
      <c r="B143" s="307" t="s">
        <v>1214</v>
      </c>
      <c r="C143" s="310" t="s">
        <v>1215</v>
      </c>
      <c r="D143" s="282">
        <v>11.2</v>
      </c>
      <c r="E143" s="312">
        <v>2.6821</v>
      </c>
      <c r="F143" s="311">
        <v>1</v>
      </c>
      <c r="G143" s="313">
        <v>10.05</v>
      </c>
      <c r="H143" s="293">
        <f t="shared" si="178"/>
        <v>19.74</v>
      </c>
      <c r="I143" s="300">
        <f t="shared" si="183"/>
        <v>19.5</v>
      </c>
      <c r="J143" s="300">
        <f t="shared" si="184"/>
        <v>2.3076923076923</v>
      </c>
    </row>
    <row r="144" ht="20.25" spans="2:10">
      <c r="B144" s="307"/>
      <c r="C144" s="310"/>
      <c r="D144" s="282">
        <v>11.2</v>
      </c>
      <c r="E144" s="312">
        <v>2.7713</v>
      </c>
      <c r="F144" s="311">
        <v>1</v>
      </c>
      <c r="G144" s="313">
        <v>9.95</v>
      </c>
      <c r="H144" s="293">
        <f t="shared" si="178"/>
        <v>19.29</v>
      </c>
      <c r="I144" s="300"/>
      <c r="J144" s="300"/>
    </row>
    <row r="145" ht="20.25" spans="2:10">
      <c r="B145" s="307" t="s">
        <v>1216</v>
      </c>
      <c r="C145" s="310"/>
      <c r="D145" s="282">
        <v>11</v>
      </c>
      <c r="E145" s="312">
        <v>1.724</v>
      </c>
      <c r="F145" s="311">
        <v>1</v>
      </c>
      <c r="G145" s="313">
        <v>9.2</v>
      </c>
      <c r="H145" s="293">
        <f t="shared" si="178"/>
        <v>32.94</v>
      </c>
      <c r="I145" s="299">
        <f t="shared" si="183"/>
        <v>32.9</v>
      </c>
      <c r="J145" s="300">
        <f t="shared" si="184"/>
        <v>0.303951367781138</v>
      </c>
    </row>
    <row r="146" ht="20.25" spans="2:10">
      <c r="B146" s="307"/>
      <c r="C146" s="310"/>
      <c r="D146" s="282">
        <v>11</v>
      </c>
      <c r="E146" s="312">
        <v>1.7014</v>
      </c>
      <c r="F146" s="311">
        <v>1</v>
      </c>
      <c r="G146" s="313">
        <v>9.35</v>
      </c>
      <c r="H146" s="293">
        <f t="shared" si="178"/>
        <v>32.84</v>
      </c>
      <c r="I146" s="299"/>
      <c r="J146" s="300"/>
    </row>
  </sheetData>
  <mergeCells count="381">
    <mergeCell ref="B2:B3"/>
    <mergeCell ref="B5:B6"/>
    <mergeCell ref="B8:B9"/>
    <mergeCell ref="B10:B11"/>
    <mergeCell ref="B12:B13"/>
    <mergeCell ref="B15:B16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C2:C3"/>
    <mergeCell ref="C5:C6"/>
    <mergeCell ref="C8:C9"/>
    <mergeCell ref="C10:C11"/>
    <mergeCell ref="C12:C13"/>
    <mergeCell ref="C15:C16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I2:I3"/>
    <mergeCell ref="I5:I6"/>
    <mergeCell ref="I8:I9"/>
    <mergeCell ref="I10:I11"/>
    <mergeCell ref="I12:I13"/>
    <mergeCell ref="I15:I16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J2:J3"/>
    <mergeCell ref="J5:J6"/>
    <mergeCell ref="J8:J9"/>
    <mergeCell ref="J10:J11"/>
    <mergeCell ref="J12:J13"/>
    <mergeCell ref="J15:J16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K2:K3"/>
    <mergeCell ref="K5:K6"/>
    <mergeCell ref="K8:K9"/>
    <mergeCell ref="K10:K11"/>
    <mergeCell ref="K12:K13"/>
    <mergeCell ref="K15:K16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L26:L27"/>
    <mergeCell ref="L28:L29"/>
    <mergeCell ref="L30:L31"/>
    <mergeCell ref="L32:L33"/>
    <mergeCell ref="L34:L35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37:L138"/>
    <mergeCell ref="L139:L140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38"/>
  <sheetViews>
    <sheetView zoomScale="120" zoomScaleNormal="120" workbookViewId="0">
      <pane ySplit="1" topLeftCell="A20" activePane="bottomLeft" state="frozen"/>
      <selection/>
      <selection pane="bottomLeft" activeCell="E1115" sqref="E1115"/>
    </sheetView>
  </sheetViews>
  <sheetFormatPr defaultColWidth="9" defaultRowHeight="17.25"/>
  <cols>
    <col min="1" max="1" width="13.875" style="266" customWidth="1"/>
    <col min="2" max="2" width="15.125" style="266" customWidth="1"/>
    <col min="3" max="4" width="12.5" style="266" customWidth="1"/>
    <col min="5" max="5" width="9" style="266"/>
    <col min="6" max="6" width="15.875" style="266" customWidth="1"/>
    <col min="7" max="7" width="10.5" style="266" customWidth="1"/>
    <col min="8" max="9" width="9" style="266"/>
    <col min="10" max="19" width="9" style="267"/>
    <col min="20" max="16384" width="9" style="266"/>
  </cols>
  <sheetData>
    <row r="1" s="264" customFormat="1" ht="30.6" customHeight="1" spans="1:24">
      <c r="A1" s="268" t="s">
        <v>2</v>
      </c>
      <c r="B1" s="268" t="s">
        <v>368</v>
      </c>
      <c r="C1" s="264" t="s">
        <v>140</v>
      </c>
      <c r="D1" s="269" t="s">
        <v>141</v>
      </c>
      <c r="E1" s="264" t="s">
        <v>143</v>
      </c>
      <c r="F1" s="270" t="s">
        <v>144</v>
      </c>
      <c r="G1" s="270" t="s">
        <v>145</v>
      </c>
      <c r="H1" s="271" t="s">
        <v>146</v>
      </c>
      <c r="I1" s="283"/>
      <c r="J1" s="284"/>
      <c r="K1" s="285"/>
      <c r="L1" s="286"/>
      <c r="M1" s="287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</row>
    <row r="2" s="265" customFormat="1" ht="18.75" customHeight="1" spans="1:20">
      <c r="A2" s="272" t="s">
        <v>1217</v>
      </c>
      <c r="B2" s="273" t="s">
        <v>1218</v>
      </c>
      <c r="C2" s="274">
        <v>10.7</v>
      </c>
      <c r="D2" s="265">
        <v>2.6012</v>
      </c>
      <c r="E2" s="274">
        <v>9.45</v>
      </c>
      <c r="F2" s="275">
        <f>(C2-E2)*250*100*0.95*100/50/D2/10/1000</f>
        <v>2.2826003383054</v>
      </c>
      <c r="G2" s="276">
        <f t="shared" ref="G2" si="0">(F2+F3)/2</f>
        <v>2.27225255010508</v>
      </c>
      <c r="H2" s="277">
        <f t="shared" ref="H2" si="1">(F2-F3)/G2*100</f>
        <v>0.910795606750601</v>
      </c>
      <c r="I2" s="288"/>
      <c r="J2" s="288"/>
      <c r="K2" s="289"/>
      <c r="L2" s="288"/>
      <c r="M2" s="290"/>
      <c r="N2" s="290"/>
      <c r="O2" s="290"/>
      <c r="P2" s="290"/>
      <c r="Q2" s="290"/>
      <c r="R2" s="290"/>
      <c r="S2" s="290"/>
      <c r="T2" s="292"/>
    </row>
    <row r="3" s="265" customFormat="1" spans="1:20">
      <c r="A3" s="272"/>
      <c r="B3" s="273"/>
      <c r="C3" s="274">
        <v>10.7</v>
      </c>
      <c r="D3" s="278">
        <v>2.625</v>
      </c>
      <c r="E3" s="274">
        <v>9.45</v>
      </c>
      <c r="F3" s="275">
        <f>(C3-E3)*250*100*0.95*100/50/D3/10/1000</f>
        <v>2.26190476190476</v>
      </c>
      <c r="G3" s="279"/>
      <c r="H3" s="280"/>
      <c r="I3" s="288"/>
      <c r="J3" s="288"/>
      <c r="K3" s="289"/>
      <c r="L3" s="288"/>
      <c r="M3" s="290"/>
      <c r="N3" s="290"/>
      <c r="O3" s="290"/>
      <c r="P3" s="290"/>
      <c r="Q3" s="290"/>
      <c r="R3" s="290"/>
      <c r="S3" s="290"/>
      <c r="T3" s="292"/>
    </row>
    <row r="5" spans="1:8">
      <c r="A5" s="272" t="s">
        <v>1219</v>
      </c>
      <c r="B5" s="273" t="s">
        <v>1220</v>
      </c>
      <c r="C5" s="274">
        <v>11.7</v>
      </c>
      <c r="D5" s="265">
        <v>5.0288</v>
      </c>
      <c r="E5" s="274">
        <v>10.8</v>
      </c>
      <c r="F5" s="275">
        <f>(C5-E5)*250*100*0.95*100/50/D5/10/1000</f>
        <v>0.850103404390708</v>
      </c>
      <c r="G5" s="276">
        <f t="shared" ref="G5" si="2">(F5+F6)/2</f>
        <v>0.849655901555716</v>
      </c>
      <c r="H5" s="277">
        <f t="shared" ref="H5" si="3">(F5-F6)/G5*100</f>
        <v>0.105337427580498</v>
      </c>
    </row>
    <row r="6" spans="1:8">
      <c r="A6" s="272"/>
      <c r="B6" s="273"/>
      <c r="C6" s="274">
        <v>11.7</v>
      </c>
      <c r="D6" s="278">
        <v>5.0341</v>
      </c>
      <c r="E6" s="274">
        <v>10.8</v>
      </c>
      <c r="F6" s="275">
        <f>(C6-E6)*250*100*0.95*100/50/D6/10/1000</f>
        <v>0.849208398720723</v>
      </c>
      <c r="G6" s="279"/>
      <c r="H6" s="280"/>
    </row>
    <row r="8" spans="1:9">
      <c r="A8" s="272" t="s">
        <v>1221</v>
      </c>
      <c r="B8" s="273" t="s">
        <v>1222</v>
      </c>
      <c r="C8" s="274">
        <v>11.2</v>
      </c>
      <c r="D8" s="265">
        <v>3.0371</v>
      </c>
      <c r="E8" s="274">
        <v>10.9</v>
      </c>
      <c r="F8" s="281">
        <f>(C8-E8)*250*100*0.95*100/50/D8/10/1000</f>
        <v>0.469197589806063</v>
      </c>
      <c r="G8" s="276">
        <f t="shared" ref="G8" si="4">(F8+F9)/2</f>
        <v>0.46878121067953</v>
      </c>
      <c r="H8" s="277">
        <f t="shared" ref="H8" si="5">(F8-F9)/G8*100</f>
        <v>0.177643266004323</v>
      </c>
      <c r="I8" s="291" t="s">
        <v>150</v>
      </c>
    </row>
    <row r="9" spans="1:9">
      <c r="A9" s="272"/>
      <c r="B9" s="273"/>
      <c r="C9" s="274">
        <v>11.2</v>
      </c>
      <c r="D9" s="278">
        <v>3.0425</v>
      </c>
      <c r="E9" s="274">
        <v>10.9</v>
      </c>
      <c r="F9" s="281">
        <f>(C9-E9)*250*100*0.95*100/50/D9/10/1000</f>
        <v>0.468364831552997</v>
      </c>
      <c r="G9" s="279"/>
      <c r="H9" s="280"/>
      <c r="I9" s="291"/>
    </row>
    <row r="11" spans="1:9">
      <c r="A11" s="272" t="s">
        <v>1223</v>
      </c>
      <c r="B11" s="273" t="s">
        <v>1160</v>
      </c>
      <c r="C11" s="274">
        <v>11.2</v>
      </c>
      <c r="D11" s="265">
        <v>2.7964</v>
      </c>
      <c r="E11" s="274">
        <v>4.45</v>
      </c>
      <c r="F11" s="281">
        <f>(C11-E11)*250*100*0.95*100/50/D11/10/1000</f>
        <v>11.4656343870691</v>
      </c>
      <c r="G11" s="276">
        <f t="shared" ref="G11" si="6">(F11+F12)/2</f>
        <v>11.4468355853224</v>
      </c>
      <c r="H11" s="277">
        <f t="shared" ref="H11" si="7">(F11-F12)/G11*100</f>
        <v>0.328454123527328</v>
      </c>
      <c r="I11" s="291" t="s">
        <v>150</v>
      </c>
    </row>
    <row r="12" spans="1:9">
      <c r="A12" s="272"/>
      <c r="B12" s="273"/>
      <c r="C12" s="274">
        <v>11.2</v>
      </c>
      <c r="D12" s="278">
        <v>2.8056</v>
      </c>
      <c r="E12" s="274">
        <v>4.45</v>
      </c>
      <c r="F12" s="281">
        <f>(C12-E12)*250*100*0.95*100/50/D12/10/1000</f>
        <v>11.4280367835757</v>
      </c>
      <c r="G12" s="279"/>
      <c r="H12" s="280"/>
      <c r="I12" s="291"/>
    </row>
    <row r="14" spans="1:9">
      <c r="A14" s="272" t="s">
        <v>1224</v>
      </c>
      <c r="B14" s="273" t="s">
        <v>1160</v>
      </c>
      <c r="C14" s="274">
        <v>11.4</v>
      </c>
      <c r="D14" s="265">
        <v>3.0959</v>
      </c>
      <c r="E14" s="274">
        <v>4.3</v>
      </c>
      <c r="F14" s="281">
        <f t="shared" ref="F14:F19" si="8">(C14-E14)*250*100*0.95*100/50/D14/10/1000</f>
        <v>10.893439710585</v>
      </c>
      <c r="G14" s="276">
        <f t="shared" ref="G14" si="9">(F14+F15)/2</f>
        <v>11.1975269861179</v>
      </c>
      <c r="H14" s="277">
        <f t="shared" ref="H14" si="10">(F14-F15)/G14*100</f>
        <v>-5.43132918384364</v>
      </c>
      <c r="I14" s="291" t="s">
        <v>150</v>
      </c>
    </row>
    <row r="15" spans="1:9">
      <c r="A15" s="272"/>
      <c r="B15" s="273"/>
      <c r="C15" s="274">
        <v>11.4</v>
      </c>
      <c r="D15" s="278">
        <v>2.8496</v>
      </c>
      <c r="E15" s="274">
        <v>4.5</v>
      </c>
      <c r="F15" s="281">
        <f t="shared" si="8"/>
        <v>11.5016142616508</v>
      </c>
      <c r="G15" s="279"/>
      <c r="H15" s="280"/>
      <c r="I15" s="291"/>
    </row>
    <row r="16" spans="1:9">
      <c r="A16" s="272" t="s">
        <v>1225</v>
      </c>
      <c r="B16" s="273" t="s">
        <v>1160</v>
      </c>
      <c r="C16" s="274">
        <v>11.4</v>
      </c>
      <c r="D16" s="265">
        <v>3.0959</v>
      </c>
      <c r="E16" s="274">
        <v>4.3</v>
      </c>
      <c r="F16" s="281">
        <f t="shared" si="8"/>
        <v>10.893439710585</v>
      </c>
      <c r="G16" s="276">
        <f t="shared" ref="G16" si="11">(F16+F17)/2</f>
        <v>11.1975269861179</v>
      </c>
      <c r="H16" s="277">
        <f t="shared" ref="H16" si="12">(F16-F17)/G16*100</f>
        <v>-5.43132918384364</v>
      </c>
      <c r="I16" s="291" t="s">
        <v>150</v>
      </c>
    </row>
    <row r="17" spans="1:9">
      <c r="A17" s="272"/>
      <c r="B17" s="273"/>
      <c r="C17" s="274">
        <v>11.4</v>
      </c>
      <c r="D17" s="278">
        <v>2.8496</v>
      </c>
      <c r="E17" s="274">
        <v>4.5</v>
      </c>
      <c r="F17" s="281">
        <f t="shared" si="8"/>
        <v>11.5016142616508</v>
      </c>
      <c r="G17" s="279"/>
      <c r="H17" s="280"/>
      <c r="I17" s="291"/>
    </row>
    <row r="18" spans="1:9">
      <c r="A18" s="272" t="s">
        <v>1226</v>
      </c>
      <c r="B18" s="273" t="s">
        <v>1227</v>
      </c>
      <c r="C18" s="274">
        <v>11.4</v>
      </c>
      <c r="D18" s="265">
        <v>2.6028</v>
      </c>
      <c r="E18" s="274">
        <v>3.3</v>
      </c>
      <c r="F18" s="281">
        <f t="shared" si="8"/>
        <v>14.7821576763486</v>
      </c>
      <c r="G18" s="276">
        <f t="shared" ref="G18" si="13">(F18+F19)/2</f>
        <v>14.4153173478289</v>
      </c>
      <c r="H18" s="277">
        <f t="shared" ref="H18" si="14">(F18-F19)/G18*100</f>
        <v>5.08959074112814</v>
      </c>
      <c r="I18" s="291" t="s">
        <v>150</v>
      </c>
    </row>
    <row r="19" spans="1:9">
      <c r="A19" s="272"/>
      <c r="B19" s="273"/>
      <c r="C19" s="274">
        <v>11.4</v>
      </c>
      <c r="D19" s="278">
        <v>2.9416</v>
      </c>
      <c r="E19" s="274">
        <v>2.7</v>
      </c>
      <c r="F19" s="281">
        <f t="shared" si="8"/>
        <v>14.0484770193092</v>
      </c>
      <c r="G19" s="279"/>
      <c r="H19" s="280"/>
      <c r="I19" s="291"/>
    </row>
    <row r="20" spans="1:9">
      <c r="A20" s="272" t="s">
        <v>1170</v>
      </c>
      <c r="B20" s="273" t="s">
        <v>1171</v>
      </c>
      <c r="C20" s="274">
        <v>11.4</v>
      </c>
      <c r="D20" s="265">
        <v>1.7974</v>
      </c>
      <c r="E20" s="274">
        <v>4.2</v>
      </c>
      <c r="F20" s="281">
        <f t="shared" ref="F20:F21" si="15">(C20-E20)*250*100*0.95*100/50/D20/10/1000</f>
        <v>19.0274841437632</v>
      </c>
      <c r="G20" s="276">
        <f t="shared" ref="G20" si="16">(F20+F21)/2</f>
        <v>19.4468519766013</v>
      </c>
      <c r="H20" s="277">
        <f t="shared" ref="H20" si="17">(F20-F21)/G20*100</f>
        <v>-4.31296369553986</v>
      </c>
      <c r="I20" s="291" t="s">
        <v>150</v>
      </c>
    </row>
    <row r="21" spans="1:9">
      <c r="A21" s="272"/>
      <c r="B21" s="273"/>
      <c r="C21" s="274">
        <v>11.4</v>
      </c>
      <c r="D21" s="278">
        <v>1.8052</v>
      </c>
      <c r="E21" s="274">
        <v>3.85</v>
      </c>
      <c r="F21" s="281">
        <f t="shared" si="15"/>
        <v>19.8662198094394</v>
      </c>
      <c r="G21" s="279"/>
      <c r="H21" s="280"/>
      <c r="I21" s="291"/>
    </row>
    <row r="22" spans="1:9">
      <c r="A22" s="272" t="s">
        <v>1228</v>
      </c>
      <c r="B22" s="273"/>
      <c r="C22" s="274">
        <v>11.3</v>
      </c>
      <c r="D22" s="265">
        <v>2.7377</v>
      </c>
      <c r="E22" s="274">
        <v>10.9</v>
      </c>
      <c r="F22" s="281">
        <f t="shared" ref="F22:F23" si="18">(C22-E22)*250*100*0.95*100/50/D22/10/1000</f>
        <v>0.694013222778245</v>
      </c>
      <c r="G22" s="277">
        <f t="shared" ref="G22" si="19">(F22+F23)/2</f>
        <v>0.675487645931497</v>
      </c>
      <c r="H22" s="277">
        <f t="shared" ref="H22" si="20">(F22-F23)/G22*100</f>
        <v>5.48509716153327</v>
      </c>
      <c r="I22" s="291" t="s">
        <v>150</v>
      </c>
    </row>
    <row r="23" spans="1:9">
      <c r="A23" s="272"/>
      <c r="B23" s="273"/>
      <c r="C23" s="274">
        <v>11.3</v>
      </c>
      <c r="D23" s="278">
        <v>2.8921</v>
      </c>
      <c r="E23" s="274">
        <v>10.9</v>
      </c>
      <c r="F23" s="281">
        <f t="shared" si="18"/>
        <v>0.656962069084749</v>
      </c>
      <c r="G23" s="280"/>
      <c r="H23" s="280"/>
      <c r="I23" s="291"/>
    </row>
    <row r="24" spans="1:9">
      <c r="A24" s="272" t="s">
        <v>1229</v>
      </c>
      <c r="B24" s="273"/>
      <c r="C24" s="274">
        <v>11.1</v>
      </c>
      <c r="D24" s="265">
        <v>2.789</v>
      </c>
      <c r="E24" s="274">
        <v>9.7</v>
      </c>
      <c r="F24" s="281">
        <f t="shared" ref="F24:F25" si="21">(C24-E24)*250*100*0.95*100/50/D24/10/1000</f>
        <v>2.38436715668699</v>
      </c>
      <c r="G24" s="277">
        <f t="shared" ref="G24" si="22">(F24+F25)/2</f>
        <v>2.39228463948548</v>
      </c>
      <c r="H24" s="277">
        <f t="shared" ref="H24" si="23">(F24-F25)/G24*100</f>
        <v>-0.661918123605965</v>
      </c>
      <c r="I24" s="291" t="s">
        <v>150</v>
      </c>
    </row>
    <row r="25" spans="1:9">
      <c r="A25" s="272"/>
      <c r="B25" s="273"/>
      <c r="C25" s="274">
        <v>11.1</v>
      </c>
      <c r="D25" s="278">
        <v>2.9685</v>
      </c>
      <c r="E25" s="274">
        <v>9.6</v>
      </c>
      <c r="F25" s="281">
        <f t="shared" si="21"/>
        <v>2.40020212228398</v>
      </c>
      <c r="G25" s="280"/>
      <c r="H25" s="280"/>
      <c r="I25" s="291"/>
    </row>
    <row r="26" spans="1:9">
      <c r="A26" s="272" t="s">
        <v>1230</v>
      </c>
      <c r="B26" s="273"/>
      <c r="C26" s="274">
        <v>11.1</v>
      </c>
      <c r="D26" s="265">
        <v>4.2965</v>
      </c>
      <c r="E26" s="274">
        <v>8.6</v>
      </c>
      <c r="F26" s="281">
        <f t="shared" ref="F26:F27" si="24">(C26-E26)*250*100*0.95*100/50/D26/10/1000</f>
        <v>2.76387757477016</v>
      </c>
      <c r="G26" s="277">
        <f t="shared" ref="G26" si="25">(F26+F27)/2</f>
        <v>2.76185419130811</v>
      </c>
      <c r="H26" s="277">
        <f t="shared" ref="H26" si="26">(F26-F27)/G26*100</f>
        <v>0.146523554242802</v>
      </c>
      <c r="I26" s="291" t="s">
        <v>150</v>
      </c>
    </row>
    <row r="27" spans="1:9">
      <c r="A27" s="272"/>
      <c r="B27" s="273"/>
      <c r="C27" s="274">
        <v>11.1</v>
      </c>
      <c r="D27" s="278">
        <v>4.3028</v>
      </c>
      <c r="E27" s="274">
        <v>8.6</v>
      </c>
      <c r="F27" s="281">
        <f t="shared" si="24"/>
        <v>2.75983080784605</v>
      </c>
      <c r="G27" s="280"/>
      <c r="H27" s="280"/>
      <c r="I27" s="291"/>
    </row>
    <row r="28" spans="1:9">
      <c r="A28" s="272" t="s">
        <v>1231</v>
      </c>
      <c r="B28" s="273"/>
      <c r="C28" s="274">
        <v>10.8</v>
      </c>
      <c r="D28" s="265">
        <v>1.6317</v>
      </c>
      <c r="E28" s="274">
        <v>7.85</v>
      </c>
      <c r="F28" s="281">
        <f t="shared" ref="F28:F31" si="27">(C28-E28)*250*100*0.95*100/50/D28/10/1000</f>
        <v>8.58766930195502</v>
      </c>
      <c r="G28" s="277">
        <f t="shared" ref="G28:G30" si="28">(F28+F29)/2</f>
        <v>8.64905936658639</v>
      </c>
      <c r="H28" s="277">
        <f t="shared" ref="H28:H30" si="29">(F28-F29)/G28*100</f>
        <v>-1.41957782989753</v>
      </c>
      <c r="I28" s="291" t="s">
        <v>150</v>
      </c>
    </row>
    <row r="29" spans="1:9">
      <c r="A29" s="272"/>
      <c r="B29" s="273"/>
      <c r="C29" s="274">
        <v>10.8</v>
      </c>
      <c r="D29" s="278">
        <v>1.6087</v>
      </c>
      <c r="E29" s="274">
        <v>7.85</v>
      </c>
      <c r="F29" s="281">
        <f t="shared" si="27"/>
        <v>8.71044943121776</v>
      </c>
      <c r="G29" s="280"/>
      <c r="H29" s="280"/>
      <c r="I29" s="291"/>
    </row>
    <row r="30" ht="20.25" spans="1:9">
      <c r="A30" s="26" t="s">
        <v>432</v>
      </c>
      <c r="B30" s="27"/>
      <c r="C30" s="282">
        <v>11.1</v>
      </c>
      <c r="D30" s="29">
        <v>6.4333</v>
      </c>
      <c r="E30" s="266">
        <v>5.25</v>
      </c>
      <c r="F30" s="266">
        <f t="shared" si="27"/>
        <v>4.3193228980461</v>
      </c>
      <c r="G30" s="277">
        <f t="shared" si="28"/>
        <v>4.25787640892761</v>
      </c>
      <c r="H30" s="277">
        <f t="shared" si="29"/>
        <v>2.88625047874381</v>
      </c>
      <c r="I30" s="291" t="s">
        <v>150</v>
      </c>
    </row>
    <row r="31" ht="20.25" spans="1:9">
      <c r="A31" s="33"/>
      <c r="B31" s="34"/>
      <c r="C31" s="282">
        <v>11.1</v>
      </c>
      <c r="D31" s="29">
        <v>6.6217</v>
      </c>
      <c r="E31" s="266">
        <v>5.25</v>
      </c>
      <c r="F31" s="266">
        <f t="shared" si="27"/>
        <v>4.19642991980911</v>
      </c>
      <c r="G31" s="280"/>
      <c r="H31" s="280"/>
      <c r="I31" s="291"/>
    </row>
    <row r="33" spans="1:9">
      <c r="A33" s="272" t="s">
        <v>1232</v>
      </c>
      <c r="B33" s="273"/>
      <c r="C33" s="274">
        <v>11.1</v>
      </c>
      <c r="D33" s="265">
        <v>6.8323</v>
      </c>
      <c r="E33" s="274">
        <v>10.9</v>
      </c>
      <c r="F33" s="281">
        <f t="shared" ref="F33:F38" si="30">(C33-E33)*250*100*0.95*100/50/D33/10/1000</f>
        <v>0.139045416623977</v>
      </c>
      <c r="G33" s="276">
        <f t="shared" ref="G33" si="31">(F33+F34)/2</f>
        <v>0.139045416623977</v>
      </c>
      <c r="H33" s="277">
        <f t="shared" ref="H33" si="32">(F33-F34)/G33*100</f>
        <v>0</v>
      </c>
      <c r="I33" s="291" t="s">
        <v>150</v>
      </c>
    </row>
    <row r="34" spans="1:9">
      <c r="A34" s="272"/>
      <c r="B34" s="273"/>
      <c r="C34" s="274">
        <v>11.1</v>
      </c>
      <c r="D34" s="278">
        <v>6.8323</v>
      </c>
      <c r="E34" s="274">
        <v>10.9</v>
      </c>
      <c r="F34" s="281">
        <f t="shared" si="30"/>
        <v>0.139045416623977</v>
      </c>
      <c r="G34" s="279"/>
      <c r="H34" s="280"/>
      <c r="I34" s="291"/>
    </row>
    <row r="35" spans="1:9">
      <c r="A35" s="272" t="s">
        <v>1232</v>
      </c>
      <c r="B35" s="273"/>
      <c r="C35" s="274">
        <v>11.1</v>
      </c>
      <c r="D35" s="265">
        <v>6.8323</v>
      </c>
      <c r="E35" s="274">
        <v>10.9</v>
      </c>
      <c r="F35" s="281">
        <f t="shared" si="30"/>
        <v>0.139045416623977</v>
      </c>
      <c r="G35" s="276">
        <f>(F35+F36)/2</f>
        <v>0.139045416623977</v>
      </c>
      <c r="H35" s="277">
        <f>(F35-F36)/G35*100</f>
        <v>0</v>
      </c>
      <c r="I35" s="291" t="s">
        <v>150</v>
      </c>
    </row>
    <row r="36" spans="1:9">
      <c r="A36" s="272"/>
      <c r="B36" s="273"/>
      <c r="C36" s="274">
        <v>11.1</v>
      </c>
      <c r="D36" s="278">
        <v>6.8323</v>
      </c>
      <c r="E36" s="274">
        <v>10.9</v>
      </c>
      <c r="F36" s="281">
        <f t="shared" si="30"/>
        <v>0.139045416623977</v>
      </c>
      <c r="G36" s="279"/>
      <c r="H36" s="280"/>
      <c r="I36" s="291"/>
    </row>
    <row r="37" spans="1:9">
      <c r="A37" s="272" t="s">
        <v>1203</v>
      </c>
      <c r="B37" s="273"/>
      <c r="C37" s="274">
        <v>11</v>
      </c>
      <c r="D37" s="265">
        <v>2.5297</v>
      </c>
      <c r="E37" s="274">
        <v>8.5</v>
      </c>
      <c r="F37" s="281">
        <f t="shared" si="30"/>
        <v>4.69423251768985</v>
      </c>
      <c r="G37" s="276">
        <f>(F37+F38)/2</f>
        <v>4.57440262691455</v>
      </c>
      <c r="H37" s="277">
        <f>(F37-F38)/G37*100</f>
        <v>5.23914926378598</v>
      </c>
      <c r="I37" s="291" t="s">
        <v>150</v>
      </c>
    </row>
    <row r="38" spans="1:9">
      <c r="A38" s="272"/>
      <c r="B38" s="273"/>
      <c r="C38" s="274">
        <v>11</v>
      </c>
      <c r="D38" s="278">
        <v>2.6658</v>
      </c>
      <c r="E38" s="274">
        <v>8.5</v>
      </c>
      <c r="F38" s="281">
        <f t="shared" si="30"/>
        <v>4.45457273613925</v>
      </c>
      <c r="G38" s="279"/>
      <c r="H38" s="280"/>
      <c r="I38" s="291"/>
    </row>
  </sheetData>
  <mergeCells count="78">
    <mergeCell ref="A2:A3"/>
    <mergeCell ref="A5:A6"/>
    <mergeCell ref="A8:A9"/>
    <mergeCell ref="A11:A12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3:A34"/>
    <mergeCell ref="A35:A36"/>
    <mergeCell ref="A37:A38"/>
    <mergeCell ref="B2:B3"/>
    <mergeCell ref="B5:B6"/>
    <mergeCell ref="B8:B9"/>
    <mergeCell ref="B11:B12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3:B34"/>
    <mergeCell ref="B35:B36"/>
    <mergeCell ref="B37:B38"/>
    <mergeCell ref="G2:G3"/>
    <mergeCell ref="G5:G6"/>
    <mergeCell ref="G8:G9"/>
    <mergeCell ref="G11:G12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3:G34"/>
    <mergeCell ref="G35:G36"/>
    <mergeCell ref="G37:G38"/>
    <mergeCell ref="H2:H3"/>
    <mergeCell ref="H5:H6"/>
    <mergeCell ref="H8:H9"/>
    <mergeCell ref="H11:H12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3:H34"/>
    <mergeCell ref="H35:H36"/>
    <mergeCell ref="H37:H38"/>
    <mergeCell ref="I8:I9"/>
    <mergeCell ref="I11:I12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3:I34"/>
    <mergeCell ref="I35:I36"/>
    <mergeCell ref="I37:I38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66"/>
  <sheetViews>
    <sheetView workbookViewId="0">
      <pane ySplit="1" topLeftCell="A38" activePane="bottomLeft" state="frozen"/>
      <selection/>
      <selection pane="bottomLeft" activeCell="A65" sqref="$A65:$XFD66"/>
    </sheetView>
  </sheetViews>
  <sheetFormatPr defaultColWidth="9" defaultRowHeight="13.5"/>
  <cols>
    <col min="3" max="3" width="9" style="212" customWidth="1"/>
    <col min="5" max="5" width="11.375" customWidth="1"/>
    <col min="7" max="7" width="12.625" style="51" customWidth="1"/>
    <col min="9" max="9" width="12.375" style="51" customWidth="1"/>
    <col min="10" max="10" width="9" style="51"/>
    <col min="11" max="11" width="9" style="51" customWidth="1"/>
    <col min="12" max="12" width="10.375" style="213" customWidth="1"/>
    <col min="13" max="13" width="9" style="143" customWidth="1"/>
    <col min="14" max="14" width="9" style="51" customWidth="1"/>
  </cols>
  <sheetData>
    <row r="1" spans="2:14">
      <c r="B1" t="s">
        <v>2</v>
      </c>
      <c r="C1" s="212" t="s">
        <v>1</v>
      </c>
      <c r="D1" t="s">
        <v>1233</v>
      </c>
      <c r="E1" t="s">
        <v>1234</v>
      </c>
      <c r="F1" t="s">
        <v>1235</v>
      </c>
      <c r="G1" s="51" t="s">
        <v>1236</v>
      </c>
      <c r="H1" t="s">
        <v>1237</v>
      </c>
      <c r="I1" s="51" t="s">
        <v>1238</v>
      </c>
      <c r="J1" s="237" t="s">
        <v>1239</v>
      </c>
      <c r="K1" s="51" t="s">
        <v>1240</v>
      </c>
      <c r="L1" s="213" t="s">
        <v>1241</v>
      </c>
      <c r="M1" s="143" t="s">
        <v>145</v>
      </c>
      <c r="N1" s="51" t="s">
        <v>146</v>
      </c>
    </row>
    <row r="3" spans="2:14">
      <c r="B3" s="227" t="s">
        <v>1242</v>
      </c>
      <c r="C3" s="217" t="s">
        <v>1243</v>
      </c>
      <c r="D3" s="65">
        <v>10.6</v>
      </c>
      <c r="E3" s="65">
        <v>2.1702</v>
      </c>
      <c r="F3" s="65">
        <v>1</v>
      </c>
      <c r="G3" s="192">
        <v>5.7</v>
      </c>
      <c r="H3" s="65">
        <v>1</v>
      </c>
      <c r="I3" s="192">
        <v>11.4</v>
      </c>
      <c r="J3" s="192">
        <f t="shared" ref="J3:J4" si="0">D3*250*F3*100/E3/G3/1000</f>
        <v>21.4225546355983</v>
      </c>
      <c r="K3" s="192">
        <f t="shared" ref="K3:K4" si="1">D3*250*2*100*H3/E3/I3/1000</f>
        <v>21.4225546355983</v>
      </c>
      <c r="L3" s="238">
        <f t="shared" ref="L3:L4" si="2">(K3-J3)*0.95</f>
        <v>0</v>
      </c>
      <c r="M3" s="224">
        <f t="shared" ref="M3" si="3">(L3+L4)/2</f>
        <v>0</v>
      </c>
      <c r="N3" s="229" t="e">
        <f t="shared" ref="N3" si="4">(L3-L4)*100/M3</f>
        <v>#DIV/0!</v>
      </c>
    </row>
    <row r="4" spans="2:14">
      <c r="B4" s="227"/>
      <c r="C4" s="217"/>
      <c r="D4" s="65">
        <v>10.6</v>
      </c>
      <c r="E4" s="65">
        <v>2.1725</v>
      </c>
      <c r="F4" s="65">
        <v>1</v>
      </c>
      <c r="G4" s="192">
        <v>5.7</v>
      </c>
      <c r="H4" s="65">
        <v>1</v>
      </c>
      <c r="I4" s="192">
        <v>11.4</v>
      </c>
      <c r="J4" s="192">
        <f t="shared" si="0"/>
        <v>21.3998748309208</v>
      </c>
      <c r="K4" s="192">
        <f t="shared" si="1"/>
        <v>21.3998748309208</v>
      </c>
      <c r="L4" s="238">
        <f t="shared" si="2"/>
        <v>0</v>
      </c>
      <c r="M4" s="224"/>
      <c r="N4" s="229"/>
    </row>
    <row r="7" spans="2:14">
      <c r="B7" s="227" t="s">
        <v>1244</v>
      </c>
      <c r="C7" s="217" t="s">
        <v>1245</v>
      </c>
      <c r="D7" s="65">
        <v>12.1</v>
      </c>
      <c r="E7" s="65">
        <v>2.8828</v>
      </c>
      <c r="F7" s="65">
        <v>1</v>
      </c>
      <c r="G7" s="192">
        <v>10.9</v>
      </c>
      <c r="H7" s="65">
        <v>1</v>
      </c>
      <c r="I7" s="192">
        <v>21.5</v>
      </c>
      <c r="J7" s="192">
        <f t="shared" ref="J7:J31" si="5">D7*250*F7*100/E7/G7/1000</f>
        <v>9.62685360690358</v>
      </c>
      <c r="K7" s="192">
        <f t="shared" ref="K7:K8" si="6">D7*250*2*100*H7/E7/I7/1000</f>
        <v>9.76118179676735</v>
      </c>
      <c r="L7" s="238">
        <f t="shared" ref="L7:L8" si="7">(K7-J7)*0.95</f>
        <v>0.127611780370582</v>
      </c>
      <c r="M7" s="224">
        <f t="shared" ref="M7" si="8">(L7+L8)/2</f>
        <v>0.129225594218938</v>
      </c>
      <c r="N7" s="229">
        <f t="shared" ref="N7" si="9">(L7-L8)*100/M7</f>
        <v>-2.49766906952097</v>
      </c>
    </row>
    <row r="8" spans="2:14">
      <c r="B8" s="227"/>
      <c r="C8" s="217"/>
      <c r="D8" s="65">
        <v>12.1</v>
      </c>
      <c r="E8" s="65">
        <v>6.4432</v>
      </c>
      <c r="F8" s="65">
        <v>1</v>
      </c>
      <c r="G8" s="192">
        <v>4.92</v>
      </c>
      <c r="H8" s="65">
        <v>1</v>
      </c>
      <c r="I8" s="192">
        <v>9.7</v>
      </c>
      <c r="J8" s="192">
        <f t="shared" si="5"/>
        <v>9.54242299438142</v>
      </c>
      <c r="K8" s="192">
        <f t="shared" si="6"/>
        <v>9.68014868708383</v>
      </c>
      <c r="L8" s="238">
        <f t="shared" si="7"/>
        <v>0.130839408067293</v>
      </c>
      <c r="M8" s="224"/>
      <c r="N8" s="229"/>
    </row>
    <row r="9" spans="10:10">
      <c r="J9" s="192" t="e">
        <f t="shared" si="5"/>
        <v>#DIV/0!</v>
      </c>
    </row>
    <row r="10" spans="2:14">
      <c r="B10" s="227" t="s">
        <v>1246</v>
      </c>
      <c r="C10" s="217" t="s">
        <v>1247</v>
      </c>
      <c r="D10" s="65">
        <v>11.5</v>
      </c>
      <c r="E10" s="65">
        <v>5.28</v>
      </c>
      <c r="F10" s="65">
        <v>1</v>
      </c>
      <c r="G10" s="192">
        <v>10.9</v>
      </c>
      <c r="H10" s="65">
        <v>1</v>
      </c>
      <c r="I10" s="192">
        <v>21.5</v>
      </c>
      <c r="J10" s="192">
        <f t="shared" si="5"/>
        <v>4.99548234639978</v>
      </c>
      <c r="K10" s="192">
        <f t="shared" ref="K10:K11" si="10">D10*250*2*100*H10/E10/I10/1000</f>
        <v>5.06518675123326</v>
      </c>
      <c r="L10" s="238">
        <f t="shared" ref="L10:L11" si="11">(K10-J10)*0.95</f>
        <v>0.0662191845918113</v>
      </c>
      <c r="M10" s="224">
        <f t="shared" ref="M10" si="12">(L10+L11)/2</f>
        <v>0.107865755648171</v>
      </c>
      <c r="N10" s="229">
        <f t="shared" ref="N10" si="13">(L10-L11)*100/M10</f>
        <v>-77.2192635301224</v>
      </c>
    </row>
    <row r="11" spans="2:14">
      <c r="B11" s="227"/>
      <c r="C11" s="217"/>
      <c r="D11" s="65">
        <v>11.5</v>
      </c>
      <c r="E11" s="65">
        <v>5.3589</v>
      </c>
      <c r="F11" s="65">
        <v>1</v>
      </c>
      <c r="G11" s="192">
        <v>4.92</v>
      </c>
      <c r="H11" s="65">
        <v>1</v>
      </c>
      <c r="I11" s="192">
        <v>9.7</v>
      </c>
      <c r="J11" s="192">
        <f t="shared" si="5"/>
        <v>10.9042824739393</v>
      </c>
      <c r="K11" s="192">
        <f t="shared" si="10"/>
        <v>11.0616638704704</v>
      </c>
      <c r="L11" s="238">
        <f t="shared" si="11"/>
        <v>0.14951232670453</v>
      </c>
      <c r="M11" s="224"/>
      <c r="N11" s="229"/>
    </row>
    <row r="12" spans="2:14">
      <c r="B12" s="227" t="s">
        <v>1248</v>
      </c>
      <c r="C12" s="217" t="s">
        <v>1249</v>
      </c>
      <c r="D12" s="65">
        <v>11.6</v>
      </c>
      <c r="E12" s="65">
        <v>3.3669</v>
      </c>
      <c r="F12" s="65">
        <v>1</v>
      </c>
      <c r="G12" s="192">
        <v>10.9</v>
      </c>
      <c r="H12" s="65">
        <v>1</v>
      </c>
      <c r="I12" s="192">
        <v>10.5</v>
      </c>
      <c r="J12" s="192">
        <f t="shared" si="5"/>
        <v>7.90207745616323</v>
      </c>
      <c r="K12" s="192">
        <f t="shared" ref="K12:K13" si="14">D12*250*2*100*H12/E12/I12/1000</f>
        <v>16.4062179566056</v>
      </c>
      <c r="L12" s="238">
        <f t="shared" ref="L12:L13" si="15">(K12-J12)*0.95</f>
        <v>8.07893347542021</v>
      </c>
      <c r="M12" s="224">
        <f t="shared" ref="M12" si="16">(L12+L13)/2</f>
        <v>3.53599878131487</v>
      </c>
      <c r="N12" s="229">
        <f t="shared" ref="N12" si="17">(L12-L13)*100/M12</f>
        <v>256.953408361529</v>
      </c>
    </row>
    <row r="13" spans="2:14">
      <c r="B13" s="227"/>
      <c r="C13" s="217"/>
      <c r="D13" s="65">
        <v>11.6</v>
      </c>
      <c r="E13" s="65">
        <v>3.4955</v>
      </c>
      <c r="F13" s="65">
        <v>1</v>
      </c>
      <c r="G13" s="192">
        <v>4.92</v>
      </c>
      <c r="H13" s="65">
        <v>1</v>
      </c>
      <c r="I13" s="192">
        <v>10.5</v>
      </c>
      <c r="J13" s="192">
        <f t="shared" si="5"/>
        <v>16.8625631328549</v>
      </c>
      <c r="K13" s="192">
        <f t="shared" si="14"/>
        <v>15.8026305930754</v>
      </c>
      <c r="L13" s="238">
        <f t="shared" si="15"/>
        <v>-1.00693591279048</v>
      </c>
      <c r="M13" s="224"/>
      <c r="N13" s="229"/>
    </row>
    <row r="14" spans="10:10">
      <c r="J14" s="192" t="e">
        <f t="shared" si="5"/>
        <v>#DIV/0!</v>
      </c>
    </row>
    <row r="15" spans="10:10">
      <c r="J15" s="192" t="e">
        <f t="shared" si="5"/>
        <v>#DIV/0!</v>
      </c>
    </row>
    <row r="16" spans="2:14">
      <c r="B16" s="227" t="s">
        <v>1250</v>
      </c>
      <c r="C16" s="217" t="s">
        <v>1251</v>
      </c>
      <c r="D16" s="65">
        <v>11.5</v>
      </c>
      <c r="E16" s="65">
        <v>5.1763</v>
      </c>
      <c r="F16" s="65">
        <v>1</v>
      </c>
      <c r="G16" s="192">
        <v>4.2</v>
      </c>
      <c r="H16" s="65">
        <v>1</v>
      </c>
      <c r="I16" s="192">
        <v>10.5</v>
      </c>
      <c r="J16" s="192">
        <f t="shared" si="5"/>
        <v>13.2241912084657</v>
      </c>
      <c r="K16" s="192">
        <f>D16*250*2*100*H16/E16/I16/1000</f>
        <v>10.5793529667726</v>
      </c>
      <c r="L16" s="238">
        <f>(K16-J16)*0.95</f>
        <v>-2.51259632960848</v>
      </c>
      <c r="M16" s="224">
        <f>(L16+L17)/2</f>
        <v>-1.75542588019607</v>
      </c>
      <c r="N16" s="229">
        <f>(L16-L17)*100/M16</f>
        <v>86.2662967379557</v>
      </c>
    </row>
    <row r="17" spans="2:14">
      <c r="B17" s="227"/>
      <c r="C17" s="217"/>
      <c r="D17" s="65">
        <v>11.5</v>
      </c>
      <c r="E17" s="65">
        <v>3.4955</v>
      </c>
      <c r="F17" s="65">
        <v>1</v>
      </c>
      <c r="G17" s="192">
        <v>4.92</v>
      </c>
      <c r="H17" s="65">
        <v>1</v>
      </c>
      <c r="I17" s="192">
        <v>10.5</v>
      </c>
      <c r="J17" s="192">
        <f t="shared" si="5"/>
        <v>16.7171962092958</v>
      </c>
      <c r="K17" s="192">
        <f>D17*250*2*100*H17/E17/I17/1000</f>
        <v>15.6664010189972</v>
      </c>
      <c r="L17" s="238">
        <f>(K17-J17)*0.95</f>
        <v>-0.998255430783666</v>
      </c>
      <c r="M17" s="224"/>
      <c r="N17" s="229"/>
    </row>
    <row r="18" spans="10:10">
      <c r="J18" s="192" t="e">
        <f t="shared" si="5"/>
        <v>#DIV/0!</v>
      </c>
    </row>
    <row r="19" spans="2:14">
      <c r="B19" s="227" t="s">
        <v>1252</v>
      </c>
      <c r="C19" s="217" t="s">
        <v>530</v>
      </c>
      <c r="D19" s="65">
        <v>11.4</v>
      </c>
      <c r="E19" s="65">
        <v>5.029</v>
      </c>
      <c r="F19" s="65">
        <v>1</v>
      </c>
      <c r="G19" s="192">
        <v>6.2</v>
      </c>
      <c r="H19" s="65">
        <v>1</v>
      </c>
      <c r="I19" s="192">
        <v>11.2</v>
      </c>
      <c r="J19" s="192">
        <f t="shared" si="5"/>
        <v>9.14053329399162</v>
      </c>
      <c r="K19" s="192">
        <f>D19*250*2*100*H19/E19/I19/1000</f>
        <v>10.1198761469193</v>
      </c>
      <c r="L19" s="238">
        <f>(K19-J19)*0.95</f>
        <v>0.930375710281292</v>
      </c>
      <c r="M19" s="224">
        <f>(L19+L20)/2</f>
        <v>1.0886343196694</v>
      </c>
      <c r="N19" s="229">
        <f>(L19-L20)*100/M19</f>
        <v>-29.0747051656744</v>
      </c>
    </row>
    <row r="20" spans="2:14">
      <c r="B20" s="227"/>
      <c r="C20" s="217"/>
      <c r="D20" s="65">
        <v>11.4</v>
      </c>
      <c r="E20" s="65">
        <v>5.2834</v>
      </c>
      <c r="F20" s="65">
        <v>1</v>
      </c>
      <c r="G20" s="192">
        <v>6.25</v>
      </c>
      <c r="H20" s="65">
        <v>1</v>
      </c>
      <c r="I20" s="192">
        <v>10.85</v>
      </c>
      <c r="J20" s="192">
        <f t="shared" si="5"/>
        <v>8.63080592043003</v>
      </c>
      <c r="K20" s="192">
        <f>D20*250*2*100*H20/E20/I20/1000</f>
        <v>9.94332479312215</v>
      </c>
      <c r="L20" s="238">
        <f>(K20-J20)*0.95</f>
        <v>1.24689292905752</v>
      </c>
      <c r="M20" s="224"/>
      <c r="N20" s="229"/>
    </row>
    <row r="21" spans="10:10">
      <c r="J21" s="192" t="e">
        <f t="shared" si="5"/>
        <v>#DIV/0!</v>
      </c>
    </row>
    <row r="22" spans="10:10">
      <c r="J22" s="192" t="e">
        <f t="shared" si="5"/>
        <v>#DIV/0!</v>
      </c>
    </row>
    <row r="23" spans="2:14">
      <c r="B23" s="227" t="s">
        <v>1253</v>
      </c>
      <c r="C23" s="217" t="s">
        <v>154</v>
      </c>
      <c r="D23" s="65">
        <v>11.4</v>
      </c>
      <c r="E23" s="65">
        <v>2.8424</v>
      </c>
      <c r="F23" s="65">
        <v>1</v>
      </c>
      <c r="G23" s="192">
        <v>5.6</v>
      </c>
      <c r="H23" s="65">
        <v>1</v>
      </c>
      <c r="I23" s="192">
        <v>11.3</v>
      </c>
      <c r="J23" s="192">
        <f t="shared" si="5"/>
        <v>17.9048892284186</v>
      </c>
      <c r="K23" s="192">
        <f>D23*250*2*100*H23/E23/I23/1000</f>
        <v>17.7464388812645</v>
      </c>
      <c r="L23" s="238">
        <f>(K23-J23)*0.95</f>
        <v>-0.150527829796437</v>
      </c>
      <c r="M23" s="224">
        <f>(L23+L24)/2</f>
        <v>-0.149527167478043</v>
      </c>
      <c r="N23" s="229">
        <f>(L23-L24)*100/M23</f>
        <v>1.33843546329482</v>
      </c>
    </row>
    <row r="24" spans="2:14">
      <c r="B24" s="227"/>
      <c r="C24" s="217"/>
      <c r="D24" s="65">
        <v>11.4</v>
      </c>
      <c r="E24" s="65">
        <v>2.8807</v>
      </c>
      <c r="F24" s="65">
        <v>1</v>
      </c>
      <c r="G24" s="192">
        <v>5.6</v>
      </c>
      <c r="H24" s="65">
        <v>1</v>
      </c>
      <c r="I24" s="192">
        <v>11.3</v>
      </c>
      <c r="J24" s="192">
        <f t="shared" si="5"/>
        <v>17.6668369295161</v>
      </c>
      <c r="K24" s="192">
        <f>D24*250*2*100*H24/E24/I24/1000</f>
        <v>17.5104932398744</v>
      </c>
      <c r="L24" s="238">
        <f>(K24-J24)*0.95</f>
        <v>-0.14852650515965</v>
      </c>
      <c r="M24" s="224"/>
      <c r="N24" s="229"/>
    </row>
    <row r="25" spans="10:10">
      <c r="J25" s="192" t="e">
        <f t="shared" si="5"/>
        <v>#DIV/0!</v>
      </c>
    </row>
    <row r="26" spans="10:10">
      <c r="J26" s="192" t="e">
        <f t="shared" si="5"/>
        <v>#DIV/0!</v>
      </c>
    </row>
    <row r="27" spans="10:10">
      <c r="J27" s="192" t="e">
        <f t="shared" si="5"/>
        <v>#DIV/0!</v>
      </c>
    </row>
    <row r="28" spans="10:10">
      <c r="J28" s="192" t="e">
        <f t="shared" si="5"/>
        <v>#DIV/0!</v>
      </c>
    </row>
    <row r="29" spans="10:10">
      <c r="J29" s="192" t="e">
        <f t="shared" si="5"/>
        <v>#DIV/0!</v>
      </c>
    </row>
    <row r="30" spans="10:10">
      <c r="J30" s="192" t="e">
        <f t="shared" si="5"/>
        <v>#DIV/0!</v>
      </c>
    </row>
    <row r="31" spans="10:10">
      <c r="J31" s="192" t="e">
        <f t="shared" si="5"/>
        <v>#DIV/0!</v>
      </c>
    </row>
    <row r="35" customHeight="1" spans="2:13">
      <c r="B35" s="227" t="s">
        <v>737</v>
      </c>
      <c r="C35" s="217" t="s">
        <v>154</v>
      </c>
      <c r="D35" s="65">
        <v>11.4</v>
      </c>
      <c r="E35" s="65">
        <v>2.8424</v>
      </c>
      <c r="F35" s="65">
        <v>1</v>
      </c>
      <c r="G35" s="192">
        <v>5.6</v>
      </c>
      <c r="H35" s="65">
        <v>1</v>
      </c>
      <c r="I35" s="192">
        <v>11.3</v>
      </c>
      <c r="J35" s="192">
        <f t="shared" ref="J35:J36" si="18">D35*250*F35*100/E35/G35/1000</f>
        <v>17.9048892284186</v>
      </c>
      <c r="K35" s="192">
        <f t="shared" ref="K35:K36" si="19">D35*250*2*100*H35/E35/I35/1000</f>
        <v>17.7464388812645</v>
      </c>
      <c r="L35" s="238">
        <f t="shared" ref="L35:L36" si="20">(K35-J35)*0.95</f>
        <v>-0.150527829796437</v>
      </c>
      <c r="M35" s="224">
        <f t="shared" ref="M35" si="21">(L35+L36)/2</f>
        <v>-0.149527167478043</v>
      </c>
    </row>
    <row r="36" spans="2:13">
      <c r="B36" s="227"/>
      <c r="C36" s="217"/>
      <c r="D36" s="65">
        <v>11.4</v>
      </c>
      <c r="E36" s="65">
        <v>2.8807</v>
      </c>
      <c r="F36" s="65">
        <v>1</v>
      </c>
      <c r="G36" s="192">
        <v>5.6</v>
      </c>
      <c r="H36" s="65">
        <v>1</v>
      </c>
      <c r="I36" s="192">
        <v>11.3</v>
      </c>
      <c r="J36" s="192">
        <f t="shared" si="18"/>
        <v>17.6668369295161</v>
      </c>
      <c r="K36" s="192">
        <f t="shared" si="19"/>
        <v>17.5104932398744</v>
      </c>
      <c r="L36" s="238">
        <f t="shared" si="20"/>
        <v>-0.14852650515965</v>
      </c>
      <c r="M36" s="224"/>
    </row>
    <row r="37" spans="2:14">
      <c r="B37" s="227" t="s">
        <v>1252</v>
      </c>
      <c r="C37" s="217" t="s">
        <v>530</v>
      </c>
      <c r="D37" s="65">
        <v>11.45</v>
      </c>
      <c r="E37" s="65">
        <v>5.029</v>
      </c>
      <c r="F37" s="65">
        <v>1</v>
      </c>
      <c r="G37" s="192">
        <v>6.2</v>
      </c>
      <c r="H37" s="65">
        <v>1</v>
      </c>
      <c r="I37" s="192">
        <v>11</v>
      </c>
      <c r="J37" s="192">
        <f t="shared" ref="J37:J38" si="22">D37*250*F37*100/E37/G37/1000</f>
        <v>9.1806233522986</v>
      </c>
      <c r="K37" s="192">
        <f t="shared" ref="K37:K38" si="23">D37*250*2*100*H37/E37/I37/1000</f>
        <v>10.3490663244093</v>
      </c>
      <c r="L37" s="238">
        <f t="shared" ref="L37:L38" si="24">(K37-J37)*0.95</f>
        <v>1.1100208235052</v>
      </c>
      <c r="M37" s="224">
        <f t="shared" ref="M37" si="25">(L37+L38)/2</f>
        <v>1.14798472884243</v>
      </c>
      <c r="N37" s="229">
        <f t="shared" ref="N37" si="26">(L37-L38)*100/M37</f>
        <v>-6.61400877266363</v>
      </c>
    </row>
    <row r="38" spans="2:14">
      <c r="B38" s="227"/>
      <c r="C38" s="217"/>
      <c r="D38" s="65">
        <v>11.45</v>
      </c>
      <c r="E38" s="65">
        <v>5.2834</v>
      </c>
      <c r="F38" s="65">
        <v>1</v>
      </c>
      <c r="G38" s="192">
        <v>6.2</v>
      </c>
      <c r="H38" s="65">
        <v>1</v>
      </c>
      <c r="I38" s="192">
        <v>10.85</v>
      </c>
      <c r="J38" s="192">
        <f t="shared" si="22"/>
        <v>8.73856888342917</v>
      </c>
      <c r="K38" s="192">
        <f t="shared" si="23"/>
        <v>9.98693586677619</v>
      </c>
      <c r="L38" s="238">
        <f t="shared" si="24"/>
        <v>1.18594863417967</v>
      </c>
      <c r="M38" s="224"/>
      <c r="N38" s="229"/>
    </row>
    <row r="40" spans="2:14">
      <c r="B40" s="227" t="s">
        <v>737</v>
      </c>
      <c r="C40" s="217" t="s">
        <v>154</v>
      </c>
      <c r="D40" s="65">
        <v>11.2</v>
      </c>
      <c r="E40" s="65">
        <v>3.623</v>
      </c>
      <c r="F40" s="65">
        <v>2</v>
      </c>
      <c r="G40" s="192">
        <v>8.85</v>
      </c>
      <c r="H40" s="65">
        <v>1</v>
      </c>
      <c r="I40" s="192">
        <v>8.7</v>
      </c>
      <c r="J40" s="192">
        <f t="shared" ref="J40:J41" si="27">D40*250*F40*100/E40/G40/1000</f>
        <v>17.4653149760398</v>
      </c>
      <c r="K40" s="192">
        <f t="shared" ref="K40:K41" si="28">D40*250*2*100*H40/E40/I40/1000</f>
        <v>17.7664410963163</v>
      </c>
      <c r="L40" s="238">
        <f t="shared" ref="L40:L41" si="29">(K40-J40)*0.95</f>
        <v>0.286069814262722</v>
      </c>
      <c r="M40" s="224">
        <f t="shared" ref="M40" si="30">(L40+L41)/2</f>
        <v>0.296530351851087</v>
      </c>
      <c r="N40" s="229">
        <f t="shared" ref="N40" si="31">(L40-L41)*100/M40</f>
        <v>-7.0552896343092</v>
      </c>
    </row>
    <row r="41" spans="2:14">
      <c r="B41" s="227"/>
      <c r="C41" s="217"/>
      <c r="D41" s="65">
        <v>11.2</v>
      </c>
      <c r="E41" s="65">
        <v>3.8899</v>
      </c>
      <c r="F41" s="65">
        <v>2</v>
      </c>
      <c r="G41" s="192">
        <v>8.25</v>
      </c>
      <c r="H41" s="65">
        <v>1</v>
      </c>
      <c r="I41" s="192">
        <v>8.1</v>
      </c>
      <c r="J41" s="192">
        <f t="shared" si="27"/>
        <v>17.4500084523478</v>
      </c>
      <c r="K41" s="192">
        <f t="shared" si="28"/>
        <v>17.773156757021</v>
      </c>
      <c r="L41" s="238">
        <f t="shared" si="29"/>
        <v>0.306990889439452</v>
      </c>
      <c r="M41" s="224"/>
      <c r="N41" s="229"/>
    </row>
    <row r="42" spans="2:14">
      <c r="B42" s="227"/>
      <c r="C42" s="217"/>
      <c r="D42" s="65"/>
      <c r="E42" s="65"/>
      <c r="F42" s="65"/>
      <c r="G42" s="192"/>
      <c r="H42" s="65"/>
      <c r="I42" s="192"/>
      <c r="J42" s="192"/>
      <c r="K42" s="192"/>
      <c r="L42" s="238"/>
      <c r="M42" s="224"/>
      <c r="N42" s="229"/>
    </row>
    <row r="43" spans="2:14">
      <c r="B43" s="227"/>
      <c r="C43" s="217"/>
      <c r="D43" s="65"/>
      <c r="E43" s="65"/>
      <c r="F43" s="65"/>
      <c r="G43" s="192"/>
      <c r="H43" s="65"/>
      <c r="I43" s="192"/>
      <c r="J43" s="192"/>
      <c r="K43" s="192"/>
      <c r="L43" s="238"/>
      <c r="M43" s="224"/>
      <c r="N43" s="229"/>
    </row>
    <row r="45" ht="10.5" customHeight="1" spans="2:14">
      <c r="B45" s="227" t="s">
        <v>1254</v>
      </c>
      <c r="C45" s="217" t="s">
        <v>1255</v>
      </c>
      <c r="D45" s="65">
        <v>10.8</v>
      </c>
      <c r="E45" s="65">
        <v>2.8395</v>
      </c>
      <c r="F45" s="65">
        <v>2</v>
      </c>
      <c r="G45" s="192">
        <v>6.8</v>
      </c>
      <c r="H45" s="65">
        <v>1</v>
      </c>
      <c r="I45" s="192">
        <v>6.75</v>
      </c>
      <c r="J45" s="192">
        <f t="shared" ref="J45:J46" si="32">D45*250*F45*100/E45/G45/1000</f>
        <v>27.9668127155775</v>
      </c>
      <c r="K45" s="192">
        <f t="shared" ref="K45:K46" si="33">D45*250*2*100*H45/E45/I45/1000</f>
        <v>28.1739742912485</v>
      </c>
      <c r="L45" s="238">
        <f t="shared" ref="L45:L48" si="34">(K45-J45)*0.95</f>
        <v>0.196803496887398</v>
      </c>
      <c r="M45" s="224">
        <f t="shared" ref="M45" si="35">(L45+L46)/2</f>
        <v>0.193986806885484</v>
      </c>
      <c r="N45" s="229">
        <f t="shared" ref="N45" si="36">(L45-L46)*100/M45</f>
        <v>2.90400161447676</v>
      </c>
    </row>
    <row r="46" spans="2:14">
      <c r="B46" s="227"/>
      <c r="C46" s="217"/>
      <c r="D46" s="65">
        <v>10.8</v>
      </c>
      <c r="E46" s="65">
        <v>2.8805</v>
      </c>
      <c r="F46" s="65">
        <v>2</v>
      </c>
      <c r="G46" s="192">
        <v>6.85</v>
      </c>
      <c r="H46" s="65">
        <v>1</v>
      </c>
      <c r="I46" s="192">
        <v>6.8</v>
      </c>
      <c r="J46" s="192">
        <f t="shared" si="32"/>
        <v>27.367511469648</v>
      </c>
      <c r="K46" s="192">
        <f t="shared" si="33"/>
        <v>27.5687431716307</v>
      </c>
      <c r="L46" s="238">
        <f t="shared" si="34"/>
        <v>0.191170116883571</v>
      </c>
      <c r="M46" s="224"/>
      <c r="N46" s="229"/>
    </row>
    <row r="47" spans="2:14">
      <c r="B47" s="227" t="s">
        <v>1254</v>
      </c>
      <c r="C47" s="217" t="s">
        <v>1255</v>
      </c>
      <c r="D47" s="65">
        <v>11.2</v>
      </c>
      <c r="E47" s="65">
        <v>2.8395</v>
      </c>
      <c r="F47" s="65">
        <v>2</v>
      </c>
      <c r="G47" s="192">
        <v>6.8</v>
      </c>
      <c r="H47" s="65">
        <v>1</v>
      </c>
      <c r="I47" s="192">
        <v>6.75</v>
      </c>
      <c r="J47" s="192">
        <f t="shared" ref="J47:J48" si="37">D47*250*F47*100/E47/G47/1000</f>
        <v>29.0026205939322</v>
      </c>
      <c r="K47" s="192">
        <f t="shared" ref="K47:K48" si="38">D47*250*2*100*H47/E47/I47/1000</f>
        <v>29.217454820554</v>
      </c>
      <c r="L47" s="238">
        <f t="shared" si="34"/>
        <v>0.204092515290633</v>
      </c>
      <c r="M47" s="224">
        <f t="shared" ref="M47" si="39">(L47+L48)/2</f>
        <v>0.201171503436797</v>
      </c>
      <c r="N47" s="229">
        <f>(L47-L48)*100/M47</f>
        <v>2.90400161447685</v>
      </c>
    </row>
    <row r="48" spans="2:14">
      <c r="B48" s="227"/>
      <c r="C48" s="217"/>
      <c r="D48" s="65">
        <v>11.2</v>
      </c>
      <c r="E48" s="65">
        <v>2.8805</v>
      </c>
      <c r="F48" s="65">
        <v>2</v>
      </c>
      <c r="G48" s="192">
        <v>6.85</v>
      </c>
      <c r="H48" s="65">
        <v>1</v>
      </c>
      <c r="I48" s="192">
        <v>6.8</v>
      </c>
      <c r="J48" s="192">
        <f t="shared" si="37"/>
        <v>28.3811230055609</v>
      </c>
      <c r="K48" s="192">
        <f t="shared" si="38"/>
        <v>28.589807733543</v>
      </c>
      <c r="L48" s="238">
        <f t="shared" si="34"/>
        <v>0.198250491582961</v>
      </c>
      <c r="M48" s="224"/>
      <c r="N48" s="229"/>
    </row>
    <row r="50" spans="2:14">
      <c r="B50" s="227" t="s">
        <v>737</v>
      </c>
      <c r="C50" s="217" t="s">
        <v>154</v>
      </c>
      <c r="D50" s="65">
        <v>11.2</v>
      </c>
      <c r="E50" s="65">
        <v>3.623</v>
      </c>
      <c r="F50" s="65">
        <v>2</v>
      </c>
      <c r="G50" s="192">
        <v>8.85</v>
      </c>
      <c r="H50" s="65">
        <v>1</v>
      </c>
      <c r="I50" s="192">
        <v>8.7</v>
      </c>
      <c r="J50" s="192">
        <f t="shared" ref="J50:J51" si="40">D50*250*F50*100/E50/G50/1000</f>
        <v>17.4653149760398</v>
      </c>
      <c r="K50" s="192">
        <f t="shared" ref="K50:K51" si="41">D50*250*2*100*H50/E50/I50/1000</f>
        <v>17.7664410963163</v>
      </c>
      <c r="L50" s="238">
        <f t="shared" ref="L50:L51" si="42">(K50-J50)*0.95</f>
        <v>0.286069814262722</v>
      </c>
      <c r="M50" s="224">
        <f t="shared" ref="M50" si="43">(L50+L51)/2</f>
        <v>0.296530351851087</v>
      </c>
      <c r="N50" s="229">
        <f t="shared" ref="N50" si="44">(L50-L51)*100/M50</f>
        <v>-7.0552896343092</v>
      </c>
    </row>
    <row r="51" spans="2:14">
      <c r="B51" s="227"/>
      <c r="C51" s="217"/>
      <c r="D51" s="65">
        <v>11.2</v>
      </c>
      <c r="E51" s="65">
        <v>3.8899</v>
      </c>
      <c r="F51" s="65">
        <v>2</v>
      </c>
      <c r="G51" s="192">
        <v>8.25</v>
      </c>
      <c r="H51" s="65">
        <v>1</v>
      </c>
      <c r="I51" s="192">
        <v>8.1</v>
      </c>
      <c r="J51" s="192">
        <f t="shared" si="40"/>
        <v>17.4500084523478</v>
      </c>
      <c r="K51" s="192">
        <f t="shared" si="41"/>
        <v>17.773156757021</v>
      </c>
      <c r="L51" s="238">
        <f t="shared" si="42"/>
        <v>0.306990889439452</v>
      </c>
      <c r="M51" s="224"/>
      <c r="N51" s="229"/>
    </row>
    <row r="52" ht="21.75" customHeight="1"/>
    <row r="53" spans="2:14">
      <c r="B53" s="227" t="s">
        <v>737</v>
      </c>
      <c r="C53" s="217" t="s">
        <v>154</v>
      </c>
      <c r="D53" s="65">
        <v>11</v>
      </c>
      <c r="E53" s="65">
        <v>2.5359</v>
      </c>
      <c r="F53" s="65">
        <v>1</v>
      </c>
      <c r="G53" s="192">
        <v>6.02</v>
      </c>
      <c r="H53" s="65">
        <v>1</v>
      </c>
      <c r="I53" s="192">
        <v>11.5</v>
      </c>
      <c r="J53" s="192">
        <f t="shared" ref="J53:J54" si="45">D53*250*F53*100/E53/G53/1000</f>
        <v>18.013747830326</v>
      </c>
      <c r="K53" s="192">
        <f t="shared" ref="K53:K54" si="46">D53*250*2*100*H53/E53/I53/1000</f>
        <v>18.8596107719239</v>
      </c>
      <c r="L53" s="239">
        <f t="shared" ref="L53:L54" si="47">(K53-J53)*0.95</f>
        <v>0.803569794518022</v>
      </c>
      <c r="M53" s="229">
        <f t="shared" ref="M53" si="48">(L53+L54)/2</f>
        <v>0.771372496420161</v>
      </c>
      <c r="N53" s="229">
        <f t="shared" ref="N53" si="49">(L53-L54)*100/M53</f>
        <v>8.34805447362583</v>
      </c>
    </row>
    <row r="54" spans="2:14">
      <c r="B54" s="227"/>
      <c r="C54" s="217"/>
      <c r="D54" s="65">
        <v>11</v>
      </c>
      <c r="E54" s="65">
        <v>2.5709</v>
      </c>
      <c r="F54" s="65">
        <v>1</v>
      </c>
      <c r="G54" s="192">
        <v>6.11</v>
      </c>
      <c r="H54" s="65">
        <v>1</v>
      </c>
      <c r="I54" s="192">
        <v>11.7</v>
      </c>
      <c r="J54" s="192">
        <f t="shared" si="45"/>
        <v>17.5067810128965</v>
      </c>
      <c r="K54" s="192">
        <f t="shared" si="46"/>
        <v>18.2848601690253</v>
      </c>
      <c r="L54" s="239">
        <f t="shared" si="47"/>
        <v>0.7391751983223</v>
      </c>
      <c r="M54" s="229"/>
      <c r="N54" s="229"/>
    </row>
    <row r="55" spans="2:14">
      <c r="B55" s="227" t="s">
        <v>1256</v>
      </c>
      <c r="C55" s="217" t="s">
        <v>1257</v>
      </c>
      <c r="D55" s="65">
        <v>11.1</v>
      </c>
      <c r="E55" s="65">
        <v>2.825</v>
      </c>
      <c r="F55" s="65">
        <v>4</v>
      </c>
      <c r="G55" s="192">
        <v>5.5</v>
      </c>
      <c r="H55" s="65">
        <v>4</v>
      </c>
      <c r="I55" s="192">
        <v>10.5</v>
      </c>
      <c r="J55" s="192">
        <f t="shared" ref="J55:J56" si="50">D55*250*F55*100/E55/G55/1000</f>
        <v>71.4400643604183</v>
      </c>
      <c r="K55" s="192">
        <f t="shared" ref="K55:K56" si="51">D55*250*2*100*H55/E55/I55/1000</f>
        <v>74.8419721871049</v>
      </c>
      <c r="L55" s="238">
        <f t="shared" ref="L55:L56" si="52">(K55-J55)*0.95</f>
        <v>3.23181243535225</v>
      </c>
      <c r="M55" s="229">
        <f t="shared" ref="M55" si="53">(L55+L56)/2</f>
        <v>3.24536724388889</v>
      </c>
      <c r="N55" s="229">
        <f t="shared" ref="N55" si="54">(L55-L56)*100/M55</f>
        <v>-0.835332800141973</v>
      </c>
    </row>
    <row r="56" spans="2:14">
      <c r="B56" s="227"/>
      <c r="C56" s="217"/>
      <c r="D56" s="65">
        <v>11.1</v>
      </c>
      <c r="E56" s="65">
        <v>2.8015</v>
      </c>
      <c r="F56" s="65">
        <v>4</v>
      </c>
      <c r="G56" s="192">
        <v>5.5</v>
      </c>
      <c r="H56" s="65">
        <v>4</v>
      </c>
      <c r="I56" s="192">
        <v>10.5</v>
      </c>
      <c r="J56" s="192">
        <f t="shared" si="50"/>
        <v>72.0393295799328</v>
      </c>
      <c r="K56" s="192">
        <f t="shared" si="51"/>
        <v>75.4697738456439</v>
      </c>
      <c r="L56" s="238">
        <f t="shared" si="52"/>
        <v>3.25892205242552</v>
      </c>
      <c r="M56" s="229"/>
      <c r="N56" s="229"/>
    </row>
    <row r="57" spans="2:14">
      <c r="B57" s="227" t="s">
        <v>1258</v>
      </c>
      <c r="C57" s="217" t="s">
        <v>1259</v>
      </c>
      <c r="D57" s="65">
        <v>11.1</v>
      </c>
      <c r="E57" s="65">
        <v>6.5629</v>
      </c>
      <c r="F57" s="65">
        <v>1</v>
      </c>
      <c r="G57" s="192">
        <v>5.7</v>
      </c>
      <c r="H57" s="65">
        <v>1</v>
      </c>
      <c r="I57" s="192">
        <v>11.2</v>
      </c>
      <c r="J57" s="192">
        <f t="shared" ref="J57:J66" si="55">D57*250*F57*100/E57/G57/1000</f>
        <v>7.41809421541023</v>
      </c>
      <c r="K57" s="192">
        <f t="shared" ref="K57:K66" si="56">D57*250*2*100*H57/E57/I57/1000</f>
        <v>7.55056018354256</v>
      </c>
      <c r="L57" s="238">
        <f t="shared" ref="L57:L66" si="57">(K57-J57)*0.95</f>
        <v>0.125842669725711</v>
      </c>
      <c r="M57" s="229">
        <f t="shared" ref="M57" si="58">(L57+L58)/2</f>
        <v>0.12636566078644</v>
      </c>
      <c r="N57" s="229">
        <f t="shared" ref="N57" si="59">(L57-L58)*100/M57</f>
        <v>-0.827742374747928</v>
      </c>
    </row>
    <row r="58" spans="2:14">
      <c r="B58" s="227"/>
      <c r="C58" s="217"/>
      <c r="D58" s="65">
        <v>11.1</v>
      </c>
      <c r="E58" s="65">
        <v>6.5088</v>
      </c>
      <c r="F58" s="65">
        <v>1</v>
      </c>
      <c r="G58" s="192">
        <v>5.7</v>
      </c>
      <c r="H58" s="65">
        <v>1</v>
      </c>
      <c r="I58" s="192">
        <v>11.2</v>
      </c>
      <c r="J58" s="192">
        <f t="shared" si="55"/>
        <v>7.47975210888578</v>
      </c>
      <c r="K58" s="192">
        <f t="shared" si="56"/>
        <v>7.61331911083017</v>
      </c>
      <c r="L58" s="238">
        <f t="shared" si="57"/>
        <v>0.12688865184717</v>
      </c>
      <c r="M58" s="229"/>
      <c r="N58" s="229"/>
    </row>
    <row r="59" spans="1:14">
      <c r="A59">
        <v>11.14</v>
      </c>
      <c r="B59" s="227" t="s">
        <v>1260</v>
      </c>
      <c r="C59" s="217"/>
      <c r="D59" s="65">
        <v>11</v>
      </c>
      <c r="E59" s="65">
        <v>2.5863</v>
      </c>
      <c r="F59" s="65">
        <v>1</v>
      </c>
      <c r="G59" s="192">
        <v>8.75</v>
      </c>
      <c r="H59" s="65">
        <v>1</v>
      </c>
      <c r="I59" s="192">
        <v>10.9</v>
      </c>
      <c r="J59" s="192">
        <f t="shared" si="55"/>
        <v>12.1519434824156</v>
      </c>
      <c r="K59" s="192">
        <f t="shared" si="56"/>
        <v>19.5100010038782</v>
      </c>
      <c r="L59" s="238">
        <f t="shared" si="57"/>
        <v>6.99015464538951</v>
      </c>
      <c r="M59" s="224">
        <f>(L59+L60)/2</f>
        <v>6.97636434480484</v>
      </c>
      <c r="N59" s="229">
        <f>(L59-L60)*100/M59</f>
        <v>0.395343474138972</v>
      </c>
    </row>
    <row r="60" spans="2:14">
      <c r="B60" s="227"/>
      <c r="C60" s="217"/>
      <c r="D60" s="65">
        <v>11</v>
      </c>
      <c r="E60" s="65">
        <v>2.5719</v>
      </c>
      <c r="F60" s="65">
        <v>1</v>
      </c>
      <c r="G60" s="192">
        <v>8.7</v>
      </c>
      <c r="H60" s="65">
        <v>1</v>
      </c>
      <c r="I60" s="192">
        <v>10.9</v>
      </c>
      <c r="J60" s="192">
        <f t="shared" si="55"/>
        <v>12.2902116731984</v>
      </c>
      <c r="K60" s="192">
        <f t="shared" si="56"/>
        <v>19.6192369829038</v>
      </c>
      <c r="L60" s="238">
        <f t="shared" si="57"/>
        <v>6.96257404422017</v>
      </c>
      <c r="M60" s="224"/>
      <c r="N60" s="229"/>
    </row>
    <row r="61" spans="1:14">
      <c r="A61">
        <v>1.3</v>
      </c>
      <c r="B61" s="227" t="s">
        <v>1261</v>
      </c>
      <c r="C61" s="217"/>
      <c r="D61" s="65">
        <v>11.1</v>
      </c>
      <c r="E61" s="65">
        <v>9.305</v>
      </c>
      <c r="F61" s="65">
        <v>1</v>
      </c>
      <c r="G61" s="192">
        <v>13.5</v>
      </c>
      <c r="H61" s="65">
        <v>1</v>
      </c>
      <c r="I61" s="192">
        <v>16.6</v>
      </c>
      <c r="J61" s="192">
        <f t="shared" si="55"/>
        <v>2.20908710967819</v>
      </c>
      <c r="K61" s="192">
        <f t="shared" si="56"/>
        <v>3.59309349164525</v>
      </c>
      <c r="L61" s="238">
        <f t="shared" si="57"/>
        <v>1.31480606286871</v>
      </c>
      <c r="M61" s="224">
        <f t="shared" ref="M61" si="60">(L61+L62)/2</f>
        <v>1.31100434660848</v>
      </c>
      <c r="N61" s="229">
        <f t="shared" ref="N61" si="61">(L61-L62)*100/M61</f>
        <v>0.579970046637377</v>
      </c>
    </row>
    <row r="62" spans="2:14">
      <c r="B62" s="227"/>
      <c r="C62" s="217"/>
      <c r="D62" s="65">
        <v>11.1</v>
      </c>
      <c r="E62" s="65">
        <v>9.3949</v>
      </c>
      <c r="F62" s="65">
        <v>1</v>
      </c>
      <c r="G62" s="192">
        <v>13.4</v>
      </c>
      <c r="H62" s="65">
        <v>1</v>
      </c>
      <c r="I62" s="192">
        <v>16.5</v>
      </c>
      <c r="J62" s="192">
        <f t="shared" si="55"/>
        <v>2.20427628009671</v>
      </c>
      <c r="K62" s="192">
        <f t="shared" si="56"/>
        <v>3.58027904888436</v>
      </c>
      <c r="L62" s="238">
        <f t="shared" si="57"/>
        <v>1.30720263034826</v>
      </c>
      <c r="M62" s="224"/>
      <c r="N62" s="229"/>
    </row>
    <row r="63" spans="2:14">
      <c r="B63" s="227" t="s">
        <v>1262</v>
      </c>
      <c r="C63" s="217"/>
      <c r="D63" s="65">
        <v>11</v>
      </c>
      <c r="E63" s="65">
        <v>2.506</v>
      </c>
      <c r="F63" s="65">
        <v>5</v>
      </c>
      <c r="G63" s="192">
        <v>7.7</v>
      </c>
      <c r="H63" s="65">
        <v>2.5</v>
      </c>
      <c r="I63" s="192">
        <v>7.4</v>
      </c>
      <c r="J63" s="192">
        <f t="shared" si="55"/>
        <v>71.2575533006499</v>
      </c>
      <c r="K63" s="192">
        <f t="shared" si="56"/>
        <v>74.1463730290546</v>
      </c>
      <c r="L63" s="238">
        <f t="shared" si="57"/>
        <v>2.74437874198448</v>
      </c>
      <c r="M63" s="224">
        <f>(L63+L64)/2</f>
        <v>2.74437874198448</v>
      </c>
      <c r="N63" s="229">
        <f>(L63-L64)*100/M63</f>
        <v>0</v>
      </c>
    </row>
    <row r="64" spans="2:14">
      <c r="B64" s="227"/>
      <c r="C64" s="217"/>
      <c r="D64" s="65">
        <v>11</v>
      </c>
      <c r="E64" s="65">
        <v>2.506</v>
      </c>
      <c r="F64" s="65">
        <v>5</v>
      </c>
      <c r="G64" s="192">
        <v>7.7</v>
      </c>
      <c r="H64" s="65">
        <v>2.5</v>
      </c>
      <c r="I64" s="192">
        <v>7.4</v>
      </c>
      <c r="J64" s="192">
        <f t="shared" si="55"/>
        <v>71.2575533006499</v>
      </c>
      <c r="K64" s="192">
        <f t="shared" si="56"/>
        <v>74.1463730290546</v>
      </c>
      <c r="L64" s="238">
        <f t="shared" si="57"/>
        <v>2.74437874198448</v>
      </c>
      <c r="M64" s="224"/>
      <c r="N64" s="229"/>
    </row>
    <row r="65" spans="1:14">
      <c r="A65">
        <v>8.7</v>
      </c>
      <c r="B65" s="227" t="s">
        <v>1263</v>
      </c>
      <c r="C65" s="217"/>
      <c r="D65" s="65">
        <v>11</v>
      </c>
      <c r="E65" s="65">
        <v>3.273</v>
      </c>
      <c r="F65" s="65">
        <v>1</v>
      </c>
      <c r="G65" s="192">
        <v>6.2</v>
      </c>
      <c r="H65" s="65">
        <v>1</v>
      </c>
      <c r="I65" s="192">
        <v>11.5</v>
      </c>
      <c r="J65" s="192">
        <f t="shared" si="55"/>
        <v>13.5517380720065</v>
      </c>
      <c r="K65" s="192">
        <f t="shared" si="56"/>
        <v>14.6123088776418</v>
      </c>
      <c r="L65" s="238">
        <f t="shared" si="57"/>
        <v>1.00754226535353</v>
      </c>
      <c r="M65" s="224">
        <f>(L65+L66)/2</f>
        <v>1.01581824837226</v>
      </c>
      <c r="N65" s="229">
        <f>(L65-L66)*100/M65</f>
        <v>-1.62942200181724</v>
      </c>
    </row>
    <row r="66" spans="2:14">
      <c r="B66" s="227"/>
      <c r="C66" s="217"/>
      <c r="D66" s="65">
        <v>11</v>
      </c>
      <c r="E66" s="65">
        <v>3.2201</v>
      </c>
      <c r="F66" s="65">
        <v>1</v>
      </c>
      <c r="G66" s="192">
        <v>6.2</v>
      </c>
      <c r="H66" s="65">
        <v>1</v>
      </c>
      <c r="I66" s="192">
        <v>11.5</v>
      </c>
      <c r="J66" s="192">
        <f t="shared" si="55"/>
        <v>13.7743668549664</v>
      </c>
      <c r="K66" s="192">
        <f t="shared" si="56"/>
        <v>14.8523607827464</v>
      </c>
      <c r="L66" s="238">
        <f t="shared" si="57"/>
        <v>1.02409423139098</v>
      </c>
      <c r="M66" s="224"/>
      <c r="N66" s="229"/>
    </row>
  </sheetData>
  <mergeCells count="83">
    <mergeCell ref="B3:B4"/>
    <mergeCell ref="B7:B8"/>
    <mergeCell ref="B10:B11"/>
    <mergeCell ref="B12:B13"/>
    <mergeCell ref="B16:B17"/>
    <mergeCell ref="B19:B20"/>
    <mergeCell ref="B23:B24"/>
    <mergeCell ref="B35:B36"/>
    <mergeCell ref="B37:B38"/>
    <mergeCell ref="B40:B41"/>
    <mergeCell ref="B42:B43"/>
    <mergeCell ref="B45:B46"/>
    <mergeCell ref="B47:B48"/>
    <mergeCell ref="B50:B51"/>
    <mergeCell ref="B53:B54"/>
    <mergeCell ref="B55:B56"/>
    <mergeCell ref="B57:B58"/>
    <mergeCell ref="B59:B60"/>
    <mergeCell ref="B61:B62"/>
    <mergeCell ref="B63:B64"/>
    <mergeCell ref="B65:B66"/>
    <mergeCell ref="C3:C4"/>
    <mergeCell ref="C7:C8"/>
    <mergeCell ref="C10:C11"/>
    <mergeCell ref="C12:C13"/>
    <mergeCell ref="C16:C17"/>
    <mergeCell ref="C19:C20"/>
    <mergeCell ref="C23:C24"/>
    <mergeCell ref="C35:C36"/>
    <mergeCell ref="C37:C38"/>
    <mergeCell ref="C40:C41"/>
    <mergeCell ref="C42:C43"/>
    <mergeCell ref="C45:C46"/>
    <mergeCell ref="C47:C48"/>
    <mergeCell ref="C50:C51"/>
    <mergeCell ref="C53:C54"/>
    <mergeCell ref="C55:C56"/>
    <mergeCell ref="C57:C58"/>
    <mergeCell ref="C59:C60"/>
    <mergeCell ref="C61:C62"/>
    <mergeCell ref="C63:C64"/>
    <mergeCell ref="C65:C66"/>
    <mergeCell ref="M3:M4"/>
    <mergeCell ref="M7:M8"/>
    <mergeCell ref="M10:M11"/>
    <mergeCell ref="M12:M13"/>
    <mergeCell ref="M16:M17"/>
    <mergeCell ref="M19:M20"/>
    <mergeCell ref="M23:M24"/>
    <mergeCell ref="M35:M36"/>
    <mergeCell ref="M37:M38"/>
    <mergeCell ref="M40:M41"/>
    <mergeCell ref="M42:M43"/>
    <mergeCell ref="M45:M46"/>
    <mergeCell ref="M47:M48"/>
    <mergeCell ref="M50:M51"/>
    <mergeCell ref="M53:M54"/>
    <mergeCell ref="M55:M56"/>
    <mergeCell ref="M57:M58"/>
    <mergeCell ref="M59:M60"/>
    <mergeCell ref="M61:M62"/>
    <mergeCell ref="M63:M64"/>
    <mergeCell ref="M65:M66"/>
    <mergeCell ref="N3:N4"/>
    <mergeCell ref="N7:N8"/>
    <mergeCell ref="N10:N11"/>
    <mergeCell ref="N12:N13"/>
    <mergeCell ref="N16:N17"/>
    <mergeCell ref="N19:N20"/>
    <mergeCell ref="N23:N24"/>
    <mergeCell ref="N37:N38"/>
    <mergeCell ref="N40:N41"/>
    <mergeCell ref="N42:N43"/>
    <mergeCell ref="N45:N46"/>
    <mergeCell ref="N47:N48"/>
    <mergeCell ref="N50:N51"/>
    <mergeCell ref="N53:N54"/>
    <mergeCell ref="N55:N56"/>
    <mergeCell ref="N57:N58"/>
    <mergeCell ref="N59:N60"/>
    <mergeCell ref="N61:N62"/>
    <mergeCell ref="N63:N64"/>
    <mergeCell ref="N65:N66"/>
  </mergeCell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M87"/>
  <sheetViews>
    <sheetView workbookViewId="0">
      <pane ySplit="1" topLeftCell="A65" activePane="bottomLeft" state="frozen"/>
      <selection/>
      <selection pane="bottomLeft" activeCell="E1115" sqref="E1115"/>
    </sheetView>
  </sheetViews>
  <sheetFormatPr defaultColWidth="9" defaultRowHeight="13.5"/>
  <cols>
    <col min="1" max="1" width="12.5" customWidth="1"/>
    <col min="2" max="2" width="9.625" customWidth="1"/>
    <col min="3" max="3" width="12.5" customWidth="1"/>
    <col min="4" max="4" width="14.125" customWidth="1"/>
    <col min="5" max="5" width="16.5" customWidth="1"/>
    <col min="6" max="6" width="17.75" customWidth="1"/>
    <col min="7" max="7" width="12.5" customWidth="1"/>
    <col min="8" max="8" width="12.75" customWidth="1"/>
    <col min="9" max="9" width="14.5" customWidth="1"/>
    <col min="10" max="10" width="9.625" customWidth="1"/>
    <col min="11" max="11" width="15.625" customWidth="1"/>
    <col min="12" max="12" width="9.5" customWidth="1"/>
  </cols>
  <sheetData>
    <row r="1" ht="20.25" spans="1:11">
      <c r="A1" s="240" t="s">
        <v>2</v>
      </c>
      <c r="B1" s="241" t="s">
        <v>1</v>
      </c>
      <c r="C1" s="242" t="s">
        <v>1233</v>
      </c>
      <c r="D1" s="240" t="s">
        <v>1234</v>
      </c>
      <c r="E1" s="243" t="s">
        <v>1236</v>
      </c>
      <c r="F1" s="244" t="s">
        <v>1238</v>
      </c>
      <c r="G1" s="245" t="s">
        <v>1239</v>
      </c>
      <c r="H1" s="242" t="s">
        <v>1240</v>
      </c>
      <c r="I1" s="253" t="s">
        <v>1241</v>
      </c>
      <c r="J1" s="254" t="s">
        <v>145</v>
      </c>
      <c r="K1" s="242" t="s">
        <v>146</v>
      </c>
    </row>
    <row r="2" ht="20.25" spans="1:11">
      <c r="A2" s="246" t="s">
        <v>1264</v>
      </c>
      <c r="B2" s="247" t="s">
        <v>1265</v>
      </c>
      <c r="C2" s="248">
        <v>11.35</v>
      </c>
      <c r="D2" s="249">
        <v>2.5332</v>
      </c>
      <c r="E2" s="250">
        <v>11.1</v>
      </c>
      <c r="F2" s="251">
        <v>10.8</v>
      </c>
      <c r="G2" s="248">
        <f>(C2-E2)*250*100/D2/1000/10</f>
        <v>0.246723511763777</v>
      </c>
      <c r="H2" s="248">
        <f>(C2-F2)*250*2*100/D2/1000/10</f>
        <v>1.08558345176062</v>
      </c>
      <c r="I2" s="255">
        <f>(H2-G2)*0.95</f>
        <v>0.796916942996998</v>
      </c>
      <c r="J2" s="256">
        <f>(I2+I3)/2</f>
        <v>0.796147687841432</v>
      </c>
      <c r="K2" s="256">
        <f>(I2-I3)*100/J2</f>
        <v>0.193244335771912</v>
      </c>
    </row>
    <row r="3" ht="20.25" spans="1:11">
      <c r="A3" s="246"/>
      <c r="B3" s="247"/>
      <c r="C3" s="248">
        <v>11.35</v>
      </c>
      <c r="D3" s="249">
        <v>2.5381</v>
      </c>
      <c r="E3" s="250">
        <v>11.1</v>
      </c>
      <c r="F3" s="251">
        <v>10.8</v>
      </c>
      <c r="G3" s="248">
        <f>(C3-E3)*250*100/D3/1000/10</f>
        <v>0.246247192782002</v>
      </c>
      <c r="H3" s="248">
        <f>(C3-F3)*250*2*100/D3/1000/10</f>
        <v>1.08348764824081</v>
      </c>
      <c r="I3" s="255">
        <f>(H3-G3)*0.95</f>
        <v>0.795378432685865</v>
      </c>
      <c r="J3" s="256"/>
      <c r="K3" s="256"/>
    </row>
    <row r="5" ht="20.25" spans="1:11">
      <c r="A5" s="246" t="s">
        <v>1266</v>
      </c>
      <c r="B5" s="247" t="s">
        <v>1267</v>
      </c>
      <c r="C5" s="248">
        <v>12.1</v>
      </c>
      <c r="D5" s="249">
        <v>2.6514</v>
      </c>
      <c r="E5" s="250">
        <v>10.7</v>
      </c>
      <c r="F5" s="251">
        <v>11.3</v>
      </c>
      <c r="G5" s="248">
        <f>(C5-E5)*250*100/D5/1000/10</f>
        <v>1.32005732820397</v>
      </c>
      <c r="H5" s="248">
        <f>(C5-F5)*250*2*100/D5/1000/10</f>
        <v>1.50863694651882</v>
      </c>
      <c r="I5" s="255">
        <f>(H5-G5)*0.95</f>
        <v>0.179150637399107</v>
      </c>
      <c r="J5" s="256">
        <f>(I5+I6)/2</f>
        <v>0.178871103938489</v>
      </c>
      <c r="K5" s="256">
        <f>(I5-I6)*100/J5</f>
        <v>0.312552955131562</v>
      </c>
    </row>
    <row r="6" ht="20.25" spans="1:11">
      <c r="A6" s="246"/>
      <c r="B6" s="247"/>
      <c r="C6" s="248">
        <v>12.1</v>
      </c>
      <c r="D6" s="249">
        <v>2.6597</v>
      </c>
      <c r="E6" s="250">
        <v>10.7</v>
      </c>
      <c r="F6" s="251">
        <v>11.3</v>
      </c>
      <c r="G6" s="248">
        <f>(C6-E6)*250*100/D6/1000/10</f>
        <v>1.3159378877317</v>
      </c>
      <c r="H6" s="248">
        <f>(C6-F6)*250*2*100/D6/1000/10</f>
        <v>1.50392901455051</v>
      </c>
      <c r="I6" s="255">
        <f>(H6-G6)*0.95</f>
        <v>0.178591570477871</v>
      </c>
      <c r="J6" s="256"/>
      <c r="K6" s="256"/>
    </row>
    <row r="8" ht="20.25" spans="1:11">
      <c r="A8" s="246" t="s">
        <v>1268</v>
      </c>
      <c r="B8" s="247" t="s">
        <v>1269</v>
      </c>
      <c r="C8" s="248">
        <v>12.1</v>
      </c>
      <c r="D8" s="249">
        <v>3.0041</v>
      </c>
      <c r="E8" s="250">
        <v>11.5</v>
      </c>
      <c r="F8" s="251">
        <v>11.1</v>
      </c>
      <c r="G8" s="248">
        <f>(C8-E8)*250*100/D8/1000/10</f>
        <v>0.499317599280982</v>
      </c>
      <c r="H8" s="248">
        <f>(C8-F8)*250*2*100/D8/1000/10</f>
        <v>1.66439199760328</v>
      </c>
      <c r="I8" s="255">
        <f>(H8-G8)*0.95</f>
        <v>1.10682067840618</v>
      </c>
      <c r="J8" s="256">
        <f>(I8+I9)/2</f>
        <v>1.10514935420375</v>
      </c>
      <c r="K8" s="256">
        <f>(I8-I9)*100/J8</f>
        <v>0.302461236767314</v>
      </c>
    </row>
    <row r="9" ht="20.25" spans="1:11">
      <c r="A9" s="246"/>
      <c r="B9" s="247"/>
      <c r="C9" s="248">
        <v>12.1</v>
      </c>
      <c r="D9" s="249">
        <v>3.0132</v>
      </c>
      <c r="E9" s="250">
        <v>11.5</v>
      </c>
      <c r="F9" s="251">
        <v>11.1</v>
      </c>
      <c r="G9" s="248">
        <f>(C9-E9)*250*100/D9/1000/10</f>
        <v>0.497809637594584</v>
      </c>
      <c r="H9" s="248">
        <f>(C9-F9)*250*2*100/D9/1000/10</f>
        <v>1.65936545864861</v>
      </c>
      <c r="I9" s="255">
        <f>(H9-G9)*0.95</f>
        <v>1.10347803000133</v>
      </c>
      <c r="J9" s="256"/>
      <c r="K9" s="256"/>
    </row>
    <row r="11" ht="20.25" spans="1:11">
      <c r="A11" s="246" t="s">
        <v>1270</v>
      </c>
      <c r="B11" s="247" t="s">
        <v>1271</v>
      </c>
      <c r="C11" s="248">
        <v>12.2</v>
      </c>
      <c r="D11" s="249">
        <v>5.2031</v>
      </c>
      <c r="E11" s="250">
        <v>10.75</v>
      </c>
      <c r="F11" s="251">
        <v>11.25</v>
      </c>
      <c r="G11" s="248">
        <f>(C11-E11)*250*100/D11/1000/10</f>
        <v>0.696700044204416</v>
      </c>
      <c r="H11" s="248">
        <f>(C11-F11)*250*2*100/D11/1000/10</f>
        <v>0.912917299302338</v>
      </c>
      <c r="I11" s="255">
        <f>(H11-G11)*0.95</f>
        <v>0.205406392343026</v>
      </c>
      <c r="J11" s="256">
        <f>(I11+I12)/2</f>
        <v>0.195594562163495</v>
      </c>
      <c r="K11" s="256">
        <f>(I11-I12)*100/J11</f>
        <v>10.0328251164056</v>
      </c>
    </row>
    <row r="12" ht="20.25" spans="1:11">
      <c r="A12" s="246"/>
      <c r="B12" s="247"/>
      <c r="C12" s="248">
        <v>12.2</v>
      </c>
      <c r="D12" s="249">
        <v>5.1135</v>
      </c>
      <c r="E12" s="250">
        <v>10.8</v>
      </c>
      <c r="F12" s="251">
        <v>11.3</v>
      </c>
      <c r="G12" s="248">
        <f>(C12-E12)*250*100/D12/1000/10</f>
        <v>0.684462696783025</v>
      </c>
      <c r="H12" s="248">
        <f>(C12-F12)*250*2*100/D12/1000/10</f>
        <v>0.88002346729246</v>
      </c>
      <c r="I12" s="255">
        <f>(H12-G12)*0.95</f>
        <v>0.185782731983963</v>
      </c>
      <c r="J12" s="256"/>
      <c r="K12" s="256"/>
    </row>
    <row r="14" ht="20.25" spans="1:11">
      <c r="A14" s="246" t="s">
        <v>1270</v>
      </c>
      <c r="B14" s="247" t="s">
        <v>1271</v>
      </c>
      <c r="C14" s="248">
        <v>12.2</v>
      </c>
      <c r="D14" s="249">
        <v>5.9126</v>
      </c>
      <c r="E14" s="250">
        <v>10.5</v>
      </c>
      <c r="F14" s="251">
        <v>11.15</v>
      </c>
      <c r="G14" s="248">
        <f>(C14-E14)*250*100/D14/1000/10</f>
        <v>0.718803910293272</v>
      </c>
      <c r="H14" s="248">
        <f>(C14-F14)*250*2*100/D14/1000/10</f>
        <v>0.887934242126982</v>
      </c>
      <c r="I14" s="255">
        <f>(H14-G14)*0.95</f>
        <v>0.160673815242025</v>
      </c>
      <c r="J14" s="256">
        <f>(I14+I15)/2</f>
        <v>0.19320426115483</v>
      </c>
      <c r="K14" s="256">
        <f>(I14-I15)*100/J14</f>
        <v>-33.6746671303857</v>
      </c>
    </row>
    <row r="15" ht="20.25" spans="1:11">
      <c r="A15" s="246"/>
      <c r="B15" s="247"/>
      <c r="C15" s="248">
        <v>12.2</v>
      </c>
      <c r="D15" s="249">
        <v>5.2606</v>
      </c>
      <c r="E15" s="250">
        <v>10.7</v>
      </c>
      <c r="F15" s="251">
        <v>11.2</v>
      </c>
      <c r="G15" s="248">
        <f>(C15-E15)*250*100/D15/1000/10</f>
        <v>0.712846443371479</v>
      </c>
      <c r="H15" s="248">
        <f>(C15-F15)*250*2*100/D15/1000/10</f>
        <v>0.950461924495305</v>
      </c>
      <c r="I15" s="255">
        <f>(H15-G15)*0.95</f>
        <v>0.225734707067635</v>
      </c>
      <c r="J15" s="256"/>
      <c r="K15" s="256"/>
    </row>
    <row r="17" ht="20.25" spans="1:11">
      <c r="A17" s="246" t="s">
        <v>1270</v>
      </c>
      <c r="B17" s="247" t="s">
        <v>1271</v>
      </c>
      <c r="C17" s="248">
        <v>12.2</v>
      </c>
      <c r="D17" s="249">
        <v>5.1573</v>
      </c>
      <c r="E17" s="250">
        <v>10.775</v>
      </c>
      <c r="F17" s="251">
        <v>11.25</v>
      </c>
      <c r="G17" s="248">
        <f>(C17-E17)*250*100/D17/1000/10</f>
        <v>0.690768425338839</v>
      </c>
      <c r="H17" s="248">
        <f>(C17-F17)*250*2*100/D17/1000/10</f>
        <v>0.921024567118453</v>
      </c>
      <c r="I17" s="255">
        <f>(H17-G17)*0.95</f>
        <v>0.218743334690633</v>
      </c>
      <c r="J17" s="256">
        <f>(I17+I18)/2</f>
        <v>0.19970504505294</v>
      </c>
      <c r="K17" s="256">
        <f>(I17-I18)*100/J17</f>
        <v>19.0664082949388</v>
      </c>
    </row>
    <row r="18" ht="20.25" spans="1:11">
      <c r="A18" s="246"/>
      <c r="B18" s="247"/>
      <c r="C18" s="248">
        <v>12.2</v>
      </c>
      <c r="D18" s="249">
        <v>5.2583</v>
      </c>
      <c r="E18" s="250">
        <v>10.7</v>
      </c>
      <c r="F18" s="251">
        <v>11.25</v>
      </c>
      <c r="G18" s="248">
        <f>(C18-E18)*250*100/D18/1000/10</f>
        <v>0.713158245060191</v>
      </c>
      <c r="H18" s="248">
        <f>(C18-F18)*250*2*100/D18/1000/10</f>
        <v>0.903333777076241</v>
      </c>
      <c r="I18" s="257">
        <f>(H18-G18)*0.95</f>
        <v>0.180666755415248</v>
      </c>
      <c r="J18" s="256"/>
      <c r="K18" s="256"/>
    </row>
    <row r="20" ht="20.25" spans="1:11">
      <c r="A20" s="246" t="s">
        <v>1272</v>
      </c>
      <c r="B20" s="247" t="s">
        <v>1269</v>
      </c>
      <c r="C20" s="248">
        <v>11</v>
      </c>
      <c r="D20" s="249">
        <v>3.5869</v>
      </c>
      <c r="E20" s="250">
        <v>9.3</v>
      </c>
      <c r="F20" s="251">
        <v>10</v>
      </c>
      <c r="G20" s="248">
        <f>(C20-E20)*250*100/D20/1000/10</f>
        <v>1.18486715548245</v>
      </c>
      <c r="H20" s="248">
        <f>(C20-F20)*250*2*100/D20/1000/10</f>
        <v>1.39396135939112</v>
      </c>
      <c r="I20" s="255">
        <f>(H20-G20)*0.95</f>
        <v>0.198639493713235</v>
      </c>
      <c r="J20" s="256">
        <f>(I20+I21)/2</f>
        <v>0.198537147848095</v>
      </c>
      <c r="K20" s="256">
        <f>(I20-I21)*100/J20</f>
        <v>0.103099965169106</v>
      </c>
    </row>
    <row r="21" ht="20.25" spans="1:11">
      <c r="A21" s="246"/>
      <c r="B21" s="247"/>
      <c r="C21" s="248">
        <v>11</v>
      </c>
      <c r="D21" s="249">
        <v>3.5906</v>
      </c>
      <c r="E21" s="250">
        <v>9.3</v>
      </c>
      <c r="F21" s="251">
        <v>10</v>
      </c>
      <c r="G21" s="248">
        <f>(C21-E21)*250*100/D21/1000/10</f>
        <v>1.18364618726675</v>
      </c>
      <c r="H21" s="248">
        <f>(C21-F21)*250*2*100/D21/1000/10</f>
        <v>1.39252492619618</v>
      </c>
      <c r="I21" s="255">
        <f>(H21-G21)*0.95</f>
        <v>0.198434801982956</v>
      </c>
      <c r="J21" s="256"/>
      <c r="K21" s="256"/>
    </row>
    <row r="23" ht="20.25" spans="1:11">
      <c r="A23" s="246" t="s">
        <v>1273</v>
      </c>
      <c r="B23" s="247" t="s">
        <v>1274</v>
      </c>
      <c r="C23" s="248">
        <v>11.7</v>
      </c>
      <c r="D23" s="249">
        <v>3.6092</v>
      </c>
      <c r="E23" s="250">
        <v>5.9</v>
      </c>
      <c r="F23" s="251">
        <v>8.7</v>
      </c>
      <c r="G23" s="248">
        <f>(C23-E23)*250*100/D23/1000/10</f>
        <v>4.01751080571872</v>
      </c>
      <c r="H23" s="248">
        <f>(C23-F23)*250*2*100/D23/1000/10</f>
        <v>4.15604566108833</v>
      </c>
      <c r="I23" s="255">
        <f>(H23-G23)*0.95</f>
        <v>0.131608112601131</v>
      </c>
      <c r="J23" s="256">
        <f>(I23+I24)/2</f>
        <v>0.131948990294884</v>
      </c>
      <c r="K23" s="256">
        <f>(I23-I24)*100/J23</f>
        <v>-0.516681018917469</v>
      </c>
    </row>
    <row r="24" ht="20.25" spans="1:11">
      <c r="A24" s="246"/>
      <c r="B24" s="247"/>
      <c r="C24" s="248">
        <v>11.7</v>
      </c>
      <c r="D24" s="249">
        <v>3.5906</v>
      </c>
      <c r="E24" s="250">
        <v>5.9</v>
      </c>
      <c r="F24" s="251">
        <v>8.7</v>
      </c>
      <c r="G24" s="248">
        <f>(C24-E24)*250*100/D24/1000/10</f>
        <v>4.03832228596892</v>
      </c>
      <c r="H24" s="248">
        <f>(C24-F24)*250*2*100/D24/1000/10</f>
        <v>4.17757477858854</v>
      </c>
      <c r="I24" s="255">
        <f>(H24-G24)*0.95</f>
        <v>0.132289867988638</v>
      </c>
      <c r="J24" s="256"/>
      <c r="K24" s="256"/>
    </row>
    <row r="26" ht="20.25" spans="1:11">
      <c r="A26" s="246" t="s">
        <v>1275</v>
      </c>
      <c r="B26" s="247" t="s">
        <v>1276</v>
      </c>
      <c r="C26" s="248">
        <v>11.65</v>
      </c>
      <c r="D26" s="249">
        <v>2.633</v>
      </c>
      <c r="E26" s="250">
        <v>9</v>
      </c>
      <c r="F26" s="251">
        <v>9.1</v>
      </c>
      <c r="G26" s="248">
        <f>(C26-E26)*250*100/D26/1000/10</f>
        <v>2.5161412837068</v>
      </c>
      <c r="H26" s="248">
        <f>(C26-F26)*250*2*100/D26/1000/10</f>
        <v>4.8423851120395</v>
      </c>
      <c r="I26" s="255">
        <f>(H26-G26)*0.95</f>
        <v>2.20993163691607</v>
      </c>
      <c r="J26" s="256">
        <f>(I26+I27)/2</f>
        <v>2.209051052415</v>
      </c>
      <c r="K26" s="256">
        <f>(I26-I27)*100/J26</f>
        <v>0.0797251380953697</v>
      </c>
    </row>
    <row r="27" ht="20.25" spans="1:11">
      <c r="A27" s="246"/>
      <c r="B27" s="247"/>
      <c r="C27" s="248">
        <v>11.65</v>
      </c>
      <c r="D27" s="249">
        <v>2.6351</v>
      </c>
      <c r="E27" s="250">
        <v>9</v>
      </c>
      <c r="F27" s="251">
        <v>9.1</v>
      </c>
      <c r="G27" s="248">
        <f>(C27-E27)*250*100/D27/1000/10</f>
        <v>2.51413608591704</v>
      </c>
      <c r="H27" s="248">
        <f>(C27-F27)*250*2*100/D27/1000/10</f>
        <v>4.83852605214224</v>
      </c>
      <c r="I27" s="255">
        <f>(H27-G27)*0.95</f>
        <v>2.20817046791393</v>
      </c>
      <c r="J27" s="256"/>
      <c r="K27" s="256"/>
    </row>
    <row r="29" ht="20.25" spans="1:13">
      <c r="A29" s="246" t="s">
        <v>1277</v>
      </c>
      <c r="B29" s="247" t="s">
        <v>1278</v>
      </c>
      <c r="C29" s="248">
        <v>11.45</v>
      </c>
      <c r="D29" s="249">
        <v>2.9308</v>
      </c>
      <c r="E29" s="250">
        <v>10.2</v>
      </c>
      <c r="F29" s="251">
        <v>9.9</v>
      </c>
      <c r="G29" s="248">
        <f>(C29-E29)*250*100/D29/1000/10</f>
        <v>1.06626177152996</v>
      </c>
      <c r="H29" s="248">
        <f>(C29-F29)*250*2*100/D29/1000/10</f>
        <v>2.64432919339429</v>
      </c>
      <c r="I29" s="255">
        <f>(H29-G29)*0.95</f>
        <v>1.49916405077112</v>
      </c>
      <c r="J29" s="256">
        <f>(I29+I30)/2</f>
        <v>1.49916405077112</v>
      </c>
      <c r="K29" s="256">
        <f>(I29-I30)*100/J29</f>
        <v>0</v>
      </c>
      <c r="L29">
        <v>1.2</v>
      </c>
      <c r="M29">
        <v>0.89</v>
      </c>
    </row>
    <row r="30" ht="20.25" spans="1:11">
      <c r="A30" s="246"/>
      <c r="B30" s="247"/>
      <c r="C30" s="248">
        <v>11.45</v>
      </c>
      <c r="D30" s="249">
        <v>2.9308</v>
      </c>
      <c r="E30" s="250">
        <v>10.2</v>
      </c>
      <c r="F30" s="251">
        <v>9.9</v>
      </c>
      <c r="G30" s="248">
        <f>(C30-E30)*250*100/D30/1000/10</f>
        <v>1.06626177152996</v>
      </c>
      <c r="H30" s="248">
        <f>(C30-F30)*250*2*100/D30/1000/10</f>
        <v>2.64432919339429</v>
      </c>
      <c r="I30" s="255">
        <f>(H30-G30)*0.95</f>
        <v>1.49916405077112</v>
      </c>
      <c r="J30" s="256"/>
      <c r="K30" s="256"/>
    </row>
    <row r="31" ht="20.25" spans="1:13">
      <c r="A31" s="246" t="s">
        <v>1279</v>
      </c>
      <c r="B31" s="247" t="s">
        <v>1280</v>
      </c>
      <c r="C31" s="248">
        <v>11.45</v>
      </c>
      <c r="D31" s="249">
        <v>2.524</v>
      </c>
      <c r="E31" s="250">
        <v>10.55</v>
      </c>
      <c r="F31" s="251">
        <v>10.1</v>
      </c>
      <c r="G31" s="248">
        <f>(C31-E31)*250*100/D31/1000/10</f>
        <v>0.891442155309032</v>
      </c>
      <c r="H31" s="248">
        <f>(C31-F31)*250*2*100/D31/1000/10</f>
        <v>2.6743264659271</v>
      </c>
      <c r="I31" s="255">
        <f>(H31-G31)*0.95</f>
        <v>1.69374009508716</v>
      </c>
      <c r="J31" s="256">
        <f>(I31+I32)/2</f>
        <v>1.69374009508716</v>
      </c>
      <c r="K31" s="256">
        <f>(I31-I32)*100/J31</f>
        <v>0</v>
      </c>
      <c r="L31">
        <v>0.98</v>
      </c>
      <c r="M31">
        <v>0.9</v>
      </c>
    </row>
    <row r="32" ht="20.25" spans="1:11">
      <c r="A32" s="246"/>
      <c r="B32" s="247"/>
      <c r="C32" s="248">
        <v>11.45</v>
      </c>
      <c r="D32" s="249">
        <v>2.524</v>
      </c>
      <c r="E32" s="250">
        <v>10.55</v>
      </c>
      <c r="F32" s="251">
        <v>10.1</v>
      </c>
      <c r="G32" s="248">
        <f>(C32-E32)*250*100/D32/1000/10</f>
        <v>0.891442155309032</v>
      </c>
      <c r="H32" s="248">
        <f>(C32-F32)*250*2*100/D32/1000/10</f>
        <v>2.6743264659271</v>
      </c>
      <c r="I32" s="255">
        <f>(H32-G32)*0.95</f>
        <v>1.69374009508716</v>
      </c>
      <c r="J32" s="256"/>
      <c r="K32" s="256"/>
    </row>
    <row r="34" ht="20.25" spans="1:11">
      <c r="A34" s="246" t="s">
        <v>1281</v>
      </c>
      <c r="B34" s="247" t="s">
        <v>1282</v>
      </c>
      <c r="C34" s="248">
        <v>11.45</v>
      </c>
      <c r="D34" s="249">
        <v>2.5547</v>
      </c>
      <c r="E34" s="250">
        <v>11.4</v>
      </c>
      <c r="F34" s="251">
        <v>8.85</v>
      </c>
      <c r="G34" s="248">
        <f>(C34-E34)*250*100/D34/1000/10</f>
        <v>0.048929424198535</v>
      </c>
      <c r="H34" s="248">
        <f>(C34-F34)*250*2*100/D34/1000/10</f>
        <v>5.08866011664775</v>
      </c>
      <c r="I34" s="255">
        <f>(H34-G34)*0.95</f>
        <v>4.78774415782675</v>
      </c>
      <c r="J34" s="256">
        <f>(I34+I35)/2</f>
        <v>4.80178805654941</v>
      </c>
      <c r="K34" s="256">
        <f>(I34-I35)*100/J34</f>
        <v>-0.584944548041988</v>
      </c>
    </row>
    <row r="35" ht="20.25" spans="1:11">
      <c r="A35" s="246"/>
      <c r="B35" s="247"/>
      <c r="C35" s="248">
        <v>11.45</v>
      </c>
      <c r="D35" s="249">
        <v>2.5398</v>
      </c>
      <c r="E35" s="250">
        <v>11.4</v>
      </c>
      <c r="F35" s="251">
        <v>8.85</v>
      </c>
      <c r="G35" s="248">
        <f>(C35-E35)*250*100/D35/1000/10</f>
        <v>0.0492164737380886</v>
      </c>
      <c r="H35" s="248">
        <f>(C35-F35)*250*2*100/D35/1000/10</f>
        <v>5.11851326876132</v>
      </c>
      <c r="I35" s="255">
        <f>(H35-G35)*0.95</f>
        <v>4.81583195527207</v>
      </c>
      <c r="J35" s="256"/>
      <c r="K35" s="256"/>
    </row>
    <row r="37" ht="20.25" spans="1:11">
      <c r="A37" s="246" t="s">
        <v>1283</v>
      </c>
      <c r="B37" s="247" t="s">
        <v>1284</v>
      </c>
      <c r="C37" s="248">
        <v>11.4</v>
      </c>
      <c r="D37" s="249">
        <v>3.4595</v>
      </c>
      <c r="E37" s="250">
        <v>10.5</v>
      </c>
      <c r="F37" s="251">
        <v>10.05</v>
      </c>
      <c r="G37" s="248">
        <f>(C37-E37)*250*100/D37/1000/10</f>
        <v>0.65038300332418</v>
      </c>
      <c r="H37" s="248">
        <f>(C37-F37)*250*2*100/D37/1000/10</f>
        <v>1.95114900997254</v>
      </c>
      <c r="I37" s="255">
        <f>(H37-G37)*0.95</f>
        <v>1.23572770631594</v>
      </c>
      <c r="J37" s="256">
        <f>(I37+I38)/2</f>
        <v>1.23503195386825</v>
      </c>
      <c r="K37" s="256">
        <f>(I37-I38)*100/J37</f>
        <v>0.112669545999516</v>
      </c>
    </row>
    <row r="38" ht="20.25" spans="1:11">
      <c r="A38" s="246"/>
      <c r="B38" s="247"/>
      <c r="C38" s="248">
        <v>11.4</v>
      </c>
      <c r="D38" s="249">
        <v>3.4634</v>
      </c>
      <c r="E38" s="250">
        <v>10.5</v>
      </c>
      <c r="F38" s="251">
        <v>10.05</v>
      </c>
      <c r="G38" s="248">
        <f>(C38-E38)*250*100/D38/1000/10</f>
        <v>0.649650632326616</v>
      </c>
      <c r="H38" s="248">
        <f>(C38-F38)*250*2*100/D38/1000/10</f>
        <v>1.94895189697985</v>
      </c>
      <c r="I38" s="255">
        <f>(H38-G38)*0.95</f>
        <v>1.23433620142057</v>
      </c>
      <c r="J38" s="256"/>
      <c r="K38" s="256"/>
    </row>
    <row r="40" ht="20.25" spans="1:11">
      <c r="A40" s="246" t="s">
        <v>1285</v>
      </c>
      <c r="B40" s="247" t="s">
        <v>1247</v>
      </c>
      <c r="C40" s="248">
        <v>11.5</v>
      </c>
      <c r="D40" s="249">
        <v>5.28</v>
      </c>
      <c r="E40" s="250">
        <v>8.1</v>
      </c>
      <c r="F40" s="251">
        <v>7.6</v>
      </c>
      <c r="G40" s="248">
        <f>(C40-E40)*250*100/D40/1000/10</f>
        <v>1.60984848484849</v>
      </c>
      <c r="H40" s="248">
        <f>(C40-F40)*250*2*100/D40/1000/10</f>
        <v>3.69318181818182</v>
      </c>
      <c r="I40" s="255">
        <f>(H40-G40)*0.95</f>
        <v>1.97916666666667</v>
      </c>
      <c r="J40" s="256">
        <f>(I40+I41)/2</f>
        <v>1.96459686222919</v>
      </c>
      <c r="K40" s="256">
        <f>(I40-I41)*100/J40</f>
        <v>1.48323604883966</v>
      </c>
    </row>
    <row r="41" ht="20.25" spans="1:11">
      <c r="A41" s="246"/>
      <c r="B41" s="247"/>
      <c r="C41" s="248">
        <v>11.5</v>
      </c>
      <c r="D41" s="249">
        <v>5.3589</v>
      </c>
      <c r="E41" s="250">
        <v>8.1</v>
      </c>
      <c r="F41" s="251">
        <v>7.6</v>
      </c>
      <c r="G41" s="248">
        <f>(C41-E41)*250*100/D41/1000/10</f>
        <v>1.58614641064398</v>
      </c>
      <c r="H41" s="248">
        <f>(C41-F41)*250*2*100/D41/1000/10</f>
        <v>3.63880647147736</v>
      </c>
      <c r="I41" s="255">
        <f>(H41-G41)*0.95</f>
        <v>1.95002705779171</v>
      </c>
      <c r="J41" s="256"/>
      <c r="K41" s="256"/>
    </row>
    <row r="44" ht="20.25" spans="1:11">
      <c r="A44" s="246" t="s">
        <v>1285</v>
      </c>
      <c r="B44" s="247" t="s">
        <v>1247</v>
      </c>
      <c r="C44" s="248">
        <v>11.6</v>
      </c>
      <c r="D44" s="249">
        <v>3.3669</v>
      </c>
      <c r="E44" s="250">
        <v>9.7</v>
      </c>
      <c r="F44" s="251">
        <v>7.6</v>
      </c>
      <c r="G44" s="248">
        <f>(C44-E44)*250*100/D44/1000/10</f>
        <v>1.41079331135466</v>
      </c>
      <c r="H44" s="248">
        <f t="shared" ref="H44:H50" si="0">(C44-F44)*250*2*100/D44/1000/10</f>
        <v>5.94018236359856</v>
      </c>
      <c r="I44" s="255">
        <f t="shared" ref="I44:I50" si="1">(H44-G44)*0.95</f>
        <v>4.30291959963171</v>
      </c>
      <c r="J44" s="256">
        <f>(I44+I45)/2</f>
        <v>4.27853365093904</v>
      </c>
      <c r="K44" s="256">
        <f>(I44-I45)*100/J44</f>
        <v>1.13992085523595</v>
      </c>
    </row>
    <row r="45" ht="20.25" spans="1:11">
      <c r="A45" s="246"/>
      <c r="B45" s="247"/>
      <c r="C45" s="248">
        <v>11.6</v>
      </c>
      <c r="D45" s="249">
        <v>3.4055</v>
      </c>
      <c r="E45" s="250">
        <v>9.7</v>
      </c>
      <c r="F45" s="251">
        <v>7.6</v>
      </c>
      <c r="G45" s="248">
        <f>(C45-E45)*250*100/D45/1000/10</f>
        <v>1.39480252532668</v>
      </c>
      <c r="H45" s="248">
        <f t="shared" si="0"/>
        <v>5.87285273821759</v>
      </c>
      <c r="I45" s="255">
        <f t="shared" si="1"/>
        <v>4.25414770224637</v>
      </c>
      <c r="J45" s="256"/>
      <c r="K45" s="256"/>
    </row>
    <row r="49" ht="20.25" spans="1:11">
      <c r="A49" s="246" t="s">
        <v>1286</v>
      </c>
      <c r="B49" s="247" t="s">
        <v>1287</v>
      </c>
      <c r="C49" s="248">
        <v>11.5</v>
      </c>
      <c r="D49" s="249">
        <v>5.1763</v>
      </c>
      <c r="E49" s="250">
        <v>4.2</v>
      </c>
      <c r="F49" s="251">
        <v>4.3</v>
      </c>
      <c r="G49" s="248">
        <f>(C49-E49)*250*100/D49/1000/10</f>
        <v>3.52568436914398</v>
      </c>
      <c r="H49" s="248">
        <f t="shared" si="0"/>
        <v>6.95477464598265</v>
      </c>
      <c r="I49" s="255">
        <f t="shared" si="1"/>
        <v>3.25763576299673</v>
      </c>
      <c r="J49" s="256">
        <f>(I49+I50)/2</f>
        <v>3.26234352515623</v>
      </c>
      <c r="K49" s="256">
        <f>(I49-I50)*100/J49</f>
        <v>-0.28861228887738</v>
      </c>
    </row>
    <row r="50" ht="20.25" spans="1:11">
      <c r="A50" s="246"/>
      <c r="B50" s="247"/>
      <c r="C50" s="248">
        <v>11.5</v>
      </c>
      <c r="D50" s="249">
        <v>4.8706</v>
      </c>
      <c r="E50" s="250">
        <v>4.4</v>
      </c>
      <c r="F50" s="251">
        <v>4.6</v>
      </c>
      <c r="G50" s="248">
        <f t="shared" ref="G50:G59" si="2">(C50-E50)*250*100/D50/1000/10</f>
        <v>3.64431486880466</v>
      </c>
      <c r="H50" s="248">
        <f t="shared" si="0"/>
        <v>7.08331622387386</v>
      </c>
      <c r="I50" s="255">
        <f t="shared" si="1"/>
        <v>3.26705128731573</v>
      </c>
      <c r="J50" s="256"/>
      <c r="K50" s="256"/>
    </row>
    <row r="51" ht="20.25" spans="7:7">
      <c r="G51" s="248"/>
    </row>
    <row r="52" ht="43.5" customHeight="1" spans="1:12">
      <c r="A52" s="252" t="s">
        <v>1288</v>
      </c>
      <c r="B52" s="247" t="s">
        <v>1289</v>
      </c>
      <c r="C52" s="248">
        <v>11.2</v>
      </c>
      <c r="D52" s="249">
        <v>4.0048</v>
      </c>
      <c r="E52" s="250">
        <v>9.6</v>
      </c>
      <c r="F52" s="251">
        <v>4.15</v>
      </c>
      <c r="G52" s="248">
        <f t="shared" si="2"/>
        <v>0.998801438274071</v>
      </c>
      <c r="H52" s="248">
        <f t="shared" ref="H52:H53" si="3">(C52-F52)*250*2*100/D52/1000/10</f>
        <v>8.80193767479025</v>
      </c>
      <c r="I52" s="258">
        <f t="shared" ref="I52:I53" si="4">(H52-G52)*0.95</f>
        <v>7.41297942469037</v>
      </c>
      <c r="J52" s="259">
        <f>(I52+I53)/2</f>
        <v>7.49023450636395</v>
      </c>
      <c r="K52" s="256">
        <f>(I52-I53)*100/J52</f>
        <v>-2.06282144058224</v>
      </c>
      <c r="L52" s="260">
        <f>I53-I52</f>
        <v>0.154510163347165</v>
      </c>
    </row>
    <row r="53" ht="20.25" spans="1:12">
      <c r="A53" s="246"/>
      <c r="B53" s="247"/>
      <c r="C53" s="248">
        <v>11.2</v>
      </c>
      <c r="D53" s="249">
        <v>3.9858</v>
      </c>
      <c r="E53" s="250">
        <v>9.7</v>
      </c>
      <c r="F53" s="251">
        <v>4.1</v>
      </c>
      <c r="G53" s="248">
        <f t="shared" si="2"/>
        <v>0.940839981935872</v>
      </c>
      <c r="H53" s="248">
        <f t="shared" si="3"/>
        <v>8.90661849565959</v>
      </c>
      <c r="I53" s="258">
        <f t="shared" si="4"/>
        <v>7.56748958803753</v>
      </c>
      <c r="J53" s="259"/>
      <c r="K53" s="256"/>
      <c r="L53" s="261"/>
    </row>
    <row r="54" ht="20.25" spans="1:12">
      <c r="A54" s="252" t="s">
        <v>1290</v>
      </c>
      <c r="B54" s="247" t="s">
        <v>1289</v>
      </c>
      <c r="C54" s="248">
        <v>11.2</v>
      </c>
      <c r="D54" s="249">
        <v>3.4365</v>
      </c>
      <c r="E54" s="250">
        <v>9.95</v>
      </c>
      <c r="F54" s="251">
        <v>4.1</v>
      </c>
      <c r="G54" s="248">
        <f t="shared" si="2"/>
        <v>0.909355448857849</v>
      </c>
      <c r="H54" s="248">
        <f t="shared" ref="H54:H59" si="5">(C54-F54)*250*2*100/D54/1000/10</f>
        <v>10.3302778990252</v>
      </c>
      <c r="I54" s="258">
        <f t="shared" ref="I54:I59" si="6">(H54-G54)*0.95</f>
        <v>8.94987632765895</v>
      </c>
      <c r="J54" s="259">
        <f t="shared" ref="J54" si="7">(I54+I55)/2</f>
        <v>9.00044506474469</v>
      </c>
      <c r="K54" s="256">
        <f t="shared" ref="K54" si="8">(I54-I55)*100/J54</f>
        <v>-1.12369414450006</v>
      </c>
      <c r="L54" s="260">
        <f t="shared" ref="L54" si="9">I55-I54</f>
        <v>0.10113747417148</v>
      </c>
    </row>
    <row r="55" ht="20.25" spans="1:12">
      <c r="A55" s="246"/>
      <c r="B55" s="247"/>
      <c r="C55" s="248">
        <v>11.2</v>
      </c>
      <c r="D55" s="249">
        <v>3.3981</v>
      </c>
      <c r="E55" s="250">
        <v>9.95</v>
      </c>
      <c r="F55" s="251">
        <v>4.1</v>
      </c>
      <c r="G55" s="248">
        <f t="shared" si="2"/>
        <v>0.919631558812277</v>
      </c>
      <c r="H55" s="248">
        <f t="shared" si="5"/>
        <v>10.4470145081075</v>
      </c>
      <c r="I55" s="258">
        <f t="shared" si="6"/>
        <v>9.05101380183043</v>
      </c>
      <c r="J55" s="259"/>
      <c r="K55" s="256"/>
      <c r="L55" s="261"/>
    </row>
    <row r="56" ht="20.25" spans="1:12">
      <c r="A56" s="252" t="s">
        <v>1291</v>
      </c>
      <c r="B56" s="247" t="s">
        <v>1289</v>
      </c>
      <c r="C56" s="248">
        <v>11.2</v>
      </c>
      <c r="D56" s="249">
        <v>4.453</v>
      </c>
      <c r="E56" s="250">
        <v>9.6</v>
      </c>
      <c r="F56" s="251">
        <v>6.05</v>
      </c>
      <c r="G56" s="248">
        <f t="shared" si="2"/>
        <v>0.898270828654839</v>
      </c>
      <c r="H56" s="248">
        <f t="shared" si="5"/>
        <v>5.78261845946553</v>
      </c>
      <c r="I56" s="258">
        <f t="shared" si="6"/>
        <v>4.64013024927015</v>
      </c>
      <c r="J56" s="259">
        <f t="shared" ref="J56" si="10">(I56+I57)/2</f>
        <v>4.66200872530606</v>
      </c>
      <c r="K56" s="256">
        <f t="shared" ref="K56" si="11">(I56-I57)*100/J56</f>
        <v>-0.938585803889692</v>
      </c>
      <c r="L56" s="260">
        <f t="shared" ref="L56" si="12">I57-I56</f>
        <v>0.0437569520718215</v>
      </c>
    </row>
    <row r="57" ht="20.25" spans="1:12">
      <c r="A57" s="246"/>
      <c r="B57" s="247"/>
      <c r="C57" s="248">
        <v>11.2</v>
      </c>
      <c r="D57" s="249">
        <v>4.4114</v>
      </c>
      <c r="E57" s="250">
        <v>9.6</v>
      </c>
      <c r="F57" s="251">
        <v>6.05</v>
      </c>
      <c r="G57" s="248">
        <f t="shared" si="2"/>
        <v>0.906741623974248</v>
      </c>
      <c r="H57" s="248">
        <f t="shared" si="5"/>
        <v>5.83714920433422</v>
      </c>
      <c r="I57" s="258">
        <f t="shared" si="6"/>
        <v>4.68388720134198</v>
      </c>
      <c r="J57" s="259"/>
      <c r="K57" s="256"/>
      <c r="L57" s="261"/>
    </row>
    <row r="58" ht="20.25" spans="1:12">
      <c r="A58" s="252" t="s">
        <v>1292</v>
      </c>
      <c r="B58" s="247" t="s">
        <v>1289</v>
      </c>
      <c r="C58" s="248">
        <v>11.2</v>
      </c>
      <c r="D58" s="249">
        <v>4.5444</v>
      </c>
      <c r="E58" s="250">
        <v>9.7</v>
      </c>
      <c r="F58" s="251">
        <v>3.9</v>
      </c>
      <c r="G58" s="248">
        <f t="shared" si="2"/>
        <v>0.825191444415104</v>
      </c>
      <c r="H58" s="248">
        <f t="shared" si="5"/>
        <v>8.03186339230701</v>
      </c>
      <c r="I58" s="258">
        <f t="shared" si="6"/>
        <v>6.84633835049731</v>
      </c>
      <c r="J58" s="259">
        <f t="shared" ref="J58" si="13">(I58+I59)/2</f>
        <v>6.91837654135479</v>
      </c>
      <c r="K58" s="256">
        <f t="shared" ref="K58" si="14">(I58-I59)*100/J58</f>
        <v>-2.08251720405418</v>
      </c>
      <c r="L58" s="260">
        <f t="shared" ref="L58" si="15">I59-I58</f>
        <v>0.144076381714962</v>
      </c>
    </row>
    <row r="59" ht="20.25" spans="1:12">
      <c r="A59" s="246"/>
      <c r="B59" s="247"/>
      <c r="C59" s="248">
        <v>11.2</v>
      </c>
      <c r="D59" s="249">
        <v>4.5017</v>
      </c>
      <c r="E59" s="250">
        <v>9.75</v>
      </c>
      <c r="F59" s="251">
        <v>3.85</v>
      </c>
      <c r="G59" s="248">
        <f t="shared" si="2"/>
        <v>0.805251349490192</v>
      </c>
      <c r="H59" s="248">
        <f t="shared" si="5"/>
        <v>8.16358264655575</v>
      </c>
      <c r="I59" s="258">
        <f t="shared" si="6"/>
        <v>6.99041473221228</v>
      </c>
      <c r="J59" s="259"/>
      <c r="K59" s="256"/>
      <c r="L59" s="261"/>
    </row>
    <row r="60" ht="20.25" spans="1:11">
      <c r="A60" s="252" t="s">
        <v>1293</v>
      </c>
      <c r="B60" s="247" t="s">
        <v>1294</v>
      </c>
      <c r="C60" s="248">
        <v>11.4</v>
      </c>
      <c r="D60" s="249">
        <v>3.981</v>
      </c>
      <c r="E60" s="250">
        <v>10.6</v>
      </c>
      <c r="F60" s="251">
        <v>6.7</v>
      </c>
      <c r="G60" s="248">
        <f t="shared" ref="G60:G61" si="16">(C60-E60)*250*100/D60/1000/10</f>
        <v>0.502386335091686</v>
      </c>
      <c r="H60" s="248">
        <f t="shared" ref="H60" si="17">(C60-F60)*250*2*100/D60/1000/10</f>
        <v>5.9030394373273</v>
      </c>
      <c r="I60" s="258">
        <f t="shared" ref="I60:I61" si="18">(H60-G60)*0.95</f>
        <v>5.13062044712384</v>
      </c>
      <c r="J60" s="259">
        <f t="shared" ref="J60" si="19">(I60+I61)/2</f>
        <v>5.11683567913209</v>
      </c>
      <c r="K60" s="256">
        <f t="shared" ref="K60" si="20">(I60-I61)*100/J60</f>
        <v>0.538800495312757</v>
      </c>
    </row>
    <row r="61" ht="20.25" spans="1:11">
      <c r="A61" s="246"/>
      <c r="B61" s="247"/>
      <c r="C61" s="248">
        <v>11.4</v>
      </c>
      <c r="D61" s="249">
        <v>4.2584</v>
      </c>
      <c r="E61" s="250">
        <v>10.5</v>
      </c>
      <c r="F61" s="251">
        <v>3.85</v>
      </c>
      <c r="G61" s="248">
        <f t="shared" si="16"/>
        <v>0.528367461957543</v>
      </c>
      <c r="H61" s="248">
        <v>5.9</v>
      </c>
      <c r="I61" s="258">
        <f t="shared" si="18"/>
        <v>5.10305091114033</v>
      </c>
      <c r="J61" s="259"/>
      <c r="K61" s="256"/>
    </row>
    <row r="64" ht="20.25" spans="1:11">
      <c r="A64" s="252" t="s">
        <v>1295</v>
      </c>
      <c r="B64" s="247"/>
      <c r="C64" s="248">
        <v>11.4</v>
      </c>
      <c r="D64" s="249">
        <v>2.7179</v>
      </c>
      <c r="E64" s="250">
        <v>9.7</v>
      </c>
      <c r="F64" s="251">
        <v>9.5</v>
      </c>
      <c r="G64" s="248">
        <f t="shared" ref="G64:G65" si="21">(C64-E64)*250*100/D64/1000/10</f>
        <v>1.56370727399831</v>
      </c>
      <c r="H64" s="248">
        <f t="shared" ref="H64:H65" si="22">(C64-F64)*250*2*100/D64/1000/10</f>
        <v>3.49534567129034</v>
      </c>
      <c r="I64" s="258">
        <f t="shared" ref="I64:I65" si="23">(H64-G64)*0.95</f>
        <v>1.83505647742743</v>
      </c>
      <c r="J64" s="259">
        <f t="shared" ref="J64" si="24">(I64+I65)/2</f>
        <v>1.83810485652906</v>
      </c>
      <c r="K64" s="256">
        <f t="shared" ref="K64" si="25">(I64-I65)*100/J64</f>
        <v>-0.331687182133126</v>
      </c>
    </row>
    <row r="65" ht="20.25" spans="1:11">
      <c r="A65" s="246"/>
      <c r="B65" s="247"/>
      <c r="C65" s="248">
        <v>11.4</v>
      </c>
      <c r="D65" s="249">
        <v>2.7089</v>
      </c>
      <c r="E65" s="250">
        <v>9.7</v>
      </c>
      <c r="F65" s="251">
        <v>9.5</v>
      </c>
      <c r="G65" s="248">
        <f t="shared" si="21"/>
        <v>1.56890250655248</v>
      </c>
      <c r="H65" s="248">
        <f t="shared" si="22"/>
        <v>3.50695854405847</v>
      </c>
      <c r="I65" s="258">
        <f t="shared" si="23"/>
        <v>1.8411532356307</v>
      </c>
      <c r="J65" s="259"/>
      <c r="K65" s="256"/>
    </row>
    <row r="67" ht="20.25" spans="1:12">
      <c r="A67" s="252" t="s">
        <v>1296</v>
      </c>
      <c r="B67" s="247"/>
      <c r="C67" s="248">
        <v>11.05</v>
      </c>
      <c r="D67" s="249">
        <v>2.7725</v>
      </c>
      <c r="E67" s="250">
        <v>3.5</v>
      </c>
      <c r="F67" s="251">
        <v>7.2</v>
      </c>
      <c r="G67" s="248">
        <f t="shared" ref="G67:G68" si="26">(C67-E67)*250*100/D67/1000/10</f>
        <v>6.80793507664563</v>
      </c>
      <c r="H67" s="262">
        <f t="shared" ref="H67:H68" si="27">(C67-F67)*250*2*100/D67/1000/10</f>
        <v>6.94319206492335</v>
      </c>
      <c r="I67" s="258">
        <f t="shared" ref="I67:I68" si="28">(H67-G67)*0.95</f>
        <v>0.128494138863841</v>
      </c>
      <c r="J67" s="259">
        <f t="shared" ref="J67" si="29">(I67+I68)/2</f>
        <v>-0.0214156898106406</v>
      </c>
      <c r="K67" s="256">
        <f t="shared" ref="K67" si="30">(I67-I68)*100/J67</f>
        <v>-1399.99999999998</v>
      </c>
      <c r="L67" s="65" t="s">
        <v>1297</v>
      </c>
    </row>
    <row r="68" ht="20.25" spans="1:11">
      <c r="A68" s="246"/>
      <c r="B68" s="247"/>
      <c r="C68" s="248">
        <v>11.05</v>
      </c>
      <c r="D68" s="249">
        <v>2.7725</v>
      </c>
      <c r="E68" s="250">
        <v>3.15</v>
      </c>
      <c r="F68" s="251">
        <v>7.2</v>
      </c>
      <c r="G68" s="248">
        <f t="shared" si="26"/>
        <v>7.12353471596033</v>
      </c>
      <c r="H68" s="248">
        <f t="shared" si="27"/>
        <v>6.94319206492335</v>
      </c>
      <c r="I68" s="258">
        <f t="shared" si="28"/>
        <v>-0.171325518485122</v>
      </c>
      <c r="J68" s="259"/>
      <c r="K68" s="256"/>
    </row>
    <row r="69" ht="20.25" spans="1:11">
      <c r="A69" s="252" t="s">
        <v>1296</v>
      </c>
      <c r="B69" s="247"/>
      <c r="C69" s="248">
        <v>10.8</v>
      </c>
      <c r="D69" s="249">
        <v>2.7725</v>
      </c>
      <c r="E69" s="250">
        <v>3.15</v>
      </c>
      <c r="F69" s="251">
        <v>7.2</v>
      </c>
      <c r="G69" s="248">
        <f t="shared" ref="G69:G70" si="31">(C69-E69)*250*100/D69/1000/10</f>
        <v>6.89810640216411</v>
      </c>
      <c r="H69" s="248">
        <f t="shared" ref="H69:H70" si="32">(C69-F69)*250*2*100/D69/1000/10</f>
        <v>6.49233543733093</v>
      </c>
      <c r="I69" s="258">
        <f t="shared" ref="I69:I70" si="33">(H69-G69)*0.95</f>
        <v>-0.385482416591523</v>
      </c>
      <c r="J69" s="259">
        <f t="shared" ref="J69" si="34">(I69+I70)/2</f>
        <v>-0.385482416591523</v>
      </c>
      <c r="K69" s="256">
        <f t="shared" ref="K69" si="35">(I69-I70)*100/J69</f>
        <v>0</v>
      </c>
    </row>
    <row r="70" ht="20.25" spans="1:11">
      <c r="A70" s="246"/>
      <c r="B70" s="247"/>
      <c r="C70" s="248">
        <v>10.8</v>
      </c>
      <c r="D70" s="249">
        <v>2.7725</v>
      </c>
      <c r="E70" s="250">
        <v>3.15</v>
      </c>
      <c r="F70" s="251">
        <v>7.2</v>
      </c>
      <c r="G70" s="262">
        <f t="shared" si="31"/>
        <v>6.89810640216411</v>
      </c>
      <c r="H70" s="248">
        <f t="shared" si="32"/>
        <v>6.49233543733093</v>
      </c>
      <c r="I70" s="258">
        <f t="shared" si="33"/>
        <v>-0.385482416591523</v>
      </c>
      <c r="J70" s="259"/>
      <c r="K70" s="256"/>
    </row>
    <row r="71" ht="20.25" spans="1:11">
      <c r="A71" s="252" t="s">
        <v>1296</v>
      </c>
      <c r="B71" s="247"/>
      <c r="C71" s="248">
        <v>11.2</v>
      </c>
      <c r="D71" s="249">
        <v>2.7725</v>
      </c>
      <c r="E71" s="250">
        <v>3.55</v>
      </c>
      <c r="F71" s="251">
        <v>7.35</v>
      </c>
      <c r="G71" s="248">
        <f t="shared" ref="G71:G72" si="36">(C71-E71)*250*100/D71/1000/10</f>
        <v>6.89810640216411</v>
      </c>
      <c r="H71" s="248">
        <f t="shared" ref="H71:H72" si="37">(C71-F71)*250*2*100/D71/1000/10</f>
        <v>6.94319206492335</v>
      </c>
      <c r="I71" s="258">
        <f t="shared" ref="I71:I72" si="38">(H71-G71)*0.95</f>
        <v>0.0428313796212795</v>
      </c>
      <c r="J71" s="259">
        <f t="shared" ref="J71" si="39">(I71+I72)/2</f>
        <v>0.0429057907914939</v>
      </c>
      <c r="K71" s="256">
        <f t="shared" ref="K71" si="40">(I71-I72)*100/J71</f>
        <v>-0.346858402289245</v>
      </c>
    </row>
    <row r="72" ht="20.25" spans="1:11">
      <c r="A72" s="246"/>
      <c r="B72" s="247"/>
      <c r="C72" s="248">
        <v>11.2</v>
      </c>
      <c r="D72" s="249">
        <v>2.7629</v>
      </c>
      <c r="E72" s="250">
        <v>3.55</v>
      </c>
      <c r="F72" s="251">
        <v>7.35</v>
      </c>
      <c r="G72" s="248">
        <f t="shared" si="36"/>
        <v>6.92207463172753</v>
      </c>
      <c r="H72" s="248">
        <f t="shared" si="37"/>
        <v>6.96731694958196</v>
      </c>
      <c r="I72" s="258">
        <f t="shared" si="38"/>
        <v>0.0429802019617084</v>
      </c>
      <c r="J72" s="259"/>
      <c r="K72" s="256"/>
    </row>
    <row r="74" ht="20.25" spans="1:11">
      <c r="A74" s="252" t="s">
        <v>1298</v>
      </c>
      <c r="B74" s="247"/>
      <c r="C74" s="248">
        <v>11.1</v>
      </c>
      <c r="D74" s="249">
        <v>2.4997</v>
      </c>
      <c r="E74" s="250">
        <v>3</v>
      </c>
      <c r="F74" s="251">
        <v>7</v>
      </c>
      <c r="G74" s="248">
        <f t="shared" ref="G74:G77" si="41">(C74-E74)*250*100/D74/1000/10</f>
        <v>8.100972116654</v>
      </c>
      <c r="H74" s="248">
        <f t="shared" ref="H74:H77" si="42">(C74-F74)*250*2*100/D74/1000/10</f>
        <v>8.20098411809417</v>
      </c>
      <c r="I74" s="258">
        <f t="shared" ref="I74:I77" si="43">(H74-G74)*0.95</f>
        <v>0.095011401368165</v>
      </c>
      <c r="J74" s="259">
        <f t="shared" ref="J74" si="44">(I74+I75)/2</f>
        <v>0.0937155224600961</v>
      </c>
      <c r="K74" s="256">
        <f t="shared" ref="K74" si="45">(I74-I75)*100/J74</f>
        <v>2.76555873360414</v>
      </c>
    </row>
    <row r="75" ht="20.25" spans="1:11">
      <c r="A75" s="246"/>
      <c r="B75" s="247"/>
      <c r="C75" s="248">
        <v>11.1</v>
      </c>
      <c r="D75" s="249">
        <v>2.5698</v>
      </c>
      <c r="E75" s="250">
        <v>3</v>
      </c>
      <c r="F75" s="251">
        <v>7</v>
      </c>
      <c r="G75" s="262">
        <f t="shared" si="41"/>
        <v>7.87999066075181</v>
      </c>
      <c r="H75" s="248">
        <f t="shared" si="42"/>
        <v>7.97727449606973</v>
      </c>
      <c r="I75" s="258">
        <f t="shared" si="43"/>
        <v>0.0924196435520271</v>
      </c>
      <c r="J75" s="259"/>
      <c r="K75" s="256"/>
    </row>
    <row r="76" ht="20.25" spans="1:11">
      <c r="A76" s="252" t="s">
        <v>1299</v>
      </c>
      <c r="B76" s="247"/>
      <c r="C76" s="248">
        <v>11.1</v>
      </c>
      <c r="D76" s="249">
        <v>2.5323</v>
      </c>
      <c r="E76" s="250">
        <v>3.2</v>
      </c>
      <c r="F76" s="251">
        <v>7.1</v>
      </c>
      <c r="G76" s="248">
        <f t="shared" si="41"/>
        <v>7.79923389803735</v>
      </c>
      <c r="H76" s="248">
        <f t="shared" si="42"/>
        <v>7.89795837775935</v>
      </c>
      <c r="I76" s="258">
        <f t="shared" si="43"/>
        <v>0.0937882557358947</v>
      </c>
      <c r="J76" s="259">
        <f t="shared" ref="J76" si="46">(I76+I77)/2</f>
        <v>0.0921253307322738</v>
      </c>
      <c r="K76" s="256">
        <f t="shared" ref="K76" si="47">(I76-I77)*100/J76</f>
        <v>3.61013630106476</v>
      </c>
    </row>
    <row r="77" ht="20.25" spans="1:11">
      <c r="A77" s="246"/>
      <c r="B77" s="247"/>
      <c r="C77" s="248">
        <v>11.1</v>
      </c>
      <c r="D77" s="249">
        <v>2.6254</v>
      </c>
      <c r="E77" s="250">
        <v>3.2</v>
      </c>
      <c r="F77" s="251">
        <v>7.1</v>
      </c>
      <c r="G77" s="248">
        <f t="shared" si="41"/>
        <v>7.52266321322465</v>
      </c>
      <c r="H77" s="248">
        <f t="shared" si="42"/>
        <v>7.61788679820218</v>
      </c>
      <c r="I77" s="258">
        <f t="shared" si="43"/>
        <v>0.0904624057286529</v>
      </c>
      <c r="J77" s="259"/>
      <c r="K77" s="256"/>
    </row>
    <row r="80" ht="20.25" spans="1:11">
      <c r="A80" s="227" t="s">
        <v>418</v>
      </c>
      <c r="B80" s="247"/>
      <c r="C80" s="248">
        <v>10.55</v>
      </c>
      <c r="D80" s="65">
        <v>2.6414</v>
      </c>
      <c r="E80" s="250">
        <v>10</v>
      </c>
      <c r="F80" s="251">
        <v>9.95</v>
      </c>
      <c r="G80" s="248">
        <v>0.520557280230182</v>
      </c>
      <c r="H80" s="248">
        <v>50.18</v>
      </c>
      <c r="I80" s="258">
        <f t="shared" ref="I80:I87" si="48">(H80-G80)*0.95</f>
        <v>47.1764705837813</v>
      </c>
      <c r="J80" s="259">
        <f t="shared" ref="J80" si="49">(I80+I81)/2</f>
        <v>47.1684313650791</v>
      </c>
      <c r="K80" s="256">
        <f t="shared" ref="K80" si="50">(I80-I81)*100/J80</f>
        <v>0.0340872845230494</v>
      </c>
    </row>
    <row r="81" ht="20.25" spans="1:11">
      <c r="A81" s="227"/>
      <c r="B81" s="247"/>
      <c r="C81" s="248">
        <v>10.55</v>
      </c>
      <c r="D81" s="65">
        <v>2.6179</v>
      </c>
      <c r="E81" s="250">
        <v>10.2</v>
      </c>
      <c r="F81" s="251">
        <v>10.05</v>
      </c>
      <c r="G81" s="248">
        <v>0.477481951182245</v>
      </c>
      <c r="H81" s="248">
        <v>50.12</v>
      </c>
      <c r="I81" s="258">
        <f t="shared" si="48"/>
        <v>47.1603921463769</v>
      </c>
      <c r="J81" s="259"/>
      <c r="K81" s="256"/>
    </row>
    <row r="82" ht="20.25" spans="1:11">
      <c r="A82" s="227" t="s">
        <v>419</v>
      </c>
      <c r="B82" s="247"/>
      <c r="C82" s="248">
        <v>10.55</v>
      </c>
      <c r="D82" s="65">
        <v>2.493</v>
      </c>
      <c r="E82" s="250">
        <v>10.1</v>
      </c>
      <c r="F82" s="251">
        <v>10.55</v>
      </c>
      <c r="G82" s="248">
        <v>0.451263537906138</v>
      </c>
      <c r="H82" s="248">
        <v>50.14</v>
      </c>
      <c r="I82" s="258">
        <f t="shared" si="48"/>
        <v>47.2042996389892</v>
      </c>
      <c r="J82" s="259">
        <f t="shared" ref="J82" si="51">(I82+I83)/2</f>
        <v>47.218961583965</v>
      </c>
      <c r="K82" s="256">
        <f t="shared" ref="K82" si="52">(I82-I83)*100/J82</f>
        <v>-0.0621019373743016</v>
      </c>
    </row>
    <row r="83" ht="20.25" spans="1:11">
      <c r="A83" s="227"/>
      <c r="B83" s="247"/>
      <c r="C83" s="248">
        <v>10.55</v>
      </c>
      <c r="D83" s="65">
        <v>2.4982</v>
      </c>
      <c r="E83" s="250">
        <v>10</v>
      </c>
      <c r="F83" s="251">
        <v>10.5</v>
      </c>
      <c r="G83" s="248">
        <v>0.550396285325435</v>
      </c>
      <c r="H83" s="248">
        <v>50.27</v>
      </c>
      <c r="I83" s="258">
        <f t="shared" si="48"/>
        <v>47.2336235289408</v>
      </c>
      <c r="J83" s="259"/>
      <c r="K83" s="256"/>
    </row>
    <row r="84" ht="20.25" spans="1:11">
      <c r="A84" s="227" t="s">
        <v>420</v>
      </c>
      <c r="B84" s="247"/>
      <c r="C84" s="248">
        <v>10.55</v>
      </c>
      <c r="D84" s="65">
        <v>2.6523</v>
      </c>
      <c r="E84" s="250">
        <v>10.1</v>
      </c>
      <c r="F84" s="251">
        <v>9.8</v>
      </c>
      <c r="G84" s="248">
        <v>0.424160162877504</v>
      </c>
      <c r="H84" s="248">
        <v>50.74</v>
      </c>
      <c r="I84" s="258">
        <f t="shared" si="48"/>
        <v>47.8000478452664</v>
      </c>
      <c r="J84" s="259">
        <f t="shared" ref="J84" si="53">(I84+I85)/2</f>
        <v>47.3181746174194</v>
      </c>
      <c r="K84" s="256">
        <f t="shared" ref="K84" si="54">(I84-I85)*100/J84</f>
        <v>2.03673633542716</v>
      </c>
    </row>
    <row r="85" ht="20.25" spans="1:11">
      <c r="A85" s="227"/>
      <c r="B85" s="247"/>
      <c r="C85" s="248">
        <v>10.55</v>
      </c>
      <c r="D85" s="65">
        <v>2.6411</v>
      </c>
      <c r="E85" s="250">
        <v>10.15</v>
      </c>
      <c r="F85" s="251">
        <v>10.05</v>
      </c>
      <c r="G85" s="248">
        <v>0.378630116239446</v>
      </c>
      <c r="H85" s="248">
        <v>49.68</v>
      </c>
      <c r="I85" s="258">
        <f t="shared" si="48"/>
        <v>46.8363013895725</v>
      </c>
      <c r="J85" s="259"/>
      <c r="K85" s="256"/>
    </row>
    <row r="86" ht="20.25" spans="1:11">
      <c r="A86" s="252" t="s">
        <v>1300</v>
      </c>
      <c r="B86" s="247"/>
      <c r="C86" s="248">
        <v>11.1</v>
      </c>
      <c r="D86" s="249">
        <v>6.8323</v>
      </c>
      <c r="E86" s="250">
        <v>5.45</v>
      </c>
      <c r="F86" s="251">
        <v>5.35</v>
      </c>
      <c r="G86" s="248">
        <f t="shared" ref="G86:G87" si="55">(C86-E86)*250*100/D86/1000/10</f>
        <v>2.06738579980387</v>
      </c>
      <c r="H86" s="248">
        <f t="shared" ref="H86:H87" si="56">(C86-F86)*250*2*100/D86/1000/10</f>
        <v>4.20795339783089</v>
      </c>
      <c r="I86" s="263">
        <f t="shared" si="48"/>
        <v>2.03353921812567</v>
      </c>
      <c r="J86" s="259">
        <f t="shared" ref="J86" si="57">(I86+I87)/2</f>
        <v>2.03597355713707</v>
      </c>
      <c r="K86" s="256">
        <f t="shared" ref="K86" si="58">(I86-I87)*100/J86</f>
        <v>-0.239132674672813</v>
      </c>
    </row>
    <row r="87" ht="20.25" spans="1:11">
      <c r="A87" s="246"/>
      <c r="B87" s="247"/>
      <c r="C87" s="248">
        <v>11.1</v>
      </c>
      <c r="D87" s="249">
        <v>6.5247</v>
      </c>
      <c r="E87" s="250">
        <v>5.5</v>
      </c>
      <c r="F87" s="251">
        <v>5.5</v>
      </c>
      <c r="G87" s="248">
        <f t="shared" si="55"/>
        <v>2.14569252226156</v>
      </c>
      <c r="H87" s="248">
        <f t="shared" si="56"/>
        <v>4.29138504452312</v>
      </c>
      <c r="I87" s="263">
        <f t="shared" si="48"/>
        <v>2.03840789614848</v>
      </c>
      <c r="J87" s="259"/>
      <c r="K87" s="256"/>
    </row>
  </sheetData>
  <mergeCells count="124">
    <mergeCell ref="A2:A3"/>
    <mergeCell ref="A5:A6"/>
    <mergeCell ref="A8:A9"/>
    <mergeCell ref="A11:A12"/>
    <mergeCell ref="A14:A15"/>
    <mergeCell ref="A17:A18"/>
    <mergeCell ref="A20:A21"/>
    <mergeCell ref="A23:A24"/>
    <mergeCell ref="A26:A27"/>
    <mergeCell ref="A29:A30"/>
    <mergeCell ref="A31:A32"/>
    <mergeCell ref="A34:A35"/>
    <mergeCell ref="A37:A38"/>
    <mergeCell ref="A40:A41"/>
    <mergeCell ref="A44:A45"/>
    <mergeCell ref="A49:A50"/>
    <mergeCell ref="A52:A53"/>
    <mergeCell ref="A54:A55"/>
    <mergeCell ref="A56:A57"/>
    <mergeCell ref="A58:A59"/>
    <mergeCell ref="A64:A65"/>
    <mergeCell ref="A67:A68"/>
    <mergeCell ref="A69:A70"/>
    <mergeCell ref="A71:A72"/>
    <mergeCell ref="A74:A75"/>
    <mergeCell ref="A76:A77"/>
    <mergeCell ref="A80:A81"/>
    <mergeCell ref="A82:A83"/>
    <mergeCell ref="A84:A85"/>
    <mergeCell ref="A86:A87"/>
    <mergeCell ref="B2:B3"/>
    <mergeCell ref="B5:B6"/>
    <mergeCell ref="B8:B9"/>
    <mergeCell ref="B11:B12"/>
    <mergeCell ref="B14:B15"/>
    <mergeCell ref="B17:B18"/>
    <mergeCell ref="B20:B21"/>
    <mergeCell ref="B23:B24"/>
    <mergeCell ref="B26:B27"/>
    <mergeCell ref="B29:B30"/>
    <mergeCell ref="B31:B32"/>
    <mergeCell ref="B34:B35"/>
    <mergeCell ref="B37:B38"/>
    <mergeCell ref="B40:B41"/>
    <mergeCell ref="B44:B45"/>
    <mergeCell ref="B49:B50"/>
    <mergeCell ref="B52:B53"/>
    <mergeCell ref="B54:B55"/>
    <mergeCell ref="B56:B57"/>
    <mergeCell ref="B58:B59"/>
    <mergeCell ref="B64:B65"/>
    <mergeCell ref="B67:B68"/>
    <mergeCell ref="B69:B70"/>
    <mergeCell ref="B71:B72"/>
    <mergeCell ref="B74:B75"/>
    <mergeCell ref="B76:B77"/>
    <mergeCell ref="B80:B81"/>
    <mergeCell ref="B82:B83"/>
    <mergeCell ref="B84:B85"/>
    <mergeCell ref="B86:B87"/>
    <mergeCell ref="J2:J3"/>
    <mergeCell ref="J5:J6"/>
    <mergeCell ref="J8:J9"/>
    <mergeCell ref="J11:J12"/>
    <mergeCell ref="J14:J15"/>
    <mergeCell ref="J17:J18"/>
    <mergeCell ref="J20:J21"/>
    <mergeCell ref="J23:J24"/>
    <mergeCell ref="J26:J27"/>
    <mergeCell ref="J29:J30"/>
    <mergeCell ref="J31:J32"/>
    <mergeCell ref="J34:J35"/>
    <mergeCell ref="J37:J38"/>
    <mergeCell ref="J40:J41"/>
    <mergeCell ref="J44:J45"/>
    <mergeCell ref="J49:J50"/>
    <mergeCell ref="J52:J53"/>
    <mergeCell ref="J54:J55"/>
    <mergeCell ref="J56:J57"/>
    <mergeCell ref="J58:J59"/>
    <mergeCell ref="J64:J65"/>
    <mergeCell ref="J67:J68"/>
    <mergeCell ref="J69:J70"/>
    <mergeCell ref="J71:J72"/>
    <mergeCell ref="J74:J75"/>
    <mergeCell ref="J76:J77"/>
    <mergeCell ref="J80:J81"/>
    <mergeCell ref="J82:J83"/>
    <mergeCell ref="J84:J85"/>
    <mergeCell ref="J86:J87"/>
    <mergeCell ref="K2:K3"/>
    <mergeCell ref="K5:K6"/>
    <mergeCell ref="K8:K9"/>
    <mergeCell ref="K11:K12"/>
    <mergeCell ref="K14:K15"/>
    <mergeCell ref="K17:K18"/>
    <mergeCell ref="K20:K21"/>
    <mergeCell ref="K23:K24"/>
    <mergeCell ref="K26:K27"/>
    <mergeCell ref="K29:K30"/>
    <mergeCell ref="K31:K32"/>
    <mergeCell ref="K34:K35"/>
    <mergeCell ref="K37:K38"/>
    <mergeCell ref="K40:K41"/>
    <mergeCell ref="K44:K45"/>
    <mergeCell ref="K49:K50"/>
    <mergeCell ref="K52:K53"/>
    <mergeCell ref="K54:K55"/>
    <mergeCell ref="K56:K57"/>
    <mergeCell ref="K58:K59"/>
    <mergeCell ref="K64:K65"/>
    <mergeCell ref="K67:K68"/>
    <mergeCell ref="K69:K70"/>
    <mergeCell ref="K71:K72"/>
    <mergeCell ref="K74:K75"/>
    <mergeCell ref="K76:K77"/>
    <mergeCell ref="K80:K81"/>
    <mergeCell ref="K82:K83"/>
    <mergeCell ref="K84:K85"/>
    <mergeCell ref="K86:K87"/>
    <mergeCell ref="L52:L53"/>
    <mergeCell ref="L54:L55"/>
    <mergeCell ref="L56:L57"/>
    <mergeCell ref="L58:L59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38"/>
  <sheetViews>
    <sheetView zoomScale="130" zoomScaleNormal="130" workbookViewId="0">
      <pane ySplit="1" topLeftCell="A19" activePane="bottomLeft" state="frozen"/>
      <selection/>
      <selection pane="bottomLeft" activeCell="E1115" sqref="E1115"/>
    </sheetView>
  </sheetViews>
  <sheetFormatPr defaultColWidth="9" defaultRowHeight="13.5"/>
  <cols>
    <col min="5" max="5" width="11.75" customWidth="1"/>
    <col min="6" max="6" width="9" style="231"/>
    <col min="8" max="8" width="9" style="232"/>
  </cols>
  <sheetData>
    <row r="1" spans="1:13">
      <c r="A1" t="s">
        <v>2</v>
      </c>
      <c r="B1" s="212" t="s">
        <v>1</v>
      </c>
      <c r="C1" t="s">
        <v>1233</v>
      </c>
      <c r="D1" t="s">
        <v>1234</v>
      </c>
      <c r="E1" t="s">
        <v>1235</v>
      </c>
      <c r="F1" s="233" t="s">
        <v>1236</v>
      </c>
      <c r="G1" t="s">
        <v>1237</v>
      </c>
      <c r="H1" s="234" t="s">
        <v>1238</v>
      </c>
      <c r="I1" s="237" t="s">
        <v>1239</v>
      </c>
      <c r="J1" s="51" t="s">
        <v>1240</v>
      </c>
      <c r="K1" s="213" t="s">
        <v>1241</v>
      </c>
      <c r="L1" s="143" t="s">
        <v>145</v>
      </c>
      <c r="M1" s="51" t="s">
        <v>146</v>
      </c>
    </row>
    <row r="2" spans="2:13">
      <c r="B2" s="212"/>
      <c r="F2" s="233"/>
      <c r="H2" s="234"/>
      <c r="I2" s="51"/>
      <c r="J2" s="51"/>
      <c r="K2" s="213"/>
      <c r="L2" s="143"/>
      <c r="M2" s="51"/>
    </row>
    <row r="3" spans="1:13">
      <c r="A3" s="227" t="s">
        <v>1242</v>
      </c>
      <c r="B3" s="217" t="s">
        <v>1243</v>
      </c>
      <c r="C3" s="65">
        <v>10.6</v>
      </c>
      <c r="D3" s="65">
        <v>2.1702</v>
      </c>
      <c r="E3" s="65">
        <v>1</v>
      </c>
      <c r="F3" s="235">
        <v>5.7</v>
      </c>
      <c r="G3" s="65">
        <v>1</v>
      </c>
      <c r="H3" s="236">
        <v>11.4</v>
      </c>
      <c r="I3" s="192">
        <f t="shared" ref="I3:I4" si="0">C3*250*E3*100/D3/F3/1000</f>
        <v>21.4225546355983</v>
      </c>
      <c r="J3" s="192">
        <f>(C3-H3)*250*2*100*G3/D3/1000/10</f>
        <v>-1.84314809694959</v>
      </c>
      <c r="K3" s="238">
        <f t="shared" ref="K3:K4" si="1">(J3-I3)*0.95</f>
        <v>-22.1024175959205</v>
      </c>
      <c r="L3" s="224">
        <f t="shared" ref="L3" si="2">(K3+K4)/2</f>
        <v>-22.0907178121528</v>
      </c>
      <c r="M3" s="229">
        <f t="shared" ref="M3" si="3">(K3-K4)*100/L3</f>
        <v>0.105924885439933</v>
      </c>
    </row>
    <row r="4" spans="1:13">
      <c r="A4" s="227"/>
      <c r="B4" s="217"/>
      <c r="C4" s="65">
        <v>10.6</v>
      </c>
      <c r="D4" s="65">
        <v>2.1725</v>
      </c>
      <c r="E4" s="65">
        <v>1</v>
      </c>
      <c r="F4" s="235">
        <v>5.7</v>
      </c>
      <c r="G4" s="65">
        <v>1</v>
      </c>
      <c r="H4" s="236">
        <v>11.4</v>
      </c>
      <c r="I4" s="192">
        <f t="shared" si="0"/>
        <v>21.3998748309208</v>
      </c>
      <c r="J4" s="192">
        <f>(C4-H4)*250*2*100*G4/D4/1000/10</f>
        <v>-1.84119677790564</v>
      </c>
      <c r="K4" s="238">
        <f t="shared" si="1"/>
        <v>-22.0790180283851</v>
      </c>
      <c r="L4" s="224"/>
      <c r="M4" s="229"/>
    </row>
    <row r="6" spans="1:13">
      <c r="A6" s="227" t="s">
        <v>1301</v>
      </c>
      <c r="B6" s="217"/>
      <c r="C6" s="65">
        <v>12.1</v>
      </c>
      <c r="D6" s="65">
        <v>2.7135</v>
      </c>
      <c r="E6" s="65">
        <v>1</v>
      </c>
      <c r="F6" s="235">
        <v>12.9</v>
      </c>
      <c r="G6" s="65">
        <v>1</v>
      </c>
      <c r="H6" s="236">
        <v>7.1</v>
      </c>
      <c r="I6" s="192">
        <f t="shared" ref="I6:I7" si="4">C6*250*E6*100/D6/F6/1000</f>
        <v>8.64183246843588</v>
      </c>
      <c r="J6" s="192">
        <f>(C6-H6)*250*2*100*G6/D6/1000/10</f>
        <v>9.21319329279528</v>
      </c>
      <c r="K6" s="238">
        <f t="shared" ref="K6:K7" si="5">(J6-I6)*0.95</f>
        <v>0.542792783141429</v>
      </c>
      <c r="L6" s="224">
        <f t="shared" ref="L6" si="6">(K6+K7)/2</f>
        <v>0.542882828394106</v>
      </c>
      <c r="M6" s="229">
        <f t="shared" ref="M6" si="7">(K6-K7)*100/L6</f>
        <v>-0.0331729971800735</v>
      </c>
    </row>
    <row r="7" spans="1:13">
      <c r="A7" s="227"/>
      <c r="B7" s="217"/>
      <c r="C7" s="65">
        <v>12.1</v>
      </c>
      <c r="D7" s="65">
        <v>2.7126</v>
      </c>
      <c r="E7" s="65">
        <v>1</v>
      </c>
      <c r="F7" s="235">
        <v>12.9</v>
      </c>
      <c r="G7" s="65">
        <v>1</v>
      </c>
      <c r="H7" s="236">
        <v>7.1</v>
      </c>
      <c r="I7" s="192">
        <f t="shared" si="4"/>
        <v>8.6446996988501</v>
      </c>
      <c r="J7" s="192">
        <f>(C7-H7)*250*2*100*G7/D7/1000/10</f>
        <v>9.2162500921625</v>
      </c>
      <c r="K7" s="238">
        <f t="shared" si="5"/>
        <v>0.542972873646783</v>
      </c>
      <c r="L7" s="224"/>
      <c r="M7" s="229"/>
    </row>
    <row r="9" spans="1:13">
      <c r="A9" s="227" t="s">
        <v>1302</v>
      </c>
      <c r="B9" s="217"/>
      <c r="C9" s="65">
        <v>12.1</v>
      </c>
      <c r="D9" s="65">
        <v>2.7656</v>
      </c>
      <c r="E9" s="65">
        <v>1</v>
      </c>
      <c r="F9" s="235">
        <v>11.9</v>
      </c>
      <c r="G9" s="65">
        <v>1</v>
      </c>
      <c r="H9" s="236">
        <v>6.7</v>
      </c>
      <c r="I9" s="192">
        <f t="shared" ref="I9:I10" si="8">C9*250*E9*100/D9/F9/1000</f>
        <v>9.19155628696373</v>
      </c>
      <c r="J9" s="192">
        <f>(C9-H9)*250*2*100*G9/D9/1000/10</f>
        <v>9.76280011570726</v>
      </c>
      <c r="K9" s="238">
        <f t="shared" ref="K9:K10" si="9">(J9-I9)*0.95</f>
        <v>0.542681637306352</v>
      </c>
      <c r="L9" s="224">
        <f t="shared" ref="L9" si="10">(K9+K10)/2</f>
        <v>0.542201734757569</v>
      </c>
      <c r="M9" s="229">
        <f t="shared" ref="M9" si="11">(K9-K10)*100/L9</f>
        <v>0.177019923773089</v>
      </c>
    </row>
    <row r="10" spans="1:13">
      <c r="A10" s="227"/>
      <c r="B10" s="217"/>
      <c r="C10" s="65">
        <v>12.1</v>
      </c>
      <c r="D10" s="65">
        <v>2.7705</v>
      </c>
      <c r="E10" s="65">
        <v>1</v>
      </c>
      <c r="F10" s="235">
        <v>11.9</v>
      </c>
      <c r="G10" s="65">
        <v>1</v>
      </c>
      <c r="H10" s="236">
        <v>6.7</v>
      </c>
      <c r="I10" s="192">
        <f t="shared" si="8"/>
        <v>9.17529978965056</v>
      </c>
      <c r="J10" s="192">
        <f>(C10-H10)*250*2*100*G10/D10/1000/10</f>
        <v>9.74553329723876</v>
      </c>
      <c r="K10" s="238">
        <f t="shared" si="9"/>
        <v>0.541721832208787</v>
      </c>
      <c r="L10" s="224"/>
      <c r="M10" s="229"/>
    </row>
    <row r="11" spans="1:13">
      <c r="A11" s="227" t="s">
        <v>1303</v>
      </c>
      <c r="B11" s="217"/>
      <c r="C11" s="65">
        <v>12.1</v>
      </c>
      <c r="D11" s="65">
        <v>2.95</v>
      </c>
      <c r="E11" s="65">
        <v>1</v>
      </c>
      <c r="F11" s="235">
        <v>11.8</v>
      </c>
      <c r="G11" s="65">
        <v>1</v>
      </c>
      <c r="H11" s="236">
        <v>6.6</v>
      </c>
      <c r="I11" s="192">
        <f t="shared" ref="I11:I12" si="12">C11*250*E11*100/D11/F11/1000</f>
        <v>8.69003160011491</v>
      </c>
      <c r="J11" s="192">
        <f>(C11-H11)*250*2*100*G11/D11/1000/10</f>
        <v>9.32203389830508</v>
      </c>
      <c r="K11" s="238">
        <f t="shared" ref="K11:K12" si="13">(J11-I11)*0.95</f>
        <v>0.600402183280664</v>
      </c>
      <c r="L11" s="224">
        <f t="shared" ref="L11" si="14">(K11+K12)/2</f>
        <v>0.599367776438314</v>
      </c>
      <c r="M11" s="229">
        <f t="shared" ref="M11" si="15">(K11-K12)*100/L11</f>
        <v>0.345165984230004</v>
      </c>
    </row>
    <row r="12" spans="1:13">
      <c r="A12" s="227"/>
      <c r="B12" s="217"/>
      <c r="C12" s="65">
        <v>12.1</v>
      </c>
      <c r="D12" s="65">
        <v>2.9602</v>
      </c>
      <c r="E12" s="65">
        <v>1</v>
      </c>
      <c r="F12" s="235">
        <v>11.8</v>
      </c>
      <c r="G12" s="65">
        <v>1</v>
      </c>
      <c r="H12" s="236">
        <v>6.6</v>
      </c>
      <c r="I12" s="192">
        <f t="shared" si="12"/>
        <v>8.66008824415208</v>
      </c>
      <c r="J12" s="192">
        <f>(C12-H12)*250*2*100*G12/D12/1000/10</f>
        <v>9.28991284372677</v>
      </c>
      <c r="K12" s="238">
        <f t="shared" si="13"/>
        <v>0.598333369595964</v>
      </c>
      <c r="L12" s="224"/>
      <c r="M12" s="229"/>
    </row>
    <row r="14" spans="1:13">
      <c r="A14" s="227">
        <v>2702002</v>
      </c>
      <c r="B14" s="217" t="s">
        <v>1304</v>
      </c>
      <c r="C14" s="65">
        <v>11.6</v>
      </c>
      <c r="D14" s="65">
        <v>3.3847</v>
      </c>
      <c r="E14" s="65">
        <v>1</v>
      </c>
      <c r="F14" s="235">
        <v>14.9</v>
      </c>
      <c r="G14" s="65">
        <v>1</v>
      </c>
      <c r="H14" s="236">
        <v>7.1</v>
      </c>
      <c r="I14" s="192">
        <f t="shared" ref="I14:I15" si="16">C14*250*E14*100/D14/F14/1000</f>
        <v>5.75031383824922</v>
      </c>
      <c r="J14" s="192">
        <f>(C14-H14)*250*2*100*G14/D14/1000/10</f>
        <v>6.64756108370018</v>
      </c>
      <c r="K14" s="238">
        <f t="shared" ref="K14:K15" si="17">(J14-I14)*0.95</f>
        <v>0.85238488317841</v>
      </c>
      <c r="L14" s="224">
        <f t="shared" ref="L14" si="18">(K14+K15)/2</f>
        <v>0.851192016466048</v>
      </c>
      <c r="M14" s="229">
        <f t="shared" ref="M14" si="19">(K14-K15)*100/L14</f>
        <v>0.280281461594052</v>
      </c>
    </row>
    <row r="15" spans="1:13">
      <c r="A15" s="227"/>
      <c r="B15" s="217"/>
      <c r="C15" s="65">
        <v>11.6</v>
      </c>
      <c r="D15" s="65">
        <v>3.3942</v>
      </c>
      <c r="E15" s="65">
        <v>1</v>
      </c>
      <c r="F15" s="235">
        <v>14.9</v>
      </c>
      <c r="G15" s="65">
        <v>1</v>
      </c>
      <c r="H15" s="236">
        <v>7.1</v>
      </c>
      <c r="I15" s="192">
        <f t="shared" si="16"/>
        <v>5.73421932953926</v>
      </c>
      <c r="J15" s="192">
        <f>(C15-H15)*250*2*100*G15/D15/1000/10</f>
        <v>6.6289552766484</v>
      </c>
      <c r="K15" s="238">
        <f t="shared" si="17"/>
        <v>0.849999149753687</v>
      </c>
      <c r="L15" s="224"/>
      <c r="M15" s="229"/>
    </row>
    <row r="17" spans="1:13">
      <c r="A17" s="227" t="s">
        <v>1305</v>
      </c>
      <c r="B17" s="217" t="s">
        <v>1306</v>
      </c>
      <c r="C17" s="65">
        <v>11.4</v>
      </c>
      <c r="D17" s="65">
        <v>3.127</v>
      </c>
      <c r="E17" s="65">
        <v>1</v>
      </c>
      <c r="F17" s="235">
        <v>13.5</v>
      </c>
      <c r="G17" s="65">
        <v>1</v>
      </c>
      <c r="H17" s="236">
        <v>7</v>
      </c>
      <c r="I17" s="192">
        <f t="shared" ref="I17:I18" si="20">C17*250*E17*100/D17/F17/1000</f>
        <v>6.75123476530576</v>
      </c>
      <c r="J17" s="192">
        <f>(C17-H17)*250*2*100*G17/D17/1000/10</f>
        <v>7.03549728173969</v>
      </c>
      <c r="K17" s="238">
        <f t="shared" ref="K17:K18" si="21">(J17-I17)*0.95</f>
        <v>0.27004939061223</v>
      </c>
      <c r="L17" s="224">
        <f t="shared" ref="L17" si="22">(K17+K18)/2</f>
        <v>0.270347993348557</v>
      </c>
      <c r="M17" s="229">
        <f t="shared" ref="M17" si="23">(K17-K18)*100/L17</f>
        <v>-0.220902498759602</v>
      </c>
    </row>
    <row r="18" spans="1:13">
      <c r="A18" s="227"/>
      <c r="B18" s="217"/>
      <c r="C18" s="65">
        <v>11.4</v>
      </c>
      <c r="D18" s="65">
        <v>3.1201</v>
      </c>
      <c r="E18" s="65">
        <v>1</v>
      </c>
      <c r="F18" s="235">
        <v>13.5</v>
      </c>
      <c r="G18" s="65">
        <v>1</v>
      </c>
      <c r="H18" s="236">
        <v>7</v>
      </c>
      <c r="I18" s="192">
        <f t="shared" si="20"/>
        <v>6.76616490212208</v>
      </c>
      <c r="J18" s="192">
        <f>(C18-H18)*250*2*100*G18/D18/1000/10</f>
        <v>7.05105605589565</v>
      </c>
      <c r="K18" s="238">
        <f t="shared" si="21"/>
        <v>0.270646596084884</v>
      </c>
      <c r="L18" s="224"/>
      <c r="M18" s="229"/>
    </row>
    <row r="20" spans="1:13">
      <c r="A20" s="227" t="s">
        <v>1307</v>
      </c>
      <c r="B20" s="217" t="s">
        <v>1308</v>
      </c>
      <c r="C20" s="65">
        <v>11.2</v>
      </c>
      <c r="D20" s="65">
        <v>6.698</v>
      </c>
      <c r="E20" s="65">
        <v>1</v>
      </c>
      <c r="F20" s="235">
        <v>13.3</v>
      </c>
      <c r="G20" s="65">
        <v>1</v>
      </c>
      <c r="H20" s="236">
        <v>2.4</v>
      </c>
      <c r="I20" s="192">
        <f t="shared" ref="I20:I21" si="24">C20*250*E20*100/D20/F20/1000</f>
        <v>3.14312206314532</v>
      </c>
      <c r="J20" s="192">
        <f>(C20-H20)*250*2*100*G20/D20/1000/10</f>
        <v>6.56912511197372</v>
      </c>
      <c r="K20" s="238">
        <f t="shared" ref="K20:K21" si="25">(J20-I20)*0.95</f>
        <v>3.25470289638698</v>
      </c>
      <c r="L20" s="224">
        <f t="shared" ref="L20" si="26">(K20+K21)/2</f>
        <v>3.25660020009926</v>
      </c>
      <c r="M20" s="229">
        <f t="shared" ref="M20" si="27">(K20-K21)*100/L20</f>
        <v>-0.116520518068136</v>
      </c>
    </row>
    <row r="21" spans="1:13">
      <c r="A21" s="227"/>
      <c r="B21" s="217"/>
      <c r="C21" s="65">
        <v>11.2</v>
      </c>
      <c r="D21" s="65">
        <v>6.6902</v>
      </c>
      <c r="E21" s="65">
        <v>1</v>
      </c>
      <c r="F21" s="235">
        <v>13.3</v>
      </c>
      <c r="G21" s="65">
        <v>1</v>
      </c>
      <c r="H21" s="236">
        <v>2.4</v>
      </c>
      <c r="I21" s="192">
        <f t="shared" si="24"/>
        <v>3.14678658021395</v>
      </c>
      <c r="J21" s="192">
        <f>(C21-H21)*250*2*100*G21/D21/1000/10</f>
        <v>6.57678395264715</v>
      </c>
      <c r="K21" s="238">
        <f t="shared" si="25"/>
        <v>3.25849750381154</v>
      </c>
      <c r="L21" s="224"/>
      <c r="M21" s="229"/>
    </row>
    <row r="23" spans="1:13">
      <c r="A23" s="227" t="s">
        <v>1309</v>
      </c>
      <c r="B23" s="217" t="s">
        <v>1310</v>
      </c>
      <c r="C23" s="65">
        <v>11.5</v>
      </c>
      <c r="D23" s="65">
        <v>2.8546</v>
      </c>
      <c r="E23" s="65">
        <v>1</v>
      </c>
      <c r="F23" s="235">
        <v>11.3</v>
      </c>
      <c r="G23" s="65">
        <v>1</v>
      </c>
      <c r="H23" s="236">
        <v>5.7</v>
      </c>
      <c r="I23" s="192">
        <f t="shared" ref="I23:I24" si="28">C23*250*E23*100/D23/F23/1000</f>
        <v>8.91279964832417</v>
      </c>
      <c r="J23" s="192">
        <f>(C23-H23)*250*2*100*G23/D23/1000/10</f>
        <v>10.1590415469768</v>
      </c>
      <c r="K23" s="238">
        <f t="shared" ref="K23:K24" si="29">(J23-I23)*0.95</f>
        <v>1.18392980372</v>
      </c>
      <c r="L23" s="224">
        <f t="shared" ref="L23" si="30">(K23+K24)/2</f>
        <v>1.1848436503161</v>
      </c>
      <c r="M23" s="229">
        <f t="shared" ref="M23" si="31">(K23-K24)*100/L23</f>
        <v>-0.154256065067907</v>
      </c>
    </row>
    <row r="24" spans="1:13">
      <c r="A24" s="227"/>
      <c r="B24" s="217"/>
      <c r="C24" s="65">
        <v>11.5</v>
      </c>
      <c r="D24" s="65">
        <v>2.8502</v>
      </c>
      <c r="E24" s="65">
        <v>1</v>
      </c>
      <c r="F24" s="235">
        <v>11.3</v>
      </c>
      <c r="G24" s="65">
        <v>1</v>
      </c>
      <c r="H24" s="236">
        <v>5.7</v>
      </c>
      <c r="I24" s="192">
        <f t="shared" si="28"/>
        <v>8.92655879450782</v>
      </c>
      <c r="J24" s="192">
        <f>(C24-H24)*250*2*100*G24/D24/1000/10</f>
        <v>10.1747245807312</v>
      </c>
      <c r="K24" s="238">
        <f t="shared" si="29"/>
        <v>1.18575749691219</v>
      </c>
      <c r="L24" s="224"/>
      <c r="M24" s="229"/>
    </row>
    <row r="25" spans="1:13">
      <c r="A25" s="227" t="s">
        <v>1311</v>
      </c>
      <c r="B25" s="217" t="s">
        <v>1249</v>
      </c>
      <c r="C25" s="65">
        <v>11.6</v>
      </c>
      <c r="D25" s="65">
        <v>3.3669</v>
      </c>
      <c r="E25" s="65">
        <v>1</v>
      </c>
      <c r="F25" s="235">
        <v>10.5</v>
      </c>
      <c r="G25" s="65">
        <v>1</v>
      </c>
      <c r="H25" s="236">
        <v>9.7</v>
      </c>
      <c r="I25" s="192">
        <f t="shared" ref="I25:I26" si="32">C25*250*E25*100/D25/F25/1000</f>
        <v>8.20310897830278</v>
      </c>
      <c r="J25" s="192">
        <f>(C25-H25)*250*2*100*G25/D25/1000/10</f>
        <v>2.82158662270932</v>
      </c>
      <c r="K25" s="238">
        <f t="shared" ref="K25:K26" si="33">(J25-I25)*0.95</f>
        <v>-5.11244623781379</v>
      </c>
      <c r="L25" s="224">
        <f t="shared" ref="L25" si="34">(K25+K26)/2</f>
        <v>-5.88100605617129</v>
      </c>
      <c r="M25" s="229">
        <f t="shared" ref="M25" si="35">(K25-K26)*100/L25</f>
        <v>-26.1370184290495</v>
      </c>
    </row>
    <row r="26" spans="1:13">
      <c r="A26" s="227"/>
      <c r="B26" s="217"/>
      <c r="C26" s="65">
        <v>11.6</v>
      </c>
      <c r="D26" s="65">
        <v>3.4855</v>
      </c>
      <c r="E26" s="65">
        <v>1</v>
      </c>
      <c r="F26" s="235">
        <v>9.7</v>
      </c>
      <c r="G26" s="65">
        <v>1</v>
      </c>
      <c r="H26" s="236">
        <v>10.5</v>
      </c>
      <c r="I26" s="192">
        <f t="shared" si="32"/>
        <v>8.57750888437666</v>
      </c>
      <c r="J26" s="192">
        <f>(C26-H26)*250*2*100*G26/D26/1000/10</f>
        <v>1.57796585855688</v>
      </c>
      <c r="K26" s="238">
        <f t="shared" si="33"/>
        <v>-6.64956587452879</v>
      </c>
      <c r="L26" s="224"/>
      <c r="M26" s="229"/>
    </row>
    <row r="27" ht="28.5" customHeight="1"/>
    <row r="28" spans="1:13">
      <c r="A28" s="227" t="s">
        <v>1312</v>
      </c>
      <c r="B28" s="217" t="s">
        <v>1313</v>
      </c>
      <c r="C28" s="65">
        <v>11.4</v>
      </c>
      <c r="D28" s="65">
        <v>3.0212</v>
      </c>
      <c r="E28" s="65">
        <v>1</v>
      </c>
      <c r="F28" s="235">
        <v>9.25</v>
      </c>
      <c r="G28" s="65">
        <v>1</v>
      </c>
      <c r="H28" s="236">
        <v>4.7</v>
      </c>
      <c r="I28" s="192">
        <f t="shared" ref="I28:I29" si="36">C28*250*E28*100/D28/F28/1000</f>
        <v>10.1982029692873</v>
      </c>
      <c r="J28" s="192">
        <f>(C28-H28)*250*2*100*G28/D28/1000/10</f>
        <v>11.0883092810804</v>
      </c>
      <c r="K28" s="239">
        <f t="shared" ref="K28:K29" si="37">(J28-I28)*0.95</f>
        <v>0.845600996203407</v>
      </c>
      <c r="L28" s="229">
        <f t="shared" ref="L28" si="38">(K28+K29)/2</f>
        <v>0.843604518021973</v>
      </c>
      <c r="M28" s="229">
        <f t="shared" ref="M28" si="39">(K28-K29)*100/L28</f>
        <v>0.473320884083282</v>
      </c>
    </row>
    <row r="29" spans="1:13">
      <c r="A29" s="227"/>
      <c r="B29" s="217"/>
      <c r="C29" s="65">
        <v>11.4</v>
      </c>
      <c r="D29" s="65">
        <v>3.421</v>
      </c>
      <c r="E29" s="65">
        <v>1</v>
      </c>
      <c r="F29" s="235">
        <v>8.15</v>
      </c>
      <c r="G29" s="65">
        <v>1</v>
      </c>
      <c r="H29" s="236">
        <v>3.8</v>
      </c>
      <c r="I29" s="192">
        <f t="shared" si="36"/>
        <v>10.2219599980632</v>
      </c>
      <c r="J29" s="192">
        <f>(C29-H29)*250*2*100*G29/D29/1000/10</f>
        <v>11.1078631978954</v>
      </c>
      <c r="K29" s="239">
        <f t="shared" si="37"/>
        <v>0.841608039840539</v>
      </c>
      <c r="L29" s="229"/>
      <c r="M29" s="229"/>
    </row>
    <row r="31" spans="1:13">
      <c r="A31" s="227" t="s">
        <v>418</v>
      </c>
      <c r="B31" s="217"/>
      <c r="C31" s="65">
        <v>10.55</v>
      </c>
      <c r="D31" s="65">
        <v>2.6414</v>
      </c>
      <c r="E31" s="65">
        <v>1</v>
      </c>
      <c r="F31" s="235">
        <v>11.3</v>
      </c>
      <c r="G31" s="65">
        <v>1</v>
      </c>
      <c r="H31" s="236">
        <v>5.7</v>
      </c>
      <c r="I31" s="192">
        <f t="shared" ref="I31:I34" si="40">C31*250*E31*100/D31/F31/1000</f>
        <v>8.83649124123638</v>
      </c>
      <c r="J31" s="192">
        <f t="shared" ref="J31:J36" si="41">(C31-H31)*250*2*100*G31/D31/1000/10</f>
        <v>9.18073748769592</v>
      </c>
      <c r="K31" s="238">
        <f t="shared" ref="K31:K34" si="42">(J31-I31)*0.95</f>
        <v>0.327033934136565</v>
      </c>
      <c r="L31" s="224">
        <f t="shared" ref="L31" si="43">(K31+K32)/2</f>
        <v>0.328501770465725</v>
      </c>
      <c r="M31" s="229">
        <f t="shared" ref="M31" si="44">(K31-K32)*100/L31</f>
        <v>-0.893655049151328</v>
      </c>
    </row>
    <row r="32" spans="1:13">
      <c r="A32" s="227"/>
      <c r="B32" s="217"/>
      <c r="C32" s="65">
        <v>10.55</v>
      </c>
      <c r="D32" s="65">
        <v>2.6179</v>
      </c>
      <c r="E32" s="65">
        <v>1</v>
      </c>
      <c r="F32" s="235">
        <v>11.3</v>
      </c>
      <c r="G32" s="65">
        <v>1</v>
      </c>
      <c r="H32" s="236">
        <v>5.7</v>
      </c>
      <c r="I32" s="192">
        <f t="shared" si="40"/>
        <v>8.91581342473042</v>
      </c>
      <c r="J32" s="192">
        <f t="shared" si="41"/>
        <v>9.26314985293556</v>
      </c>
      <c r="K32" s="238">
        <f t="shared" si="42"/>
        <v>0.329969606794884</v>
      </c>
      <c r="L32" s="224"/>
      <c r="M32" s="229"/>
    </row>
    <row r="33" spans="1:13">
      <c r="A33" s="227" t="s">
        <v>419</v>
      </c>
      <c r="B33" s="217"/>
      <c r="C33" s="65">
        <v>10.55</v>
      </c>
      <c r="D33" s="65">
        <v>2.493</v>
      </c>
      <c r="E33" s="65">
        <v>1</v>
      </c>
      <c r="F33" s="235">
        <v>10.5</v>
      </c>
      <c r="G33" s="65">
        <v>1</v>
      </c>
      <c r="H33" s="236">
        <v>9.7</v>
      </c>
      <c r="I33" s="192">
        <f t="shared" si="40"/>
        <v>10.0758313754704</v>
      </c>
      <c r="J33" s="192">
        <f t="shared" si="41"/>
        <v>1.70477336542319</v>
      </c>
      <c r="K33" s="238">
        <f t="shared" si="42"/>
        <v>-7.95250510954482</v>
      </c>
      <c r="L33" s="224">
        <f t="shared" ref="L33" si="45">(K33+K34)/2</f>
        <v>-9.09867781436137</v>
      </c>
      <c r="M33" s="229">
        <f t="shared" ref="M33" si="46">(K33-K34)*100/L33</f>
        <v>-25.1942695016068</v>
      </c>
    </row>
    <row r="34" spans="1:13">
      <c r="A34" s="227"/>
      <c r="B34" s="217"/>
      <c r="C34" s="65">
        <v>10.55</v>
      </c>
      <c r="D34" s="65">
        <v>2.4982</v>
      </c>
      <c r="E34" s="65">
        <v>1</v>
      </c>
      <c r="F34" s="235">
        <v>9.7</v>
      </c>
      <c r="G34" s="65">
        <v>1</v>
      </c>
      <c r="H34" s="236">
        <v>10.5</v>
      </c>
      <c r="I34" s="192">
        <f t="shared" si="40"/>
        <v>10.8841252299594</v>
      </c>
      <c r="J34" s="192">
        <f t="shared" si="41"/>
        <v>0.100072051877353</v>
      </c>
      <c r="K34" s="238">
        <f t="shared" si="42"/>
        <v>-10.2448505191779</v>
      </c>
      <c r="L34" s="224"/>
      <c r="M34" s="229"/>
    </row>
    <row r="35" spans="1:13">
      <c r="A35" s="227" t="s">
        <v>420</v>
      </c>
      <c r="B35" s="217"/>
      <c r="C35" s="65">
        <v>10.55</v>
      </c>
      <c r="D35" s="65">
        <v>2.6523</v>
      </c>
      <c r="E35" s="65">
        <v>1</v>
      </c>
      <c r="F35" s="235">
        <v>10.5</v>
      </c>
      <c r="G35" s="65">
        <v>1</v>
      </c>
      <c r="H35" s="236">
        <v>9.7</v>
      </c>
      <c r="I35" s="192">
        <f t="shared" ref="I35:I36" si="47">C35*250*E35*100/D35/F35/1000</f>
        <v>9.4706660705982</v>
      </c>
      <c r="J35" s="192">
        <f t="shared" si="41"/>
        <v>1.60238283753723</v>
      </c>
      <c r="K35" s="238">
        <f t="shared" ref="K35:K36" si="48">(J35-I35)*0.95</f>
        <v>-7.47486907140792</v>
      </c>
      <c r="L35" s="224">
        <f t="shared" ref="L35" si="49">(K35+K36)/2</f>
        <v>-8.58270460632043</v>
      </c>
      <c r="M35" s="229">
        <f t="shared" ref="M35" si="50">(K35-K36)*100/L35</f>
        <v>-25.8155345133673</v>
      </c>
    </row>
    <row r="36" spans="1:13">
      <c r="A36" s="227"/>
      <c r="B36" s="217"/>
      <c r="C36" s="65">
        <v>10.55</v>
      </c>
      <c r="D36" s="65">
        <v>2.6411</v>
      </c>
      <c r="E36" s="65">
        <v>1</v>
      </c>
      <c r="F36" s="235">
        <v>9.7</v>
      </c>
      <c r="G36" s="65">
        <v>1</v>
      </c>
      <c r="H36" s="236">
        <v>10.5</v>
      </c>
      <c r="I36" s="192">
        <f t="shared" si="47"/>
        <v>10.2952260987787</v>
      </c>
      <c r="J36" s="192">
        <f t="shared" si="41"/>
        <v>0.0946575290598628</v>
      </c>
      <c r="K36" s="238">
        <f t="shared" si="48"/>
        <v>-9.69054014123294</v>
      </c>
      <c r="L36" s="224"/>
      <c r="M36" s="229"/>
    </row>
    <row r="37" spans="1:13">
      <c r="A37" s="227" t="s">
        <v>420</v>
      </c>
      <c r="B37" s="217"/>
      <c r="C37" s="65">
        <v>11.1</v>
      </c>
      <c r="D37" s="65">
        <v>9.305</v>
      </c>
      <c r="E37" s="65">
        <v>1</v>
      </c>
      <c r="F37" s="235">
        <v>13.5</v>
      </c>
      <c r="G37" s="65">
        <v>1</v>
      </c>
      <c r="H37" s="236">
        <v>16.6</v>
      </c>
      <c r="I37" s="192">
        <f t="shared" ref="I37:I38" si="51">C37*250*E37*100/D37/F37/1000</f>
        <v>2.20908710967819</v>
      </c>
      <c r="J37" s="192">
        <f t="shared" ref="J37:J38" si="52">(C37-H37)*250*2*100*G37/D37/1000/10</f>
        <v>-2.95540032240731</v>
      </c>
      <c r="K37" s="238">
        <f t="shared" ref="K37:K38" si="53">(J37-I37)*0.95</f>
        <v>-4.90626306048122</v>
      </c>
      <c r="L37" s="224">
        <f t="shared" ref="L37" si="54">(K37+K38)/2</f>
        <v>-4.86526510604698</v>
      </c>
      <c r="M37" s="229">
        <f t="shared" ref="M37" si="55">(K37-K38)*100/L37</f>
        <v>1.68533280471332</v>
      </c>
    </row>
    <row r="38" spans="1:13">
      <c r="A38" s="227"/>
      <c r="B38" s="217"/>
      <c r="C38" s="65">
        <v>11.1</v>
      </c>
      <c r="D38" s="65">
        <v>9.3949</v>
      </c>
      <c r="E38" s="65">
        <v>1</v>
      </c>
      <c r="F38" s="235">
        <v>13.4</v>
      </c>
      <c r="G38" s="65">
        <v>1</v>
      </c>
      <c r="H38" s="236">
        <v>16.5</v>
      </c>
      <c r="I38" s="192">
        <f t="shared" si="51"/>
        <v>2.20427628009671</v>
      </c>
      <c r="J38" s="192">
        <f t="shared" si="52"/>
        <v>-2.87389966896933</v>
      </c>
      <c r="K38" s="238">
        <f t="shared" si="53"/>
        <v>-4.82426715161274</v>
      </c>
      <c r="L38" s="224"/>
      <c r="M38" s="229"/>
    </row>
  </sheetData>
  <mergeCells count="56">
    <mergeCell ref="A3:A4"/>
    <mergeCell ref="A6:A7"/>
    <mergeCell ref="A9:A10"/>
    <mergeCell ref="A11:A12"/>
    <mergeCell ref="A14:A15"/>
    <mergeCell ref="A17:A18"/>
    <mergeCell ref="A20:A21"/>
    <mergeCell ref="A23:A24"/>
    <mergeCell ref="A25:A26"/>
    <mergeCell ref="A28:A29"/>
    <mergeCell ref="A31:A32"/>
    <mergeCell ref="A33:A34"/>
    <mergeCell ref="A35:A36"/>
    <mergeCell ref="A37:A38"/>
    <mergeCell ref="B3:B4"/>
    <mergeCell ref="B6:B7"/>
    <mergeCell ref="B9:B10"/>
    <mergeCell ref="B11:B12"/>
    <mergeCell ref="B14:B15"/>
    <mergeCell ref="B17:B18"/>
    <mergeCell ref="B20:B21"/>
    <mergeCell ref="B23:B24"/>
    <mergeCell ref="B25:B26"/>
    <mergeCell ref="B28:B29"/>
    <mergeCell ref="B31:B32"/>
    <mergeCell ref="B33:B34"/>
    <mergeCell ref="B35:B36"/>
    <mergeCell ref="B37:B38"/>
    <mergeCell ref="L3:L4"/>
    <mergeCell ref="L6:L7"/>
    <mergeCell ref="L9:L10"/>
    <mergeCell ref="L11:L12"/>
    <mergeCell ref="L14:L15"/>
    <mergeCell ref="L17:L18"/>
    <mergeCell ref="L20:L21"/>
    <mergeCell ref="L23:L24"/>
    <mergeCell ref="L25:L26"/>
    <mergeCell ref="L28:L29"/>
    <mergeCell ref="L31:L32"/>
    <mergeCell ref="L33:L34"/>
    <mergeCell ref="L35:L36"/>
    <mergeCell ref="L37:L38"/>
    <mergeCell ref="M3:M4"/>
    <mergeCell ref="M6:M7"/>
    <mergeCell ref="M9:M10"/>
    <mergeCell ref="M11:M12"/>
    <mergeCell ref="M14:M15"/>
    <mergeCell ref="M17:M18"/>
    <mergeCell ref="M20:M21"/>
    <mergeCell ref="M23:M24"/>
    <mergeCell ref="M25:M26"/>
    <mergeCell ref="M28:M29"/>
    <mergeCell ref="M31:M32"/>
    <mergeCell ref="M33:M34"/>
    <mergeCell ref="M35:M36"/>
    <mergeCell ref="M37:M38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O191"/>
  <sheetViews>
    <sheetView zoomScale="120" zoomScaleNormal="120" workbookViewId="0">
      <pane ySplit="1" topLeftCell="A172" activePane="bottomLeft" state="frozen"/>
      <selection/>
      <selection pane="bottomLeft" activeCell="E1115" sqref="E1115"/>
    </sheetView>
  </sheetViews>
  <sheetFormatPr defaultColWidth="9" defaultRowHeight="13.5"/>
  <cols>
    <col min="1" max="1" width="16.75" customWidth="1"/>
    <col min="2" max="2" width="9" style="212" customWidth="1"/>
    <col min="7" max="7" width="9" style="51" customWidth="1"/>
    <col min="8" max="8" width="9" style="143" customWidth="1"/>
    <col min="9" max="9" width="9" style="51" customWidth="1"/>
  </cols>
  <sheetData>
    <row r="1" spans="1:10">
      <c r="A1" t="s">
        <v>2</v>
      </c>
      <c r="B1" s="212" t="s">
        <v>368</v>
      </c>
      <c r="C1" t="s">
        <v>140</v>
      </c>
      <c r="D1" s="215" t="s">
        <v>1314</v>
      </c>
      <c r="E1" s="51" t="s">
        <v>143</v>
      </c>
      <c r="F1" s="51" t="s">
        <v>1315</v>
      </c>
      <c r="G1" s="51" t="s">
        <v>1316</v>
      </c>
      <c r="H1" s="143" t="s">
        <v>145</v>
      </c>
      <c r="I1" s="51" t="s">
        <v>146</v>
      </c>
      <c r="J1" t="s">
        <v>147</v>
      </c>
    </row>
    <row r="2" spans="1:9">
      <c r="A2" s="47" t="s">
        <v>1317</v>
      </c>
      <c r="B2" s="69" t="s">
        <v>1318</v>
      </c>
      <c r="C2">
        <v>10.26</v>
      </c>
      <c r="D2">
        <v>5</v>
      </c>
      <c r="E2">
        <v>6.22</v>
      </c>
      <c r="F2">
        <v>2</v>
      </c>
      <c r="G2" s="51">
        <f t="shared" ref="G2:G41" si="0">C2*100*F2/D2/E2</f>
        <v>65.9807073954984</v>
      </c>
      <c r="H2" s="71">
        <f t="shared" ref="H2:H6" si="1">(G2+G3)/2</f>
        <v>66.0871278912976</v>
      </c>
      <c r="I2" s="70">
        <f t="shared" ref="I2:I6" si="2">(G2-G3)*100/H2</f>
        <v>-0.322061191626412</v>
      </c>
    </row>
    <row r="3" spans="1:9">
      <c r="A3" s="47"/>
      <c r="B3" s="69"/>
      <c r="C3">
        <v>10.26</v>
      </c>
      <c r="D3">
        <v>5</v>
      </c>
      <c r="E3">
        <v>6.2</v>
      </c>
      <c r="F3">
        <v>2</v>
      </c>
      <c r="G3" s="51">
        <f t="shared" si="0"/>
        <v>66.1935483870968</v>
      </c>
      <c r="H3" s="71"/>
      <c r="I3" s="70"/>
    </row>
    <row r="4" spans="1:9">
      <c r="A4" s="47" t="s">
        <v>1319</v>
      </c>
      <c r="B4" s="69" t="s">
        <v>1320</v>
      </c>
      <c r="C4">
        <v>10.2</v>
      </c>
      <c r="D4">
        <v>5</v>
      </c>
      <c r="E4" s="51">
        <v>7.38</v>
      </c>
      <c r="F4" s="51">
        <v>5</v>
      </c>
      <c r="G4" s="51">
        <f t="shared" si="0"/>
        <v>138.211382113821</v>
      </c>
      <c r="H4" s="71">
        <f t="shared" si="1"/>
        <v>138.211382113821</v>
      </c>
      <c r="I4" s="70">
        <f t="shared" si="2"/>
        <v>0</v>
      </c>
    </row>
    <row r="5" spans="1:9">
      <c r="A5" s="47"/>
      <c r="B5" s="69"/>
      <c r="C5">
        <v>10.2</v>
      </c>
      <c r="D5">
        <v>5</v>
      </c>
      <c r="E5" s="51">
        <v>7.38</v>
      </c>
      <c r="F5" s="51">
        <v>5</v>
      </c>
      <c r="G5" s="51">
        <f t="shared" si="0"/>
        <v>138.211382113821</v>
      </c>
      <c r="H5" s="71"/>
      <c r="I5" s="70"/>
    </row>
    <row r="6" spans="1:9">
      <c r="A6" s="47" t="s">
        <v>1321</v>
      </c>
      <c r="B6" s="69" t="s">
        <v>1322</v>
      </c>
      <c r="C6">
        <v>10.2</v>
      </c>
      <c r="D6">
        <v>5</v>
      </c>
      <c r="E6">
        <v>12.2</v>
      </c>
      <c r="F6">
        <v>4</v>
      </c>
      <c r="G6" s="51">
        <f t="shared" si="0"/>
        <v>66.8852459016393</v>
      </c>
      <c r="H6" s="71">
        <f t="shared" si="1"/>
        <v>66.9401598966325</v>
      </c>
      <c r="I6" s="70">
        <f t="shared" si="2"/>
        <v>-0.164068908941756</v>
      </c>
    </row>
    <row r="7" spans="1:9">
      <c r="A7" s="47"/>
      <c r="B7" s="69"/>
      <c r="C7">
        <v>10.2</v>
      </c>
      <c r="D7">
        <v>5</v>
      </c>
      <c r="E7">
        <v>12.18</v>
      </c>
      <c r="F7">
        <v>4</v>
      </c>
      <c r="G7" s="51">
        <f t="shared" si="0"/>
        <v>66.9950738916256</v>
      </c>
      <c r="H7" s="71"/>
      <c r="I7" s="70"/>
    </row>
    <row r="8" spans="1:9">
      <c r="A8" s="47" t="s">
        <v>1321</v>
      </c>
      <c r="B8" s="69" t="s">
        <v>1323</v>
      </c>
      <c r="C8">
        <v>10.2</v>
      </c>
      <c r="D8">
        <v>5</v>
      </c>
      <c r="E8">
        <v>11.44</v>
      </c>
      <c r="F8">
        <v>4</v>
      </c>
      <c r="G8" s="51">
        <f t="shared" si="0"/>
        <v>71.3286713286713</v>
      </c>
      <c r="H8" s="71">
        <f t="shared" ref="H8:H12" si="3">(G8+G9)/2</f>
        <v>71.2664299051733</v>
      </c>
      <c r="I8" s="70">
        <f t="shared" ref="I8:I12" si="4">(G8-G9)*100/H8</f>
        <v>0.174672489082983</v>
      </c>
    </row>
    <row r="9" spans="1:9">
      <c r="A9" s="47"/>
      <c r="B9" s="69"/>
      <c r="C9">
        <v>10.2</v>
      </c>
      <c r="D9">
        <v>5</v>
      </c>
      <c r="E9">
        <v>11.46</v>
      </c>
      <c r="F9">
        <v>4</v>
      </c>
      <c r="G9" s="51">
        <f t="shared" si="0"/>
        <v>71.2041884816754</v>
      </c>
      <c r="H9" s="71"/>
      <c r="I9" s="70"/>
    </row>
    <row r="10" spans="1:9">
      <c r="A10" s="47" t="s">
        <v>1321</v>
      </c>
      <c r="B10" s="69" t="s">
        <v>1324</v>
      </c>
      <c r="C10">
        <v>10.2</v>
      </c>
      <c r="D10">
        <v>5</v>
      </c>
      <c r="E10">
        <v>12.38</v>
      </c>
      <c r="F10">
        <v>4</v>
      </c>
      <c r="G10" s="51">
        <f t="shared" si="0"/>
        <v>65.9127625201939</v>
      </c>
      <c r="H10" s="71">
        <f t="shared" si="3"/>
        <v>65.966089997961</v>
      </c>
      <c r="I10" s="70">
        <f t="shared" si="4"/>
        <v>-0.161681487469687</v>
      </c>
    </row>
    <row r="11" spans="1:9">
      <c r="A11" s="47"/>
      <c r="B11" s="69"/>
      <c r="C11">
        <v>10.2</v>
      </c>
      <c r="D11">
        <v>5</v>
      </c>
      <c r="E11">
        <v>12.36</v>
      </c>
      <c r="F11">
        <v>4</v>
      </c>
      <c r="G11" s="51">
        <f t="shared" si="0"/>
        <v>66.0194174757281</v>
      </c>
      <c r="H11" s="71"/>
      <c r="I11" s="70"/>
    </row>
    <row r="12" spans="1:9">
      <c r="A12" s="47" t="s">
        <v>1325</v>
      </c>
      <c r="B12" s="69" t="s">
        <v>1326</v>
      </c>
      <c r="C12">
        <v>10.2</v>
      </c>
      <c r="D12">
        <v>5</v>
      </c>
      <c r="E12">
        <v>5.88</v>
      </c>
      <c r="F12">
        <v>2.5</v>
      </c>
      <c r="G12" s="51">
        <f t="shared" si="0"/>
        <v>86.734693877551</v>
      </c>
      <c r="H12" s="71">
        <f t="shared" si="3"/>
        <v>86.8827053005502</v>
      </c>
      <c r="I12" s="70">
        <f t="shared" si="4"/>
        <v>-0.340715502555347</v>
      </c>
    </row>
    <row r="13" spans="1:9">
      <c r="A13" s="47"/>
      <c r="B13" s="69"/>
      <c r="C13">
        <v>10.2</v>
      </c>
      <c r="D13">
        <v>5</v>
      </c>
      <c r="E13">
        <v>5.86</v>
      </c>
      <c r="F13">
        <v>2.5</v>
      </c>
      <c r="G13" s="51">
        <f t="shared" si="0"/>
        <v>87.0307167235495</v>
      </c>
      <c r="H13" s="71"/>
      <c r="I13" s="70"/>
    </row>
    <row r="14" spans="1:9">
      <c r="A14" s="47" t="s">
        <v>1321</v>
      </c>
      <c r="B14" s="69" t="s">
        <v>1327</v>
      </c>
      <c r="C14">
        <v>10.2</v>
      </c>
      <c r="D14">
        <v>5</v>
      </c>
      <c r="E14">
        <v>10.82</v>
      </c>
      <c r="F14">
        <v>4</v>
      </c>
      <c r="G14" s="51">
        <f t="shared" si="0"/>
        <v>75.4158964879852</v>
      </c>
      <c r="H14" s="71">
        <f t="shared" ref="H14:H18" si="5">(G14+G15)/2</f>
        <v>75.3463246277564</v>
      </c>
      <c r="I14" s="70">
        <f t="shared" ref="I14:I18" si="6">(G14-G15)*100/H14</f>
        <v>0.184672206832856</v>
      </c>
    </row>
    <row r="15" spans="1:9">
      <c r="A15" s="47"/>
      <c r="B15" s="69"/>
      <c r="C15">
        <v>10.2</v>
      </c>
      <c r="D15">
        <v>5</v>
      </c>
      <c r="E15">
        <v>10.84</v>
      </c>
      <c r="F15">
        <v>4</v>
      </c>
      <c r="G15" s="51">
        <f t="shared" si="0"/>
        <v>75.2767527675277</v>
      </c>
      <c r="H15" s="71"/>
      <c r="I15" s="70"/>
    </row>
    <row r="16" spans="1:9">
      <c r="A16" s="47" t="s">
        <v>1328</v>
      </c>
      <c r="B16" s="69" t="s">
        <v>1329</v>
      </c>
      <c r="C16">
        <v>10.2</v>
      </c>
      <c r="D16">
        <v>5</v>
      </c>
      <c r="E16">
        <v>7.48</v>
      </c>
      <c r="F16">
        <v>4</v>
      </c>
      <c r="G16" s="51">
        <f t="shared" si="0"/>
        <v>109.090909090909</v>
      </c>
      <c r="H16" s="71">
        <f t="shared" si="5"/>
        <v>108.945454545455</v>
      </c>
      <c r="I16" s="70">
        <f t="shared" si="6"/>
        <v>0.267022696929231</v>
      </c>
    </row>
    <row r="17" spans="1:9">
      <c r="A17" s="47"/>
      <c r="B17" s="69"/>
      <c r="C17">
        <v>10.2</v>
      </c>
      <c r="D17">
        <v>5</v>
      </c>
      <c r="E17">
        <v>7.5</v>
      </c>
      <c r="F17">
        <v>4</v>
      </c>
      <c r="G17" s="51">
        <f t="shared" si="0"/>
        <v>108.8</v>
      </c>
      <c r="H17" s="71"/>
      <c r="I17" s="70"/>
    </row>
    <row r="18" spans="1:9">
      <c r="A18" s="47" t="s">
        <v>1330</v>
      </c>
      <c r="B18" s="69" t="s">
        <v>1331</v>
      </c>
      <c r="C18">
        <v>10.26</v>
      </c>
      <c r="D18">
        <v>5</v>
      </c>
      <c r="E18">
        <v>7.7</v>
      </c>
      <c r="F18">
        <v>2</v>
      </c>
      <c r="G18" s="51">
        <f t="shared" si="0"/>
        <v>53.2987012987013</v>
      </c>
      <c r="H18" s="71">
        <f t="shared" si="5"/>
        <v>53.1609785563274</v>
      </c>
      <c r="I18" s="70">
        <f t="shared" si="6"/>
        <v>0.518134715025912</v>
      </c>
    </row>
    <row r="19" spans="1:9">
      <c r="A19" s="47"/>
      <c r="B19" s="69"/>
      <c r="C19">
        <v>10.26</v>
      </c>
      <c r="D19">
        <v>5</v>
      </c>
      <c r="E19">
        <v>7.74</v>
      </c>
      <c r="F19">
        <v>2</v>
      </c>
      <c r="G19" s="51">
        <f t="shared" si="0"/>
        <v>53.0232558139535</v>
      </c>
      <c r="H19" s="71"/>
      <c r="I19" s="70"/>
    </row>
    <row r="20" spans="1:9">
      <c r="A20" s="47" t="s">
        <v>1332</v>
      </c>
      <c r="B20" s="69" t="s">
        <v>1333</v>
      </c>
      <c r="C20">
        <v>10.26</v>
      </c>
      <c r="D20">
        <v>10</v>
      </c>
      <c r="E20">
        <v>10.98</v>
      </c>
      <c r="F20">
        <v>3</v>
      </c>
      <c r="G20" s="51">
        <f t="shared" si="0"/>
        <v>28.0327868852459</v>
      </c>
      <c r="H20" s="71">
        <f t="shared" ref="H20:H24" si="7">(G20+G21)/2</f>
        <v>28.0583642455427</v>
      </c>
      <c r="I20" s="70">
        <f t="shared" ref="I20:I24" si="8">(G20-G21)*100/H20</f>
        <v>-0.18231540565177</v>
      </c>
    </row>
    <row r="21" spans="1:9">
      <c r="A21" s="47"/>
      <c r="B21" s="69"/>
      <c r="C21">
        <v>10.26</v>
      </c>
      <c r="D21">
        <v>10</v>
      </c>
      <c r="E21">
        <v>10.96</v>
      </c>
      <c r="F21">
        <v>3</v>
      </c>
      <c r="G21" s="51">
        <f t="shared" si="0"/>
        <v>28.0839416058394</v>
      </c>
      <c r="H21" s="71"/>
      <c r="I21" s="70"/>
    </row>
    <row r="22" spans="1:9">
      <c r="A22" s="47" t="s">
        <v>1332</v>
      </c>
      <c r="B22" s="69" t="s">
        <v>1334</v>
      </c>
      <c r="C22">
        <v>10.26</v>
      </c>
      <c r="D22">
        <v>10</v>
      </c>
      <c r="E22">
        <v>10.96</v>
      </c>
      <c r="F22">
        <v>3</v>
      </c>
      <c r="G22" s="51">
        <f t="shared" si="0"/>
        <v>28.0839416058394</v>
      </c>
      <c r="H22" s="71">
        <f t="shared" si="7"/>
        <v>28.0583642455427</v>
      </c>
      <c r="I22" s="70">
        <f t="shared" si="8"/>
        <v>0.18231540565177</v>
      </c>
    </row>
    <row r="23" spans="1:11">
      <c r="A23" s="47"/>
      <c r="B23" s="69"/>
      <c r="C23">
        <v>10.26</v>
      </c>
      <c r="D23">
        <v>10</v>
      </c>
      <c r="E23">
        <v>10.98</v>
      </c>
      <c r="F23">
        <v>3</v>
      </c>
      <c r="G23" s="51">
        <f t="shared" si="0"/>
        <v>28.0327868852459</v>
      </c>
      <c r="H23" s="71"/>
      <c r="I23" s="70"/>
      <c r="K23" s="215">
        <v>0.0504</v>
      </c>
    </row>
    <row r="24" spans="1:9">
      <c r="A24" s="47" t="s">
        <v>1332</v>
      </c>
      <c r="B24" s="69" t="s">
        <v>1334</v>
      </c>
      <c r="C24">
        <v>10.26</v>
      </c>
      <c r="D24">
        <v>5</v>
      </c>
      <c r="E24">
        <v>7.28</v>
      </c>
      <c r="F24">
        <v>1</v>
      </c>
      <c r="G24" s="51">
        <f t="shared" si="0"/>
        <v>28.1868131868132</v>
      </c>
      <c r="H24" s="71">
        <f t="shared" si="7"/>
        <v>28.2256379983653</v>
      </c>
      <c r="I24" s="70">
        <f t="shared" si="8"/>
        <v>-0.275103163686394</v>
      </c>
    </row>
    <row r="25" spans="1:9">
      <c r="A25" s="47"/>
      <c r="B25" s="69"/>
      <c r="C25">
        <v>10.26</v>
      </c>
      <c r="D25">
        <v>5</v>
      </c>
      <c r="E25">
        <v>7.26</v>
      </c>
      <c r="F25">
        <v>1</v>
      </c>
      <c r="G25" s="51">
        <f t="shared" si="0"/>
        <v>28.2644628099174</v>
      </c>
      <c r="H25" s="71"/>
      <c r="I25" s="70"/>
    </row>
    <row r="26" spans="1:9">
      <c r="A26" s="47" t="s">
        <v>1332</v>
      </c>
      <c r="B26" s="69" t="s">
        <v>1333</v>
      </c>
      <c r="C26">
        <v>10.26</v>
      </c>
      <c r="D26">
        <v>5</v>
      </c>
      <c r="E26">
        <v>7.28</v>
      </c>
      <c r="F26">
        <v>1</v>
      </c>
      <c r="G26" s="51">
        <f t="shared" si="0"/>
        <v>28.1868131868132</v>
      </c>
      <c r="H26" s="71">
        <f t="shared" ref="H26:H30" si="9">(G26+G27)/2</f>
        <v>28.1868131868132</v>
      </c>
      <c r="I26" s="70">
        <f t="shared" ref="I26:I30" si="10">(G26-G27)*100/H26</f>
        <v>0</v>
      </c>
    </row>
    <row r="27" spans="1:9">
      <c r="A27" s="47"/>
      <c r="B27" s="69"/>
      <c r="C27">
        <v>10.26</v>
      </c>
      <c r="D27">
        <v>5</v>
      </c>
      <c r="E27">
        <v>7.28</v>
      </c>
      <c r="F27">
        <v>1</v>
      </c>
      <c r="G27" s="51">
        <f t="shared" si="0"/>
        <v>28.1868131868132</v>
      </c>
      <c r="H27" s="71"/>
      <c r="I27" s="70"/>
    </row>
    <row r="28" spans="1:9">
      <c r="A28" s="47" t="s">
        <v>1330</v>
      </c>
      <c r="B28" s="69" t="s">
        <v>1335</v>
      </c>
      <c r="C28">
        <v>10.32</v>
      </c>
      <c r="D28">
        <v>5</v>
      </c>
      <c r="E28">
        <v>8.8</v>
      </c>
      <c r="F28">
        <v>2</v>
      </c>
      <c r="G28" s="51">
        <f t="shared" si="0"/>
        <v>46.9090909090909</v>
      </c>
      <c r="H28" s="71">
        <f t="shared" si="9"/>
        <v>46.9625181196935</v>
      </c>
      <c r="I28" s="70">
        <f t="shared" si="10"/>
        <v>-0.227531285551782</v>
      </c>
    </row>
    <row r="29" spans="1:9">
      <c r="A29" s="47"/>
      <c r="B29" s="69"/>
      <c r="C29">
        <v>10.32</v>
      </c>
      <c r="D29">
        <v>5</v>
      </c>
      <c r="E29">
        <v>8.78</v>
      </c>
      <c r="F29">
        <v>2</v>
      </c>
      <c r="G29" s="51">
        <f t="shared" si="0"/>
        <v>47.0159453302961</v>
      </c>
      <c r="H29" s="71"/>
      <c r="I29" s="70"/>
    </row>
    <row r="30" spans="1:9">
      <c r="A30" s="47" t="s">
        <v>1321</v>
      </c>
      <c r="B30" s="69" t="s">
        <v>1336</v>
      </c>
      <c r="C30">
        <v>10.32</v>
      </c>
      <c r="D30">
        <v>5</v>
      </c>
      <c r="E30">
        <v>9.46</v>
      </c>
      <c r="F30">
        <v>3</v>
      </c>
      <c r="G30" s="51">
        <f t="shared" si="0"/>
        <v>65.4545454545455</v>
      </c>
      <c r="H30" s="71">
        <f t="shared" si="9"/>
        <v>65.385500575374</v>
      </c>
      <c r="I30" s="70">
        <f t="shared" si="10"/>
        <v>0.211193241816249</v>
      </c>
    </row>
    <row r="31" spans="1:9">
      <c r="A31" s="47"/>
      <c r="B31" s="69"/>
      <c r="C31">
        <v>10.32</v>
      </c>
      <c r="D31">
        <v>5</v>
      </c>
      <c r="E31">
        <v>9.48</v>
      </c>
      <c r="F31">
        <v>3</v>
      </c>
      <c r="G31" s="51">
        <f t="shared" si="0"/>
        <v>65.3164556962025</v>
      </c>
      <c r="H31" s="71"/>
      <c r="I31" s="70"/>
    </row>
    <row r="32" spans="1:9">
      <c r="A32" s="47" t="s">
        <v>1321</v>
      </c>
      <c r="B32" s="69" t="s">
        <v>1337</v>
      </c>
      <c r="C32">
        <v>10.32</v>
      </c>
      <c r="D32">
        <v>5</v>
      </c>
      <c r="E32">
        <v>8.28</v>
      </c>
      <c r="F32">
        <v>3</v>
      </c>
      <c r="G32" s="51">
        <f t="shared" si="0"/>
        <v>74.7826086956522</v>
      </c>
      <c r="H32" s="71">
        <f t="shared" ref="H32:H36" si="11">(G32+G33)/2</f>
        <v>74.6925091671032</v>
      </c>
      <c r="I32" s="70">
        <f t="shared" ref="I32:I36" si="12">(G32-G33)*100/H32</f>
        <v>0.241254523522327</v>
      </c>
    </row>
    <row r="33" spans="1:9">
      <c r="A33" s="47"/>
      <c r="B33" s="69"/>
      <c r="C33">
        <v>10.32</v>
      </c>
      <c r="D33">
        <v>5</v>
      </c>
      <c r="E33">
        <v>8.3</v>
      </c>
      <c r="F33">
        <v>3</v>
      </c>
      <c r="G33" s="51">
        <f t="shared" si="0"/>
        <v>74.6024096385542</v>
      </c>
      <c r="H33" s="71"/>
      <c r="I33" s="70"/>
    </row>
    <row r="34" spans="1:9">
      <c r="A34" s="47" t="s">
        <v>1338</v>
      </c>
      <c r="B34" s="69" t="s">
        <v>1339</v>
      </c>
      <c r="C34">
        <v>10.36</v>
      </c>
      <c r="D34">
        <v>5</v>
      </c>
      <c r="E34">
        <v>7.7</v>
      </c>
      <c r="F34">
        <v>1</v>
      </c>
      <c r="G34" s="51">
        <f t="shared" si="0"/>
        <v>26.9090909090909</v>
      </c>
      <c r="H34" s="71">
        <f t="shared" si="11"/>
        <v>26.805060918463</v>
      </c>
      <c r="I34" s="70">
        <f t="shared" si="12"/>
        <v>0.776196636481242</v>
      </c>
    </row>
    <row r="35" spans="1:9">
      <c r="A35" s="47"/>
      <c r="B35" s="69"/>
      <c r="C35">
        <v>10.36</v>
      </c>
      <c r="D35">
        <v>5</v>
      </c>
      <c r="E35">
        <v>7.76</v>
      </c>
      <c r="F35">
        <v>1</v>
      </c>
      <c r="G35" s="51">
        <f t="shared" si="0"/>
        <v>26.701030927835</v>
      </c>
      <c r="H35" s="71"/>
      <c r="I35" s="70"/>
    </row>
    <row r="36" spans="1:9">
      <c r="A36" s="47" t="s">
        <v>166</v>
      </c>
      <c r="B36" s="69" t="s">
        <v>1340</v>
      </c>
      <c r="C36">
        <v>10.36</v>
      </c>
      <c r="D36">
        <v>5</v>
      </c>
      <c r="E36">
        <v>7</v>
      </c>
      <c r="F36">
        <v>2</v>
      </c>
      <c r="G36" s="51">
        <f t="shared" si="0"/>
        <v>59.2</v>
      </c>
      <c r="H36" s="71">
        <f t="shared" si="11"/>
        <v>59.1156695156695</v>
      </c>
      <c r="I36" s="70">
        <f t="shared" si="12"/>
        <v>0.285306704707556</v>
      </c>
    </row>
    <row r="37" spans="1:9">
      <c r="A37" s="47"/>
      <c r="B37" s="69"/>
      <c r="C37">
        <v>10.36</v>
      </c>
      <c r="D37">
        <v>5</v>
      </c>
      <c r="E37">
        <v>7.02</v>
      </c>
      <c r="F37">
        <v>2</v>
      </c>
      <c r="G37" s="51">
        <f t="shared" si="0"/>
        <v>59.031339031339</v>
      </c>
      <c r="H37" s="71"/>
      <c r="I37" s="70"/>
    </row>
    <row r="38" spans="1:9">
      <c r="A38" s="47" t="s">
        <v>1341</v>
      </c>
      <c r="B38" s="69" t="s">
        <v>1342</v>
      </c>
      <c r="C38">
        <v>10.32</v>
      </c>
      <c r="D38">
        <v>5</v>
      </c>
      <c r="E38">
        <v>9.76</v>
      </c>
      <c r="F38">
        <v>1</v>
      </c>
      <c r="G38" s="51">
        <f t="shared" si="0"/>
        <v>21.1475409836066</v>
      </c>
      <c r="H38" s="71">
        <f t="shared" ref="H38:H42" si="13">(G38+G39)/2</f>
        <v>21.1692530380045</v>
      </c>
      <c r="I38" s="70">
        <f t="shared" ref="I38:I42" si="14">(G38-G39)*100/H38</f>
        <v>-0.205128205128208</v>
      </c>
    </row>
    <row r="39" spans="1:9">
      <c r="A39" s="47"/>
      <c r="B39" s="69"/>
      <c r="C39">
        <v>10.32</v>
      </c>
      <c r="D39">
        <v>5</v>
      </c>
      <c r="E39">
        <v>9.74</v>
      </c>
      <c r="F39">
        <v>1</v>
      </c>
      <c r="G39" s="51">
        <f t="shared" si="0"/>
        <v>21.1909650924025</v>
      </c>
      <c r="H39" s="71"/>
      <c r="I39" s="70"/>
    </row>
    <row r="40" spans="1:9">
      <c r="A40" s="47" t="s">
        <v>1321</v>
      </c>
      <c r="B40" s="69" t="s">
        <v>1343</v>
      </c>
      <c r="C40">
        <v>10.52</v>
      </c>
      <c r="D40">
        <v>5</v>
      </c>
      <c r="E40">
        <v>9.44</v>
      </c>
      <c r="F40">
        <v>3</v>
      </c>
      <c r="G40" s="51">
        <f t="shared" si="0"/>
        <v>66.864406779661</v>
      </c>
      <c r="H40" s="71">
        <f t="shared" si="13"/>
        <v>66.7233426303368</v>
      </c>
      <c r="I40" s="70">
        <f t="shared" si="14"/>
        <v>0.422832980972517</v>
      </c>
    </row>
    <row r="41" spans="1:9">
      <c r="A41" s="47"/>
      <c r="B41" s="69"/>
      <c r="C41">
        <v>10.52</v>
      </c>
      <c r="D41">
        <v>5</v>
      </c>
      <c r="E41">
        <v>9.48</v>
      </c>
      <c r="F41">
        <v>3</v>
      </c>
      <c r="G41" s="51">
        <f t="shared" si="0"/>
        <v>66.5822784810127</v>
      </c>
      <c r="H41" s="71"/>
      <c r="I41" s="70"/>
    </row>
    <row r="42" spans="3:9">
      <c r="C42">
        <v>10.52</v>
      </c>
      <c r="D42">
        <v>5</v>
      </c>
      <c r="E42">
        <v>8.6</v>
      </c>
      <c r="F42">
        <v>1</v>
      </c>
      <c r="G42" s="51">
        <f t="shared" ref="G42:G52" si="15">C42*100*F42/D42/E42</f>
        <v>24.4651162790698</v>
      </c>
      <c r="H42" s="71">
        <f t="shared" si="13"/>
        <v>24.4651162790698</v>
      </c>
      <c r="I42" s="70">
        <f t="shared" si="14"/>
        <v>0</v>
      </c>
    </row>
    <row r="43" spans="3:9">
      <c r="C43">
        <v>10.52</v>
      </c>
      <c r="D43">
        <v>5</v>
      </c>
      <c r="E43">
        <v>8.6</v>
      </c>
      <c r="F43">
        <v>1</v>
      </c>
      <c r="G43" s="51">
        <f t="shared" si="15"/>
        <v>24.4651162790698</v>
      </c>
      <c r="H43" s="71"/>
      <c r="I43" s="70"/>
    </row>
    <row r="44" spans="1:9">
      <c r="A44" s="47" t="s">
        <v>1344</v>
      </c>
      <c r="B44" s="69" t="s">
        <v>1345</v>
      </c>
      <c r="C44">
        <v>10.7</v>
      </c>
      <c r="D44">
        <v>3</v>
      </c>
      <c r="E44">
        <v>13.1</v>
      </c>
      <c r="F44">
        <v>1</v>
      </c>
      <c r="G44" s="51">
        <f t="shared" si="15"/>
        <v>27.2264631043257</v>
      </c>
      <c r="H44" s="71">
        <f t="shared" ref="H44:H48" si="16">(G44+G45)/2</f>
        <v>27.2264631043257</v>
      </c>
      <c r="I44" s="70">
        <f t="shared" ref="I44:I48" si="17">(G44-G45)*100/H44</f>
        <v>0</v>
      </c>
    </row>
    <row r="45" spans="1:9">
      <c r="A45" s="47"/>
      <c r="B45" s="69"/>
      <c r="C45">
        <v>10.7</v>
      </c>
      <c r="D45">
        <v>3</v>
      </c>
      <c r="E45">
        <v>13.1</v>
      </c>
      <c r="F45">
        <v>1</v>
      </c>
      <c r="G45" s="51">
        <f t="shared" si="15"/>
        <v>27.2264631043257</v>
      </c>
      <c r="H45" s="71"/>
      <c r="I45" s="70"/>
    </row>
    <row r="46" spans="1:9">
      <c r="A46" s="47" t="s">
        <v>1344</v>
      </c>
      <c r="B46" s="69"/>
      <c r="C46">
        <v>10.7</v>
      </c>
      <c r="D46">
        <v>10</v>
      </c>
      <c r="E46">
        <v>5.88</v>
      </c>
      <c r="F46">
        <v>2</v>
      </c>
      <c r="G46" s="51">
        <f t="shared" si="15"/>
        <v>36.3945578231293</v>
      </c>
      <c r="H46" s="71">
        <f t="shared" si="16"/>
        <v>36.4566645770936</v>
      </c>
      <c r="I46" s="70">
        <f t="shared" si="17"/>
        <v>-0.340715502555356</v>
      </c>
    </row>
    <row r="47" spans="1:9">
      <c r="A47" s="47"/>
      <c r="B47" s="69"/>
      <c r="C47">
        <v>10.7</v>
      </c>
      <c r="D47">
        <v>10</v>
      </c>
      <c r="E47">
        <v>5.86</v>
      </c>
      <c r="F47">
        <v>2</v>
      </c>
      <c r="G47" s="51">
        <f t="shared" si="15"/>
        <v>36.518771331058</v>
      </c>
      <c r="H47" s="71"/>
      <c r="I47" s="70"/>
    </row>
    <row r="48" spans="1:9">
      <c r="A48" s="47" t="s">
        <v>1344</v>
      </c>
      <c r="B48" s="69" t="s">
        <v>1346</v>
      </c>
      <c r="C48">
        <v>10.7</v>
      </c>
      <c r="D48">
        <v>5</v>
      </c>
      <c r="E48">
        <v>7.86</v>
      </c>
      <c r="F48">
        <v>1</v>
      </c>
      <c r="G48" s="51">
        <f t="shared" si="15"/>
        <v>27.2264631043257</v>
      </c>
      <c r="H48" s="71">
        <f t="shared" si="16"/>
        <v>27.2264631043257</v>
      </c>
      <c r="I48" s="70">
        <f t="shared" si="17"/>
        <v>0</v>
      </c>
    </row>
    <row r="49" spans="1:9">
      <c r="A49" s="47"/>
      <c r="B49" s="69"/>
      <c r="C49">
        <v>10.7</v>
      </c>
      <c r="D49">
        <v>5</v>
      </c>
      <c r="E49">
        <v>7.86</v>
      </c>
      <c r="F49">
        <v>1</v>
      </c>
      <c r="G49" s="51">
        <f t="shared" si="15"/>
        <v>27.2264631043257</v>
      </c>
      <c r="H49" s="71"/>
      <c r="I49" s="70"/>
    </row>
    <row r="50" spans="1:9">
      <c r="A50" s="47" t="s">
        <v>1344</v>
      </c>
      <c r="B50" s="69" t="s">
        <v>1240</v>
      </c>
      <c r="C50">
        <v>10.7</v>
      </c>
      <c r="D50">
        <v>10</v>
      </c>
      <c r="E50">
        <v>11.76</v>
      </c>
      <c r="F50">
        <v>4</v>
      </c>
      <c r="G50" s="51">
        <f t="shared" si="15"/>
        <v>36.3945578231293</v>
      </c>
      <c r="H50" s="71">
        <f t="shared" ref="H50:H54" si="18">(G50+G51)/2</f>
        <v>36.3945578231293</v>
      </c>
      <c r="I50" s="70">
        <f t="shared" ref="I50:I54" si="19">(G50-G51)*100/H50</f>
        <v>0</v>
      </c>
    </row>
    <row r="51" spans="1:9">
      <c r="A51" s="47"/>
      <c r="B51" s="69"/>
      <c r="C51">
        <v>10.7</v>
      </c>
      <c r="D51">
        <v>10</v>
      </c>
      <c r="E51">
        <v>11.76</v>
      </c>
      <c r="F51">
        <v>4</v>
      </c>
      <c r="G51" s="51">
        <f t="shared" si="15"/>
        <v>36.3945578231293</v>
      </c>
      <c r="H51" s="71"/>
      <c r="I51" s="70"/>
    </row>
    <row r="52" spans="1:9">
      <c r="A52" s="47"/>
      <c r="B52" s="69" t="s">
        <v>1347</v>
      </c>
      <c r="C52">
        <v>10.44</v>
      </c>
      <c r="D52">
        <v>10</v>
      </c>
      <c r="E52">
        <v>5.46</v>
      </c>
      <c r="F52">
        <v>2</v>
      </c>
      <c r="G52" s="51">
        <f t="shared" si="15"/>
        <v>38.2417582417582</v>
      </c>
      <c r="H52" s="71">
        <f t="shared" si="18"/>
        <v>38.1719740113901</v>
      </c>
      <c r="I52" s="70">
        <f t="shared" si="19"/>
        <v>0.365630712979885</v>
      </c>
    </row>
    <row r="53" spans="1:9">
      <c r="A53" s="47"/>
      <c r="B53" s="69"/>
      <c r="C53">
        <v>10.44</v>
      </c>
      <c r="D53">
        <v>10</v>
      </c>
      <c r="E53">
        <v>5.48</v>
      </c>
      <c r="F53">
        <v>2</v>
      </c>
      <c r="G53" s="51">
        <f t="shared" ref="G53:G67" si="20">C53*100*F53/D53/E53</f>
        <v>38.1021897810219</v>
      </c>
      <c r="H53" s="71"/>
      <c r="I53" s="70"/>
    </row>
    <row r="54" spans="1:9">
      <c r="A54" s="47" t="s">
        <v>1321</v>
      </c>
      <c r="B54" s="69" t="s">
        <v>1348</v>
      </c>
      <c r="C54">
        <v>10.4</v>
      </c>
      <c r="D54">
        <v>5</v>
      </c>
      <c r="E54">
        <v>5.86</v>
      </c>
      <c r="F54">
        <v>2</v>
      </c>
      <c r="G54" s="51">
        <f t="shared" si="20"/>
        <v>70.9897610921502</v>
      </c>
      <c r="H54" s="71">
        <f t="shared" si="18"/>
        <v>70.9897610921502</v>
      </c>
      <c r="I54" s="70">
        <f t="shared" si="19"/>
        <v>0</v>
      </c>
    </row>
    <row r="55" spans="1:9">
      <c r="A55" s="47"/>
      <c r="B55" s="69"/>
      <c r="C55">
        <v>10.4</v>
      </c>
      <c r="D55">
        <v>5</v>
      </c>
      <c r="E55">
        <v>5.86</v>
      </c>
      <c r="F55">
        <v>2</v>
      </c>
      <c r="G55" s="51">
        <f t="shared" si="20"/>
        <v>70.9897610921502</v>
      </c>
      <c r="H55" s="71"/>
      <c r="I55" s="70"/>
    </row>
    <row r="56" spans="1:9">
      <c r="A56" s="47" t="s">
        <v>1321</v>
      </c>
      <c r="B56" s="69" t="s">
        <v>1346</v>
      </c>
      <c r="C56">
        <v>10.4</v>
      </c>
      <c r="D56">
        <v>3</v>
      </c>
      <c r="E56">
        <v>9.4</v>
      </c>
      <c r="F56">
        <v>1</v>
      </c>
      <c r="G56" s="51">
        <f t="shared" si="20"/>
        <v>36.8794326241135</v>
      </c>
      <c r="H56" s="71">
        <f t="shared" ref="H56:H60" si="21">(G56+G57)/2</f>
        <v>36.9187497164633</v>
      </c>
      <c r="I56" s="70">
        <f t="shared" ref="I56:I60" si="22">(G56-G57)*100/H56</f>
        <v>-0.212992545260916</v>
      </c>
    </row>
    <row r="57" spans="1:9">
      <c r="A57" s="47"/>
      <c r="B57" s="69"/>
      <c r="C57">
        <v>10.4</v>
      </c>
      <c r="D57">
        <v>3</v>
      </c>
      <c r="E57">
        <v>9.38</v>
      </c>
      <c r="F57">
        <v>1</v>
      </c>
      <c r="G57" s="51">
        <f t="shared" si="20"/>
        <v>36.9580668088131</v>
      </c>
      <c r="H57" s="71"/>
      <c r="I57" s="70"/>
    </row>
    <row r="58" spans="1:9">
      <c r="A58" s="223" t="s">
        <v>1349</v>
      </c>
      <c r="B58" s="69" t="s">
        <v>1350</v>
      </c>
      <c r="C58">
        <v>10.4</v>
      </c>
      <c r="D58">
        <v>5</v>
      </c>
      <c r="E58">
        <v>12.26</v>
      </c>
      <c r="F58">
        <v>1</v>
      </c>
      <c r="G58" s="51">
        <f t="shared" si="20"/>
        <v>16.9657422512235</v>
      </c>
      <c r="H58" s="71">
        <f t="shared" si="21"/>
        <v>16.9381556784573</v>
      </c>
      <c r="I58" s="70">
        <f t="shared" si="22"/>
        <v>0.325732899022811</v>
      </c>
    </row>
    <row r="59" spans="1:9">
      <c r="A59" s="47"/>
      <c r="B59" s="69"/>
      <c r="C59">
        <v>10.4</v>
      </c>
      <c r="D59">
        <v>5</v>
      </c>
      <c r="E59">
        <v>12.3</v>
      </c>
      <c r="F59">
        <v>1</v>
      </c>
      <c r="G59" s="51">
        <f t="shared" si="20"/>
        <v>16.9105691056911</v>
      </c>
      <c r="H59" s="71"/>
      <c r="I59" s="70"/>
    </row>
    <row r="60" spans="3:9">
      <c r="C60">
        <v>10.8</v>
      </c>
      <c r="D60">
        <v>5</v>
      </c>
      <c r="E60">
        <v>11.26</v>
      </c>
      <c r="F60">
        <v>1</v>
      </c>
      <c r="G60" s="51">
        <f t="shared" si="20"/>
        <v>19.1829484902309</v>
      </c>
      <c r="H60" s="71">
        <f t="shared" si="21"/>
        <v>19.1659423302218</v>
      </c>
      <c r="I60" s="70">
        <f t="shared" si="22"/>
        <v>0.177462289263526</v>
      </c>
    </row>
    <row r="61" spans="3:9">
      <c r="C61">
        <v>10.8</v>
      </c>
      <c r="D61">
        <v>5</v>
      </c>
      <c r="E61">
        <v>11.28</v>
      </c>
      <c r="F61">
        <v>1</v>
      </c>
      <c r="G61" s="51">
        <f t="shared" si="20"/>
        <v>19.1489361702128</v>
      </c>
      <c r="H61" s="71"/>
      <c r="I61" s="70"/>
    </row>
    <row r="62" spans="1:9">
      <c r="A62" s="69" t="s">
        <v>1330</v>
      </c>
      <c r="B62" s="69" t="s">
        <v>1330</v>
      </c>
      <c r="C62">
        <v>28</v>
      </c>
      <c r="D62">
        <v>5</v>
      </c>
      <c r="E62">
        <v>4.78</v>
      </c>
      <c r="F62">
        <v>1</v>
      </c>
      <c r="G62" s="51">
        <f t="shared" si="20"/>
        <v>117.154811715481</v>
      </c>
      <c r="H62" s="71">
        <f t="shared" ref="H62:H66" si="23">(G62+G63)/2</f>
        <v>117.154811715481</v>
      </c>
      <c r="I62" s="70">
        <f t="shared" ref="I62:I66" si="24">(G62-G63)*100/H62</f>
        <v>0</v>
      </c>
    </row>
    <row r="63" spans="1:9">
      <c r="A63" s="69"/>
      <c r="B63" s="69"/>
      <c r="C63">
        <v>28</v>
      </c>
      <c r="D63">
        <v>5</v>
      </c>
      <c r="E63">
        <v>4.78</v>
      </c>
      <c r="F63">
        <v>1</v>
      </c>
      <c r="G63" s="51">
        <f t="shared" si="20"/>
        <v>117.154811715481</v>
      </c>
      <c r="H63" s="71"/>
      <c r="I63" s="70"/>
    </row>
    <row r="64" spans="2:9">
      <c r="B64" s="69" t="s">
        <v>1351</v>
      </c>
      <c r="C64">
        <v>10.34</v>
      </c>
      <c r="D64">
        <v>50.2483</v>
      </c>
      <c r="E64">
        <v>10.02</v>
      </c>
      <c r="F64">
        <v>4</v>
      </c>
      <c r="G64" s="51">
        <f t="shared" si="20"/>
        <v>8.21469484734418</v>
      </c>
      <c r="H64" s="71">
        <f t="shared" si="23"/>
        <v>8.22285220983699</v>
      </c>
      <c r="I64" s="70">
        <f t="shared" si="24"/>
        <v>-0.198407128929108</v>
      </c>
    </row>
    <row r="65" spans="2:9">
      <c r="B65" s="69"/>
      <c r="C65">
        <v>10.34</v>
      </c>
      <c r="D65">
        <v>50.249</v>
      </c>
      <c r="E65">
        <v>10</v>
      </c>
      <c r="F65">
        <v>4</v>
      </c>
      <c r="G65" s="51">
        <f t="shared" si="20"/>
        <v>8.2310095723298</v>
      </c>
      <c r="H65" s="71"/>
      <c r="I65" s="70"/>
    </row>
    <row r="66" spans="1:9">
      <c r="A66" s="47"/>
      <c r="B66" s="47" t="s">
        <v>1325</v>
      </c>
      <c r="C66">
        <v>10.7</v>
      </c>
      <c r="D66">
        <v>10</v>
      </c>
      <c r="E66">
        <v>10.8</v>
      </c>
      <c r="F66">
        <v>4</v>
      </c>
      <c r="G66" s="51">
        <f t="shared" si="20"/>
        <v>39.6296296296296</v>
      </c>
      <c r="H66" s="71">
        <f t="shared" si="23"/>
        <v>39.703290651246</v>
      </c>
      <c r="I66" s="70">
        <f t="shared" si="24"/>
        <v>-0.371057513914663</v>
      </c>
    </row>
    <row r="67" spans="1:9">
      <c r="A67" s="47"/>
      <c r="B67" s="47"/>
      <c r="C67">
        <v>10.7</v>
      </c>
      <c r="D67">
        <v>10</v>
      </c>
      <c r="E67">
        <v>10.76</v>
      </c>
      <c r="F67">
        <v>4</v>
      </c>
      <c r="G67" s="51">
        <f t="shared" si="20"/>
        <v>39.7769516728625</v>
      </c>
      <c r="H67" s="71"/>
      <c r="I67" s="70"/>
    </row>
    <row r="68" spans="1:9">
      <c r="A68" s="47" t="s">
        <v>1325</v>
      </c>
      <c r="B68" s="69" t="s">
        <v>1352</v>
      </c>
      <c r="C68">
        <v>10.25</v>
      </c>
      <c r="D68">
        <v>10</v>
      </c>
      <c r="E68">
        <v>8.25</v>
      </c>
      <c r="F68">
        <v>4</v>
      </c>
      <c r="G68" s="51">
        <f>C68*200*F68/D68/E68</f>
        <v>99.3939393939394</v>
      </c>
      <c r="H68" s="71">
        <f t="shared" ref="H68" si="25">(G68+G69)/2</f>
        <v>99.6969696969697</v>
      </c>
      <c r="I68" s="70">
        <f t="shared" ref="I68" si="26">(G68-G69)*100/H68</f>
        <v>-0.607902735562327</v>
      </c>
    </row>
    <row r="69" spans="1:9">
      <c r="A69" s="47"/>
      <c r="B69" s="69"/>
      <c r="C69">
        <v>10.25</v>
      </c>
      <c r="D69">
        <v>10</v>
      </c>
      <c r="E69">
        <v>8.2</v>
      </c>
      <c r="F69">
        <v>4</v>
      </c>
      <c r="G69" s="51">
        <f>C69*200*F69/D69/E69</f>
        <v>100</v>
      </c>
      <c r="H69" s="71"/>
      <c r="I69" s="70"/>
    </row>
    <row r="70" spans="1:9">
      <c r="A70" s="47" t="s">
        <v>1353</v>
      </c>
      <c r="B70" s="69" t="s">
        <v>1354</v>
      </c>
      <c r="C70">
        <v>10.25</v>
      </c>
      <c r="D70">
        <v>5</v>
      </c>
      <c r="E70">
        <v>5.05</v>
      </c>
      <c r="F70">
        <v>2</v>
      </c>
      <c r="G70" s="51">
        <f t="shared" ref="G70:G71" si="27">C70*100*F70/D70/E70</f>
        <v>81.1881188118812</v>
      </c>
      <c r="H70" s="71">
        <f t="shared" ref="H70" si="28">(G70+G71)/2</f>
        <v>81.1881188118812</v>
      </c>
      <c r="I70" s="70">
        <f t="shared" ref="I70" si="29">(G70-G71)*100/H70</f>
        <v>0</v>
      </c>
    </row>
    <row r="71" spans="1:9">
      <c r="A71" s="47"/>
      <c r="B71" s="69"/>
      <c r="C71">
        <v>10.25</v>
      </c>
      <c r="D71">
        <v>5</v>
      </c>
      <c r="E71">
        <v>5.05</v>
      </c>
      <c r="F71">
        <v>2</v>
      </c>
      <c r="G71" s="51">
        <f t="shared" si="27"/>
        <v>81.1881188118812</v>
      </c>
      <c r="H71" s="71"/>
      <c r="I71" s="70"/>
    </row>
    <row r="72" spans="1:9">
      <c r="A72" s="47" t="s">
        <v>1355</v>
      </c>
      <c r="B72" s="69" t="s">
        <v>1356</v>
      </c>
      <c r="C72" s="65">
        <v>10.25</v>
      </c>
      <c r="D72" s="65">
        <v>50</v>
      </c>
      <c r="E72" s="65">
        <v>10.12</v>
      </c>
      <c r="F72" s="65">
        <v>4</v>
      </c>
      <c r="G72" s="192">
        <f>C72*250*F72/D72/E72</f>
        <v>20.2569169960474</v>
      </c>
      <c r="H72" s="224">
        <f t="shared" ref="H72:H76" si="30">(G72+G73)/2</f>
        <v>20.2569169960474</v>
      </c>
      <c r="I72" s="229">
        <f t="shared" ref="I72:I76" si="31">(G72-G73)*100/H72</f>
        <v>0</v>
      </c>
    </row>
    <row r="73" spans="1:9">
      <c r="A73" s="58"/>
      <c r="B73" s="216"/>
      <c r="C73" s="65">
        <v>10.25</v>
      </c>
      <c r="D73" s="65">
        <v>50</v>
      </c>
      <c r="E73" s="65">
        <v>10.12</v>
      </c>
      <c r="F73" s="65">
        <v>4</v>
      </c>
      <c r="G73" s="192">
        <f>C73*250*F73/D73/E73</f>
        <v>20.2569169960474</v>
      </c>
      <c r="H73" s="224"/>
      <c r="I73" s="229"/>
    </row>
    <row r="74" spans="1:9">
      <c r="A74" s="47" t="s">
        <v>1357</v>
      </c>
      <c r="B74" s="69" t="s">
        <v>1358</v>
      </c>
      <c r="C74" s="65">
        <v>10.25</v>
      </c>
      <c r="D74" s="65">
        <v>10</v>
      </c>
      <c r="E74" s="65">
        <v>10.42</v>
      </c>
      <c r="F74" s="65">
        <v>1</v>
      </c>
      <c r="G74" s="192">
        <f t="shared" ref="G74:G77" si="32">C74*200*F74/D74/E74</f>
        <v>19.6737044145873</v>
      </c>
      <c r="H74" s="224">
        <f t="shared" si="30"/>
        <v>19.6737044145873</v>
      </c>
      <c r="I74" s="229">
        <f t="shared" si="31"/>
        <v>0</v>
      </c>
    </row>
    <row r="75" spans="1:9">
      <c r="A75" s="58"/>
      <c r="B75" s="216"/>
      <c r="C75" s="65">
        <v>10.25</v>
      </c>
      <c r="D75" s="65">
        <v>10</v>
      </c>
      <c r="E75" s="65">
        <v>10.42</v>
      </c>
      <c r="F75" s="65">
        <v>1</v>
      </c>
      <c r="G75" s="192">
        <f t="shared" si="32"/>
        <v>19.6737044145873</v>
      </c>
      <c r="H75" s="224"/>
      <c r="I75" s="229"/>
    </row>
    <row r="76" spans="1:9">
      <c r="A76" s="47" t="s">
        <v>1359</v>
      </c>
      <c r="B76" s="69" t="s">
        <v>1360</v>
      </c>
      <c r="C76" s="65">
        <v>10.25</v>
      </c>
      <c r="D76" s="65">
        <v>10</v>
      </c>
      <c r="E76" s="65">
        <v>10.5</v>
      </c>
      <c r="F76" s="65">
        <v>1</v>
      </c>
      <c r="G76" s="192">
        <f t="shared" si="32"/>
        <v>19.5238095238095</v>
      </c>
      <c r="H76" s="224">
        <f t="shared" si="30"/>
        <v>19.5238095238095</v>
      </c>
      <c r="I76" s="229">
        <f t="shared" si="31"/>
        <v>0</v>
      </c>
    </row>
    <row r="77" spans="1:9">
      <c r="A77" s="58"/>
      <c r="B77" s="216"/>
      <c r="C77" s="65">
        <v>10.25</v>
      </c>
      <c r="D77" s="65">
        <v>10</v>
      </c>
      <c r="E77" s="65">
        <v>10.5</v>
      </c>
      <c r="F77" s="65">
        <v>1</v>
      </c>
      <c r="G77" s="192">
        <f t="shared" si="32"/>
        <v>19.5238095238095</v>
      </c>
      <c r="H77" s="224"/>
      <c r="I77" s="229"/>
    </row>
    <row r="78" spans="1:9">
      <c r="A78" s="47" t="s">
        <v>1361</v>
      </c>
      <c r="B78" s="69" t="s">
        <v>1362</v>
      </c>
      <c r="C78">
        <v>10.25</v>
      </c>
      <c r="D78">
        <v>5</v>
      </c>
      <c r="E78">
        <v>10</v>
      </c>
      <c r="F78">
        <v>4</v>
      </c>
      <c r="G78" s="51">
        <f t="shared" ref="G78:G83" si="33">C78*100*F78/D78/E78</f>
        <v>82</v>
      </c>
      <c r="H78" s="71">
        <f t="shared" ref="H78:H82" si="34">(G78+G79)/2</f>
        <v>82</v>
      </c>
      <c r="I78" s="70">
        <f t="shared" ref="I78:I82" si="35">(G78-G79)*100/H78</f>
        <v>0</v>
      </c>
    </row>
    <row r="79" spans="1:9">
      <c r="A79" s="47"/>
      <c r="B79" s="69"/>
      <c r="C79">
        <v>10.25</v>
      </c>
      <c r="D79">
        <v>5</v>
      </c>
      <c r="E79">
        <v>10</v>
      </c>
      <c r="F79">
        <v>4</v>
      </c>
      <c r="G79" s="51">
        <f t="shared" si="33"/>
        <v>82</v>
      </c>
      <c r="H79" s="71"/>
      <c r="I79" s="70"/>
    </row>
    <row r="80" spans="1:9">
      <c r="A80" s="185" t="s">
        <v>1363</v>
      </c>
      <c r="B80" s="225" t="s">
        <v>1364</v>
      </c>
      <c r="C80">
        <v>21.45</v>
      </c>
      <c r="D80">
        <v>5</v>
      </c>
      <c r="E80">
        <v>12</v>
      </c>
      <c r="F80">
        <v>1</v>
      </c>
      <c r="G80" s="51">
        <f t="shared" si="33"/>
        <v>35.75</v>
      </c>
      <c r="H80" s="71">
        <f t="shared" si="34"/>
        <v>35.75</v>
      </c>
      <c r="I80" s="70">
        <f t="shared" si="35"/>
        <v>0</v>
      </c>
    </row>
    <row r="81" spans="1:9">
      <c r="A81" s="185"/>
      <c r="B81" s="225"/>
      <c r="C81">
        <v>21.45</v>
      </c>
      <c r="D81">
        <v>5</v>
      </c>
      <c r="E81">
        <v>12</v>
      </c>
      <c r="F81">
        <v>1</v>
      </c>
      <c r="G81" s="51">
        <f t="shared" si="33"/>
        <v>35.75</v>
      </c>
      <c r="H81" s="71"/>
      <c r="I81" s="70"/>
    </row>
    <row r="82" spans="3:9">
      <c r="C82" s="65">
        <v>21.45</v>
      </c>
      <c r="D82" s="65">
        <v>2</v>
      </c>
      <c r="E82" s="65">
        <v>31</v>
      </c>
      <c r="F82" s="65">
        <v>1</v>
      </c>
      <c r="G82" s="192">
        <f t="shared" si="33"/>
        <v>34.5967741935484</v>
      </c>
      <c r="H82" s="224">
        <f t="shared" si="34"/>
        <v>34.5967741935484</v>
      </c>
      <c r="I82" s="229">
        <f t="shared" si="35"/>
        <v>0</v>
      </c>
    </row>
    <row r="83" spans="3:9">
      <c r="C83" s="65">
        <v>21.45</v>
      </c>
      <c r="D83" s="65">
        <v>2</v>
      </c>
      <c r="E83" s="65">
        <v>31</v>
      </c>
      <c r="F83" s="65">
        <v>1</v>
      </c>
      <c r="G83" s="192">
        <f t="shared" si="33"/>
        <v>34.5967741935484</v>
      </c>
      <c r="H83" s="224"/>
      <c r="I83" s="229"/>
    </row>
    <row r="84" spans="3:9">
      <c r="C84" s="141">
        <v>10.5</v>
      </c>
      <c r="D84" s="141">
        <v>5</v>
      </c>
      <c r="E84" s="141">
        <v>9.45</v>
      </c>
      <c r="F84" s="141">
        <v>4</v>
      </c>
      <c r="G84" s="189">
        <f t="shared" ref="G84:G95" si="36">C84*100*F84/D84/E84</f>
        <v>88.8888888888889</v>
      </c>
      <c r="H84" s="226">
        <f t="shared" ref="H84" si="37">(G84+G85)/2</f>
        <v>88.9831507010722</v>
      </c>
      <c r="I84" s="230">
        <f t="shared" ref="I84" si="38">(G84-G85)*100/H84</f>
        <v>-0.211864406779648</v>
      </c>
    </row>
    <row r="85" spans="3:9">
      <c r="C85" s="141">
        <v>10.5</v>
      </c>
      <c r="D85" s="141">
        <v>5</v>
      </c>
      <c r="E85" s="141">
        <v>9.43</v>
      </c>
      <c r="F85" s="141">
        <v>4</v>
      </c>
      <c r="G85" s="189">
        <f t="shared" si="36"/>
        <v>89.0774125132556</v>
      </c>
      <c r="H85" s="226"/>
      <c r="I85" s="230"/>
    </row>
    <row r="86" ht="22.9" customHeight="1" spans="1:9">
      <c r="A86" s="47" t="s">
        <v>1353</v>
      </c>
      <c r="B86" s="69" t="s">
        <v>1365</v>
      </c>
      <c r="C86">
        <v>10.2</v>
      </c>
      <c r="D86">
        <v>2</v>
      </c>
      <c r="E86">
        <v>5.9</v>
      </c>
      <c r="F86">
        <v>1</v>
      </c>
      <c r="G86" s="51">
        <f t="shared" si="36"/>
        <v>86.4406779661017</v>
      </c>
      <c r="H86" s="71">
        <f t="shared" ref="H86:H90" si="39">(G86+G87)/2</f>
        <v>86.2946633073752</v>
      </c>
      <c r="I86" s="70">
        <f t="shared" ref="I86:I90" si="40">(G86-G87)*100/H86</f>
        <v>0.338409475465293</v>
      </c>
    </row>
    <row r="87" spans="1:9">
      <c r="A87" s="47"/>
      <c r="B87" s="69"/>
      <c r="C87">
        <v>10.2</v>
      </c>
      <c r="D87">
        <v>2</v>
      </c>
      <c r="E87">
        <v>5.92</v>
      </c>
      <c r="F87">
        <v>1</v>
      </c>
      <c r="G87" s="51">
        <f t="shared" si="36"/>
        <v>86.1486486486486</v>
      </c>
      <c r="H87" s="71"/>
      <c r="I87" s="70"/>
    </row>
    <row r="88" ht="22.9" customHeight="1" spans="1:9">
      <c r="A88" s="47" t="s">
        <v>1366</v>
      </c>
      <c r="B88" s="69" t="s">
        <v>1367</v>
      </c>
      <c r="C88">
        <v>10.2</v>
      </c>
      <c r="D88">
        <v>5</v>
      </c>
      <c r="E88">
        <v>11.5</v>
      </c>
      <c r="F88">
        <v>1</v>
      </c>
      <c r="G88" s="51">
        <f t="shared" si="36"/>
        <v>17.7391304347826</v>
      </c>
      <c r="H88" s="71">
        <f t="shared" si="39"/>
        <v>17.7391304347826</v>
      </c>
      <c r="I88" s="70">
        <f t="shared" si="40"/>
        <v>0</v>
      </c>
    </row>
    <row r="89" spans="1:9">
      <c r="A89" s="47"/>
      <c r="B89" s="69"/>
      <c r="C89">
        <v>10.2</v>
      </c>
      <c r="D89">
        <v>5</v>
      </c>
      <c r="E89">
        <v>11.5</v>
      </c>
      <c r="F89">
        <v>1</v>
      </c>
      <c r="G89" s="51">
        <f t="shared" si="36"/>
        <v>17.7391304347826</v>
      </c>
      <c r="H89" s="71"/>
      <c r="I89" s="70"/>
    </row>
    <row r="90" s="65" customFormat="1" ht="22.9" customHeight="1" spans="1:9">
      <c r="A90" s="58" t="s">
        <v>1368</v>
      </c>
      <c r="B90" s="216" t="s">
        <v>1369</v>
      </c>
      <c r="C90" s="65">
        <v>10.25</v>
      </c>
      <c r="D90" s="65">
        <v>2</v>
      </c>
      <c r="E90" s="65">
        <v>11.05</v>
      </c>
      <c r="F90" s="65">
        <v>1</v>
      </c>
      <c r="G90" s="192">
        <f t="shared" si="36"/>
        <v>46.3800904977376</v>
      </c>
      <c r="H90" s="224">
        <f t="shared" si="39"/>
        <v>46.3800904977376</v>
      </c>
      <c r="I90" s="229">
        <f t="shared" si="40"/>
        <v>0</v>
      </c>
    </row>
    <row r="91" s="65" customFormat="1" spans="1:9">
      <c r="A91" s="58"/>
      <c r="B91" s="216"/>
      <c r="C91" s="65">
        <v>10.25</v>
      </c>
      <c r="D91" s="65">
        <v>2</v>
      </c>
      <c r="E91" s="65">
        <v>11.05</v>
      </c>
      <c r="F91" s="65">
        <v>1</v>
      </c>
      <c r="G91" s="192">
        <f t="shared" si="36"/>
        <v>46.3800904977376</v>
      </c>
      <c r="H91" s="224"/>
      <c r="I91" s="229"/>
    </row>
    <row r="92" s="65" customFormat="1" ht="22.9" customHeight="1" spans="1:9">
      <c r="A92" s="58" t="s">
        <v>1370</v>
      </c>
      <c r="B92" s="216" t="s">
        <v>1371</v>
      </c>
      <c r="C92" s="65">
        <v>10.5</v>
      </c>
      <c r="D92" s="65">
        <v>2</v>
      </c>
      <c r="E92" s="65">
        <v>8.22</v>
      </c>
      <c r="F92" s="65">
        <v>2</v>
      </c>
      <c r="G92" s="192">
        <f t="shared" si="36"/>
        <v>127.737226277372</v>
      </c>
      <c r="H92" s="224">
        <f t="shared" ref="H92:H96" si="41">(G92+G93)/2</f>
        <v>127.737226277372</v>
      </c>
      <c r="I92" s="229">
        <f t="shared" ref="I92:I96" si="42">(G92-G93)*100/H92</f>
        <v>0</v>
      </c>
    </row>
    <row r="93" s="65" customFormat="1" spans="1:9">
      <c r="A93" s="58"/>
      <c r="B93" s="216"/>
      <c r="C93" s="65">
        <v>10.5</v>
      </c>
      <c r="D93" s="65">
        <v>2</v>
      </c>
      <c r="E93" s="65">
        <v>8.22</v>
      </c>
      <c r="F93" s="65">
        <v>2</v>
      </c>
      <c r="G93" s="192">
        <f t="shared" si="36"/>
        <v>127.737226277372</v>
      </c>
      <c r="H93" s="224"/>
      <c r="I93" s="229"/>
    </row>
    <row r="94" s="65" customFormat="1" ht="22.9" customHeight="1" spans="1:9">
      <c r="A94" s="58" t="s">
        <v>1353</v>
      </c>
      <c r="B94" s="216" t="s">
        <v>1372</v>
      </c>
      <c r="C94" s="65">
        <v>10.32</v>
      </c>
      <c r="D94" s="65">
        <v>2</v>
      </c>
      <c r="E94" s="65">
        <v>6.4</v>
      </c>
      <c r="F94" s="65">
        <v>1</v>
      </c>
      <c r="G94" s="192">
        <f t="shared" si="36"/>
        <v>80.625</v>
      </c>
      <c r="H94" s="224">
        <f t="shared" si="41"/>
        <v>80.7513714733542</v>
      </c>
      <c r="I94" s="229">
        <f t="shared" si="42"/>
        <v>-0.312989045383414</v>
      </c>
    </row>
    <row r="95" s="65" customFormat="1" spans="1:9">
      <c r="A95" s="58"/>
      <c r="B95" s="216"/>
      <c r="C95" s="65">
        <v>10.32</v>
      </c>
      <c r="D95" s="65">
        <v>2</v>
      </c>
      <c r="E95" s="65">
        <v>6.38</v>
      </c>
      <c r="F95" s="65">
        <v>1</v>
      </c>
      <c r="G95" s="192">
        <f t="shared" si="36"/>
        <v>80.8777429467085</v>
      </c>
      <c r="H95" s="224"/>
      <c r="I95" s="229"/>
    </row>
    <row r="96" s="65" customFormat="1" ht="22.9" customHeight="1" spans="1:9">
      <c r="A96" s="58" t="s">
        <v>1373</v>
      </c>
      <c r="B96" s="216" t="s">
        <v>1374</v>
      </c>
      <c r="C96" s="65">
        <v>10.6</v>
      </c>
      <c r="D96" s="65">
        <v>2</v>
      </c>
      <c r="E96" s="65">
        <v>11.15</v>
      </c>
      <c r="F96" s="65">
        <v>1</v>
      </c>
      <c r="G96" s="192">
        <f t="shared" ref="G96:G97" si="43">C96*100*F96/D96/E96</f>
        <v>47.5336322869955</v>
      </c>
      <c r="H96" s="224">
        <f t="shared" si="41"/>
        <v>47.5123358567594</v>
      </c>
      <c r="I96" s="229">
        <f t="shared" si="42"/>
        <v>0.0896458987001357</v>
      </c>
    </row>
    <row r="97" s="65" customFormat="1" spans="1:9">
      <c r="A97" s="58"/>
      <c r="B97" s="216"/>
      <c r="C97" s="65">
        <v>10.6</v>
      </c>
      <c r="D97" s="65">
        <v>2</v>
      </c>
      <c r="E97" s="65">
        <v>11.16</v>
      </c>
      <c r="F97" s="65">
        <v>1</v>
      </c>
      <c r="G97" s="192">
        <f t="shared" si="43"/>
        <v>47.4910394265233</v>
      </c>
      <c r="H97" s="224"/>
      <c r="I97" s="229"/>
    </row>
    <row r="98" s="65" customFormat="1" ht="22.9" customHeight="1" spans="1:9">
      <c r="A98" s="58" t="s">
        <v>1375</v>
      </c>
      <c r="B98" s="216" t="s">
        <v>1376</v>
      </c>
      <c r="C98" s="65">
        <v>10.55</v>
      </c>
      <c r="D98" s="65">
        <v>2</v>
      </c>
      <c r="E98" s="65">
        <v>6.6</v>
      </c>
      <c r="F98" s="65">
        <v>1</v>
      </c>
      <c r="G98" s="192">
        <f t="shared" ref="G98:G99" si="44">C98*100*F98/D98/E98</f>
        <v>79.9242424242424</v>
      </c>
      <c r="H98" s="224">
        <f t="shared" ref="H98" si="45">(G98+G99)/2</f>
        <v>79.9242424242424</v>
      </c>
      <c r="I98" s="229">
        <f t="shared" ref="I98" si="46">(G98-G99)*100/H98</f>
        <v>0</v>
      </c>
    </row>
    <row r="99" s="65" customFormat="1" spans="1:9">
      <c r="A99" s="58"/>
      <c r="B99" s="216"/>
      <c r="C99" s="65">
        <v>10.55</v>
      </c>
      <c r="D99" s="65">
        <v>2</v>
      </c>
      <c r="E99" s="65">
        <v>6.6</v>
      </c>
      <c r="F99" s="65">
        <v>1</v>
      </c>
      <c r="G99" s="192">
        <f t="shared" si="44"/>
        <v>79.9242424242424</v>
      </c>
      <c r="H99" s="224"/>
      <c r="I99" s="229"/>
    </row>
    <row r="100" s="65" customFormat="1" ht="22.9" customHeight="1" spans="1:9">
      <c r="A100" s="227" t="s">
        <v>1377</v>
      </c>
      <c r="B100" s="228" t="s">
        <v>1378</v>
      </c>
      <c r="C100" s="65">
        <v>10.55</v>
      </c>
      <c r="D100" s="65">
        <v>2</v>
      </c>
      <c r="E100" s="65">
        <v>6.4</v>
      </c>
      <c r="F100" s="65">
        <v>1</v>
      </c>
      <c r="G100" s="192">
        <f t="shared" ref="G100:G101" si="47">C100*100*F100/D100/E100</f>
        <v>82.421875</v>
      </c>
      <c r="H100" s="224">
        <f t="shared" ref="H100" si="48">(G100+G101)/2</f>
        <v>82.421875</v>
      </c>
      <c r="I100" s="229">
        <f t="shared" ref="I100" si="49">(G100-G101)*100/H100</f>
        <v>0</v>
      </c>
    </row>
    <row r="101" s="65" customFormat="1" spans="1:9">
      <c r="A101" s="58"/>
      <c r="B101" s="216"/>
      <c r="C101" s="65">
        <v>10.55</v>
      </c>
      <c r="D101" s="65">
        <v>2</v>
      </c>
      <c r="E101" s="65">
        <v>6.4</v>
      </c>
      <c r="F101" s="65">
        <v>1</v>
      </c>
      <c r="G101" s="192">
        <f t="shared" si="47"/>
        <v>82.421875</v>
      </c>
      <c r="H101" s="224"/>
      <c r="I101" s="229"/>
    </row>
    <row r="102" s="65" customFormat="1" ht="22.9" customHeight="1" spans="1:9">
      <c r="A102" s="227" t="s">
        <v>1377</v>
      </c>
      <c r="B102" s="228" t="s">
        <v>1379</v>
      </c>
      <c r="C102" s="65">
        <v>10.55</v>
      </c>
      <c r="D102" s="65">
        <v>2</v>
      </c>
      <c r="E102" s="65">
        <v>6.4</v>
      </c>
      <c r="F102" s="65">
        <v>1</v>
      </c>
      <c r="G102" s="192">
        <f t="shared" ref="G102:G103" si="50">C102*100*F102/D102/E102</f>
        <v>82.421875</v>
      </c>
      <c r="H102" s="224">
        <f t="shared" ref="H102" si="51">(G102+G103)/2</f>
        <v>82.421875</v>
      </c>
      <c r="I102" s="229">
        <f t="shared" ref="I102" si="52">(G102-G103)*100/H102</f>
        <v>0</v>
      </c>
    </row>
    <row r="103" s="65" customFormat="1" spans="1:9">
      <c r="A103" s="58"/>
      <c r="B103" s="216"/>
      <c r="C103" s="65">
        <v>10.55</v>
      </c>
      <c r="D103" s="65">
        <v>2</v>
      </c>
      <c r="E103" s="65">
        <v>6.4</v>
      </c>
      <c r="F103" s="65">
        <v>1</v>
      </c>
      <c r="G103" s="192">
        <f t="shared" si="50"/>
        <v>82.421875</v>
      </c>
      <c r="H103" s="224"/>
      <c r="I103" s="229"/>
    </row>
    <row r="104" s="65" customFormat="1" ht="22.9" customHeight="1" spans="1:9">
      <c r="A104" s="227" t="s">
        <v>1377</v>
      </c>
      <c r="B104" s="228" t="s">
        <v>1380</v>
      </c>
      <c r="C104" s="65">
        <v>10.55</v>
      </c>
      <c r="D104" s="65">
        <v>2</v>
      </c>
      <c r="E104" s="65">
        <v>6.57</v>
      </c>
      <c r="F104" s="65">
        <v>1</v>
      </c>
      <c r="G104" s="192">
        <f t="shared" ref="G104:G105" si="53">C104*100*F104/D104/E104</f>
        <v>80.2891933028919</v>
      </c>
      <c r="H104" s="224">
        <f t="shared" ref="H104" si="54">(G104+G105)/2</f>
        <v>80.2891933028919</v>
      </c>
      <c r="I104" s="229">
        <f t="shared" ref="I104" si="55">(G104-G105)*100/H104</f>
        <v>0</v>
      </c>
    </row>
    <row r="105" s="65" customFormat="1" spans="1:9">
      <c r="A105" s="58"/>
      <c r="B105" s="216"/>
      <c r="C105" s="65">
        <v>10.55</v>
      </c>
      <c r="D105" s="65">
        <v>2</v>
      </c>
      <c r="E105" s="65">
        <v>6.57</v>
      </c>
      <c r="F105" s="65">
        <v>1</v>
      </c>
      <c r="G105" s="192">
        <f t="shared" si="53"/>
        <v>80.2891933028919</v>
      </c>
      <c r="H105" s="224"/>
      <c r="I105" s="229"/>
    </row>
    <row r="106" s="65" customFormat="1" ht="22.9" customHeight="1" spans="1:9">
      <c r="A106" s="227" t="s">
        <v>1377</v>
      </c>
      <c r="B106" s="228" t="s">
        <v>1381</v>
      </c>
      <c r="C106" s="65">
        <v>10.35</v>
      </c>
      <c r="D106" s="65">
        <v>2</v>
      </c>
      <c r="E106" s="65">
        <v>6.25</v>
      </c>
      <c r="F106" s="65">
        <v>1</v>
      </c>
      <c r="G106" s="192">
        <f t="shared" ref="G106:G107" si="56">C106*100*F106/D106/E106</f>
        <v>82.8</v>
      </c>
      <c r="H106" s="224">
        <f t="shared" ref="H106" si="57">(G106+G107)/2</f>
        <v>82.8</v>
      </c>
      <c r="I106" s="229">
        <f t="shared" ref="I106" si="58">(G106-G107)*100/H106</f>
        <v>0</v>
      </c>
    </row>
    <row r="107" s="65" customFormat="1" spans="1:9">
      <c r="A107" s="58"/>
      <c r="B107" s="216"/>
      <c r="C107" s="65">
        <v>10.35</v>
      </c>
      <c r="D107" s="65">
        <v>2</v>
      </c>
      <c r="E107" s="65">
        <v>6.25</v>
      </c>
      <c r="F107" s="65">
        <v>1</v>
      </c>
      <c r="G107" s="192">
        <f t="shared" si="56"/>
        <v>82.8</v>
      </c>
      <c r="H107" s="224"/>
      <c r="I107" s="229"/>
    </row>
    <row r="108" s="65" customFormat="1" ht="22.9" customHeight="1" spans="1:9">
      <c r="A108" s="227" t="s">
        <v>1377</v>
      </c>
      <c r="B108" s="228" t="s">
        <v>1381</v>
      </c>
      <c r="C108" s="65">
        <v>10.45</v>
      </c>
      <c r="D108" s="65">
        <v>2</v>
      </c>
      <c r="E108" s="65">
        <v>6.3</v>
      </c>
      <c r="F108" s="65">
        <v>1</v>
      </c>
      <c r="G108" s="192">
        <f t="shared" ref="G108:G109" si="59">C108*100*F108/D108/E108</f>
        <v>82.9365079365079</v>
      </c>
      <c r="H108" s="224">
        <f t="shared" ref="H108" si="60">(G108+G109)/2</f>
        <v>82.9365079365079</v>
      </c>
      <c r="I108" s="229">
        <f t="shared" ref="I108" si="61">(G108-G109)*100/H108</f>
        <v>0</v>
      </c>
    </row>
    <row r="109" s="65" customFormat="1" spans="1:9">
      <c r="A109" s="58"/>
      <c r="B109" s="216"/>
      <c r="C109" s="65">
        <v>10.45</v>
      </c>
      <c r="D109" s="65">
        <v>2</v>
      </c>
      <c r="E109" s="65">
        <v>6.3</v>
      </c>
      <c r="F109" s="65">
        <v>1</v>
      </c>
      <c r="G109" s="192">
        <f t="shared" si="59"/>
        <v>82.9365079365079</v>
      </c>
      <c r="H109" s="224"/>
      <c r="I109" s="229"/>
    </row>
    <row r="110" s="65" customFormat="1" ht="22.9" customHeight="1" spans="1:9">
      <c r="A110" s="227" t="s">
        <v>1377</v>
      </c>
      <c r="B110" s="228" t="s">
        <v>1382</v>
      </c>
      <c r="C110" s="65">
        <v>10.3</v>
      </c>
      <c r="D110" s="65">
        <v>2</v>
      </c>
      <c r="E110" s="65">
        <v>6.05</v>
      </c>
      <c r="F110" s="65">
        <v>1</v>
      </c>
      <c r="G110" s="192">
        <f t="shared" ref="G110:G111" si="62">C110*100*F110/D110/E110</f>
        <v>85.1239669421488</v>
      </c>
      <c r="H110" s="224">
        <f t="shared" ref="H110" si="63">(G110+G111)/2</f>
        <v>84.7750982251727</v>
      </c>
      <c r="I110" s="229">
        <f t="shared" ref="I110" si="64">(G110-G111)*100/H110</f>
        <v>0.823045267489716</v>
      </c>
    </row>
    <row r="111" s="65" customFormat="1" spans="1:9">
      <c r="A111" s="58"/>
      <c r="B111" s="216"/>
      <c r="C111" s="65">
        <v>10.3</v>
      </c>
      <c r="D111" s="65">
        <v>2</v>
      </c>
      <c r="E111" s="65">
        <v>6.1</v>
      </c>
      <c r="F111" s="65">
        <v>1</v>
      </c>
      <c r="G111" s="192">
        <f t="shared" si="62"/>
        <v>84.4262295081967</v>
      </c>
      <c r="H111" s="224"/>
      <c r="I111" s="229"/>
    </row>
    <row r="112" s="65" customFormat="1" ht="22.9" customHeight="1" spans="1:9">
      <c r="A112" s="227" t="s">
        <v>1383</v>
      </c>
      <c r="B112" s="228" t="s">
        <v>1384</v>
      </c>
      <c r="C112" s="65">
        <v>10.6</v>
      </c>
      <c r="D112" s="65">
        <v>10</v>
      </c>
      <c r="E112" s="65">
        <v>5.75</v>
      </c>
      <c r="F112" s="65">
        <v>1</v>
      </c>
      <c r="G112" s="192">
        <f t="shared" ref="G112:G113" si="65">C112*100*F112/D112/E112</f>
        <v>18.4347826086957</v>
      </c>
      <c r="H112" s="224">
        <f t="shared" ref="H112" si="66">(G112+G113)/2</f>
        <v>18.4669550041733</v>
      </c>
      <c r="I112" s="229">
        <f t="shared" ref="I112" si="67">(G112-G113)*100/H112</f>
        <v>-0.348432055749124</v>
      </c>
    </row>
    <row r="113" s="65" customFormat="1" spans="1:9">
      <c r="A113" s="58"/>
      <c r="B113" s="216"/>
      <c r="C113" s="65">
        <v>10.6</v>
      </c>
      <c r="D113" s="65">
        <v>10</v>
      </c>
      <c r="E113" s="65">
        <v>5.73</v>
      </c>
      <c r="F113" s="65">
        <v>1</v>
      </c>
      <c r="G113" s="192">
        <f t="shared" si="65"/>
        <v>18.499127399651</v>
      </c>
      <c r="H113" s="224"/>
      <c r="I113" s="229"/>
    </row>
    <row r="114" s="65" customFormat="1" ht="22.9" customHeight="1" spans="1:9">
      <c r="A114" s="227" t="s">
        <v>1385</v>
      </c>
      <c r="B114" s="228" t="s">
        <v>1386</v>
      </c>
      <c r="C114" s="65">
        <v>10.6</v>
      </c>
      <c r="D114" s="65">
        <v>10</v>
      </c>
      <c r="E114" s="65">
        <v>5.55</v>
      </c>
      <c r="F114" s="65">
        <v>1</v>
      </c>
      <c r="G114" s="192">
        <f t="shared" ref="G114:G117" si="68">C114*100*F114/D114/E114</f>
        <v>19.0990990990991</v>
      </c>
      <c r="H114" s="224">
        <f t="shared" ref="H114" si="69">(G114+G115)/2</f>
        <v>19.081923650269</v>
      </c>
      <c r="I114" s="229">
        <f t="shared" ref="I114" si="70">(G114-G115)*100/H114</f>
        <v>0.180018001800179</v>
      </c>
    </row>
    <row r="115" s="65" customFormat="1" spans="1:9">
      <c r="A115" s="58"/>
      <c r="B115" s="216"/>
      <c r="C115" s="65">
        <v>10.6</v>
      </c>
      <c r="D115" s="65">
        <v>10</v>
      </c>
      <c r="E115" s="65">
        <v>5.56</v>
      </c>
      <c r="F115" s="65">
        <v>1</v>
      </c>
      <c r="G115" s="192">
        <f t="shared" si="68"/>
        <v>19.0647482014388</v>
      </c>
      <c r="H115" s="224"/>
      <c r="I115" s="229"/>
    </row>
    <row r="116" s="65" customFormat="1" ht="22.9" customHeight="1" spans="1:9">
      <c r="A116" s="227" t="s">
        <v>1387</v>
      </c>
      <c r="B116" s="228" t="s">
        <v>1388</v>
      </c>
      <c r="C116" s="65">
        <v>11</v>
      </c>
      <c r="D116" s="65">
        <v>10</v>
      </c>
      <c r="E116" s="65">
        <v>8.35</v>
      </c>
      <c r="F116" s="65">
        <v>1</v>
      </c>
      <c r="G116" s="192">
        <f t="shared" si="68"/>
        <v>13.1736526946108</v>
      </c>
      <c r="H116" s="224">
        <f t="shared" ref="H116" si="71">(G116+G117)/2</f>
        <v>13.1657737157264</v>
      </c>
      <c r="I116" s="229">
        <f t="shared" ref="I116" si="72">(G116-G117)*100/H116</f>
        <v>0.119688809096342</v>
      </c>
    </row>
    <row r="117" s="65" customFormat="1" spans="1:9">
      <c r="A117" s="58"/>
      <c r="B117" s="216"/>
      <c r="C117" s="65">
        <v>11</v>
      </c>
      <c r="D117" s="65">
        <v>10</v>
      </c>
      <c r="E117" s="65">
        <v>8.36</v>
      </c>
      <c r="F117" s="65">
        <v>1</v>
      </c>
      <c r="G117" s="192">
        <f t="shared" si="68"/>
        <v>13.1578947368421</v>
      </c>
      <c r="H117" s="224"/>
      <c r="I117" s="229"/>
    </row>
    <row r="118" s="65" customFormat="1" ht="22.9" customHeight="1" spans="1:9">
      <c r="A118" s="227" t="s">
        <v>1353</v>
      </c>
      <c r="B118" s="228" t="s">
        <v>1389</v>
      </c>
      <c r="C118" s="65">
        <v>11</v>
      </c>
      <c r="D118" s="65">
        <v>2</v>
      </c>
      <c r="E118" s="65">
        <v>6.35</v>
      </c>
      <c r="F118" s="65">
        <v>1</v>
      </c>
      <c r="G118" s="192">
        <f t="shared" ref="G118:G119" si="73">C118*100*F118/D118/E118</f>
        <v>86.6141732283465</v>
      </c>
      <c r="H118" s="224">
        <f t="shared" ref="H118" si="74">(G118+G119)/2</f>
        <v>86.4105348900353</v>
      </c>
      <c r="I118" s="229">
        <f t="shared" ref="I118" si="75">(G118-G119)*100/H118</f>
        <v>0.471327572662998</v>
      </c>
    </row>
    <row r="119" s="65" customFormat="1" spans="1:9">
      <c r="A119" s="58"/>
      <c r="B119" s="216"/>
      <c r="C119" s="65">
        <v>11</v>
      </c>
      <c r="D119" s="65">
        <v>2</v>
      </c>
      <c r="E119" s="65">
        <v>6.38</v>
      </c>
      <c r="F119" s="65">
        <v>1</v>
      </c>
      <c r="G119" s="192">
        <f t="shared" si="73"/>
        <v>86.2068965517241</v>
      </c>
      <c r="H119" s="224"/>
      <c r="I119" s="229"/>
    </row>
    <row r="120" s="65" customFormat="1" ht="22.9" customHeight="1" spans="1:9">
      <c r="A120" s="227" t="s">
        <v>1353</v>
      </c>
      <c r="B120" s="228" t="s">
        <v>1390</v>
      </c>
      <c r="C120" s="65">
        <v>10.65</v>
      </c>
      <c r="D120" s="65">
        <v>5</v>
      </c>
      <c r="E120" s="65">
        <v>5.7</v>
      </c>
      <c r="F120" s="65">
        <v>2</v>
      </c>
      <c r="G120" s="192">
        <f t="shared" ref="G120:G123" si="76">C120*100*F120/D120/E120</f>
        <v>74.7368421052632</v>
      </c>
      <c r="H120" s="224">
        <f t="shared" ref="H120" si="77">(G120+G121)/2</f>
        <v>74.7368421052632</v>
      </c>
      <c r="I120" s="229">
        <f t="shared" ref="I120" si="78">(G120-G121)*100/H120</f>
        <v>0</v>
      </c>
    </row>
    <row r="121" s="65" customFormat="1" spans="1:9">
      <c r="A121" s="58"/>
      <c r="B121" s="216"/>
      <c r="C121" s="65">
        <v>10.65</v>
      </c>
      <c r="D121" s="65">
        <v>5</v>
      </c>
      <c r="E121" s="65">
        <v>5.7</v>
      </c>
      <c r="F121" s="65">
        <v>2</v>
      </c>
      <c r="G121" s="192">
        <f t="shared" si="76"/>
        <v>74.7368421052632</v>
      </c>
      <c r="H121" s="224"/>
      <c r="I121" s="229"/>
    </row>
    <row r="122" s="65" customFormat="1" ht="22.9" customHeight="1" spans="1:9">
      <c r="A122" s="227" t="s">
        <v>1353</v>
      </c>
      <c r="B122" s="228" t="s">
        <v>1390</v>
      </c>
      <c r="C122" s="65">
        <v>10.65</v>
      </c>
      <c r="D122" s="65">
        <v>5</v>
      </c>
      <c r="E122" s="65">
        <v>5.4</v>
      </c>
      <c r="F122" s="65">
        <v>2</v>
      </c>
      <c r="G122" s="192">
        <f t="shared" si="76"/>
        <v>78.8888888888889</v>
      </c>
      <c r="H122" s="224">
        <f t="shared" ref="H122" si="79">(G122+G123)/2</f>
        <v>78.8888888888889</v>
      </c>
      <c r="I122" s="229">
        <f t="shared" ref="I122" si="80">(G122-G123)*100/H122</f>
        <v>0</v>
      </c>
    </row>
    <row r="123" s="65" customFormat="1" spans="1:9">
      <c r="A123" s="58"/>
      <c r="B123" s="216"/>
      <c r="C123" s="65">
        <v>10.65</v>
      </c>
      <c r="D123" s="65">
        <v>5</v>
      </c>
      <c r="E123" s="65">
        <v>5.4</v>
      </c>
      <c r="F123" s="65">
        <v>2</v>
      </c>
      <c r="G123" s="192">
        <f t="shared" si="76"/>
        <v>78.8888888888889</v>
      </c>
      <c r="H123" s="224"/>
      <c r="I123" s="229"/>
    </row>
    <row r="125" s="65" customFormat="1" ht="22.9" customHeight="1" spans="1:9">
      <c r="A125" s="227" t="s">
        <v>1391</v>
      </c>
      <c r="B125" s="228" t="s">
        <v>1392</v>
      </c>
      <c r="C125" s="65">
        <v>10.63</v>
      </c>
      <c r="D125" s="65">
        <v>5</v>
      </c>
      <c r="E125" s="65">
        <v>10.05</v>
      </c>
      <c r="F125" s="65">
        <v>1</v>
      </c>
      <c r="G125" s="192">
        <f t="shared" ref="G125:G126" si="81">C125*100*F125/D125/E125</f>
        <v>21.1542288557214</v>
      </c>
      <c r="H125" s="224">
        <f t="shared" ref="H125" si="82">(G125+G126)/2</f>
        <v>21.1542288557214</v>
      </c>
      <c r="I125" s="229">
        <f t="shared" ref="I125" si="83">(G125-G126)*100/H125</f>
        <v>0</v>
      </c>
    </row>
    <row r="126" s="65" customFormat="1" spans="1:9">
      <c r="A126" s="58"/>
      <c r="B126" s="216"/>
      <c r="C126" s="65">
        <v>10.63</v>
      </c>
      <c r="D126" s="65">
        <v>5</v>
      </c>
      <c r="E126" s="65">
        <v>10.05</v>
      </c>
      <c r="F126" s="65">
        <v>1</v>
      </c>
      <c r="G126" s="192">
        <f t="shared" si="81"/>
        <v>21.1542288557214</v>
      </c>
      <c r="H126" s="224"/>
      <c r="I126" s="229"/>
    </row>
    <row r="128" s="65" customFormat="1" ht="22.9" customHeight="1" spans="1:9">
      <c r="A128" s="227" t="s">
        <v>1330</v>
      </c>
      <c r="B128" s="228" t="s">
        <v>1393</v>
      </c>
      <c r="C128" s="65">
        <v>10.72</v>
      </c>
      <c r="D128" s="65">
        <v>5</v>
      </c>
      <c r="E128" s="65">
        <v>5.4</v>
      </c>
      <c r="F128" s="65">
        <v>1</v>
      </c>
      <c r="G128" s="192">
        <f t="shared" ref="G128:G129" si="84">C128*100*F128/D128/E128</f>
        <v>39.7037037037037</v>
      </c>
      <c r="H128" s="224">
        <f t="shared" ref="H128" si="85">(G128+G129)/2</f>
        <v>39.7037037037037</v>
      </c>
      <c r="I128" s="229">
        <f t="shared" ref="I128" si="86">(G128-G129)*100/H128</f>
        <v>0</v>
      </c>
    </row>
    <row r="129" s="65" customFormat="1" spans="1:9">
      <c r="A129" s="58"/>
      <c r="B129" s="216"/>
      <c r="C129" s="65">
        <v>10.72</v>
      </c>
      <c r="D129" s="65">
        <v>5</v>
      </c>
      <c r="E129" s="65">
        <v>5.4</v>
      </c>
      <c r="F129" s="65">
        <v>1</v>
      </c>
      <c r="G129" s="192">
        <f t="shared" si="84"/>
        <v>39.7037037037037</v>
      </c>
      <c r="H129" s="224"/>
      <c r="I129" s="229"/>
    </row>
    <row r="131" s="65" customFormat="1" ht="22.9" customHeight="1" spans="1:9">
      <c r="A131" s="227" t="s">
        <v>1353</v>
      </c>
      <c r="B131" s="228" t="s">
        <v>1394</v>
      </c>
      <c r="C131" s="65">
        <v>11.1</v>
      </c>
      <c r="D131" s="65">
        <v>5</v>
      </c>
      <c r="E131" s="65">
        <v>5.05</v>
      </c>
      <c r="F131" s="65">
        <v>2</v>
      </c>
      <c r="G131" s="192">
        <f t="shared" ref="G131:G134" si="87">C131*100*F131/D131/E131</f>
        <v>87.9207920792079</v>
      </c>
      <c r="H131" s="224">
        <f t="shared" ref="H131" si="88">(G131+G132)/2</f>
        <v>87.9207920792079</v>
      </c>
      <c r="I131" s="229">
        <f t="shared" ref="I131" si="89">(G131-G132)*100/H131</f>
        <v>0</v>
      </c>
    </row>
    <row r="132" s="65" customFormat="1" spans="1:9">
      <c r="A132" s="58"/>
      <c r="B132" s="216"/>
      <c r="C132" s="65">
        <v>11.1</v>
      </c>
      <c r="D132" s="65">
        <v>5</v>
      </c>
      <c r="E132" s="65">
        <v>5.05</v>
      </c>
      <c r="F132" s="65">
        <v>2</v>
      </c>
      <c r="G132" s="192">
        <f t="shared" si="87"/>
        <v>87.9207920792079</v>
      </c>
      <c r="H132" s="224"/>
      <c r="I132" s="229"/>
    </row>
    <row r="133" s="65" customFormat="1" ht="22.9" customHeight="1" spans="1:9">
      <c r="A133" s="227" t="s">
        <v>1395</v>
      </c>
      <c r="B133" s="228" t="s">
        <v>1396</v>
      </c>
      <c r="C133" s="65">
        <v>11.1</v>
      </c>
      <c r="D133" s="65">
        <v>5</v>
      </c>
      <c r="E133" s="65">
        <v>5.25</v>
      </c>
      <c r="F133" s="65">
        <v>2</v>
      </c>
      <c r="G133" s="192">
        <f t="shared" si="87"/>
        <v>84.5714285714286</v>
      </c>
      <c r="H133" s="224">
        <f t="shared" ref="H133" si="90">(G133+G134)/2</f>
        <v>84.5714285714286</v>
      </c>
      <c r="I133" s="229">
        <f t="shared" ref="I133" si="91">(G133-G134)*100/H133</f>
        <v>0</v>
      </c>
    </row>
    <row r="134" s="65" customFormat="1" spans="1:9">
      <c r="A134" s="58"/>
      <c r="B134" s="216"/>
      <c r="C134" s="65">
        <v>11.1</v>
      </c>
      <c r="D134" s="65">
        <v>5</v>
      </c>
      <c r="E134" s="65">
        <v>5.25</v>
      </c>
      <c r="F134" s="65">
        <v>2</v>
      </c>
      <c r="G134" s="192">
        <f t="shared" si="87"/>
        <v>84.5714285714286</v>
      </c>
      <c r="H134" s="224"/>
      <c r="I134" s="229"/>
    </row>
    <row r="136" s="65" customFormat="1" ht="22.9" customHeight="1" spans="1:9">
      <c r="A136" s="227" t="s">
        <v>1397</v>
      </c>
      <c r="B136" s="228" t="s">
        <v>1398</v>
      </c>
      <c r="C136" s="65">
        <v>11</v>
      </c>
      <c r="D136" s="65">
        <v>10</v>
      </c>
      <c r="E136" s="65">
        <v>10.1</v>
      </c>
      <c r="F136" s="65">
        <v>1</v>
      </c>
      <c r="G136" s="192">
        <f t="shared" ref="G136:G137" si="92">C136*100*F136/D136/E136</f>
        <v>10.8910891089109</v>
      </c>
      <c r="H136" s="224">
        <f t="shared" ref="H136" si="93">(G136+G137)/2</f>
        <v>10.8910891089109</v>
      </c>
      <c r="I136" s="229">
        <f t="shared" ref="I136" si="94">(G136-G137)*100/H136</f>
        <v>0</v>
      </c>
    </row>
    <row r="137" s="65" customFormat="1" spans="1:9">
      <c r="A137" s="58"/>
      <c r="B137" s="216"/>
      <c r="C137" s="65">
        <v>11</v>
      </c>
      <c r="D137" s="65">
        <v>10</v>
      </c>
      <c r="E137" s="65">
        <v>10.1</v>
      </c>
      <c r="F137" s="65">
        <v>1</v>
      </c>
      <c r="G137" s="192">
        <f t="shared" si="92"/>
        <v>10.8910891089109</v>
      </c>
      <c r="H137" s="224"/>
      <c r="I137" s="229"/>
    </row>
    <row r="139" spans="1:9">
      <c r="A139" s="227" t="s">
        <v>1330</v>
      </c>
      <c r="B139" s="228" t="s">
        <v>1399</v>
      </c>
      <c r="C139" s="65">
        <v>11.35</v>
      </c>
      <c r="D139" s="65">
        <v>10</v>
      </c>
      <c r="E139" s="65">
        <v>8.6</v>
      </c>
      <c r="F139" s="65">
        <v>1</v>
      </c>
      <c r="G139" s="192">
        <f t="shared" ref="G139:G140" si="95">C139*100*F139/D139/E139</f>
        <v>13.1976744186047</v>
      </c>
      <c r="H139" s="224">
        <f t="shared" ref="H139" si="96">(G139+G140)/2</f>
        <v>13.1976744186047</v>
      </c>
      <c r="I139" s="229">
        <f t="shared" ref="I139" si="97">(G139-G140)*100/H139</f>
        <v>0</v>
      </c>
    </row>
    <row r="140" spans="1:9">
      <c r="A140" s="58"/>
      <c r="B140" s="216"/>
      <c r="C140" s="65">
        <v>11.35</v>
      </c>
      <c r="D140" s="65">
        <v>10</v>
      </c>
      <c r="E140" s="65">
        <v>8.6</v>
      </c>
      <c r="F140" s="65">
        <v>1</v>
      </c>
      <c r="G140" s="192">
        <f t="shared" si="95"/>
        <v>13.1976744186047</v>
      </c>
      <c r="H140" s="224"/>
      <c r="I140" s="229"/>
    </row>
    <row r="142" spans="1:9">
      <c r="A142" s="227" t="s">
        <v>1400</v>
      </c>
      <c r="B142" s="228" t="s">
        <v>1401</v>
      </c>
      <c r="C142" s="65">
        <v>11.35</v>
      </c>
      <c r="D142" s="65">
        <v>10</v>
      </c>
      <c r="E142" s="65">
        <v>9.3</v>
      </c>
      <c r="F142" s="65">
        <v>10</v>
      </c>
      <c r="G142" s="192">
        <f t="shared" ref="G142:G145" si="98">C142*100*F142/D142/E142</f>
        <v>122.043010752688</v>
      </c>
      <c r="H142" s="224">
        <f t="shared" ref="H142" si="99">(G142+G143)/2</f>
        <v>122.043010752688</v>
      </c>
      <c r="I142" s="229">
        <f t="shared" ref="I142" si="100">(G142-G143)*100/H142</f>
        <v>0</v>
      </c>
    </row>
    <row r="143" spans="1:9">
      <c r="A143" s="58"/>
      <c r="B143" s="216"/>
      <c r="C143" s="65">
        <v>11.35</v>
      </c>
      <c r="D143" s="65">
        <v>10</v>
      </c>
      <c r="E143" s="65">
        <v>9.3</v>
      </c>
      <c r="F143" s="65">
        <v>10</v>
      </c>
      <c r="G143" s="192">
        <f t="shared" si="98"/>
        <v>122.043010752688</v>
      </c>
      <c r="H143" s="224"/>
      <c r="I143" s="229"/>
    </row>
    <row r="144" spans="1:9">
      <c r="A144" s="227" t="s">
        <v>1402</v>
      </c>
      <c r="B144" s="228" t="s">
        <v>1403</v>
      </c>
      <c r="C144" s="65">
        <v>11.35</v>
      </c>
      <c r="D144" s="65">
        <v>10</v>
      </c>
      <c r="E144" s="65">
        <v>9.35</v>
      </c>
      <c r="F144" s="65">
        <v>10</v>
      </c>
      <c r="G144" s="192">
        <f t="shared" si="98"/>
        <v>121.390374331551</v>
      </c>
      <c r="H144" s="224">
        <f t="shared" ref="H144" si="101">(G144+G145)/2</f>
        <v>121.390374331551</v>
      </c>
      <c r="I144" s="229">
        <f t="shared" ref="I144" si="102">(G144-G145)*100/H144</f>
        <v>0</v>
      </c>
    </row>
    <row r="145" spans="1:9">
      <c r="A145" s="58"/>
      <c r="B145" s="216"/>
      <c r="C145" s="65">
        <v>11.35</v>
      </c>
      <c r="D145" s="65">
        <v>10</v>
      </c>
      <c r="E145" s="65">
        <v>9.35</v>
      </c>
      <c r="F145" s="65">
        <v>10</v>
      </c>
      <c r="G145" s="192">
        <f t="shared" si="98"/>
        <v>121.390374331551</v>
      </c>
      <c r="H145" s="224"/>
      <c r="I145" s="229"/>
    </row>
    <row r="146" spans="3:3">
      <c r="C146" s="65"/>
    </row>
    <row r="147" spans="1:9">
      <c r="A147" s="227" t="s">
        <v>1402</v>
      </c>
      <c r="B147" s="228" t="s">
        <v>1404</v>
      </c>
      <c r="C147" s="65">
        <v>11.35</v>
      </c>
      <c r="D147" s="65">
        <v>10</v>
      </c>
      <c r="E147" s="65">
        <v>11.6</v>
      </c>
      <c r="F147" s="65">
        <v>10</v>
      </c>
      <c r="G147" s="192">
        <f t="shared" ref="G147:G148" si="103">C147*100*F147/D147/E147</f>
        <v>97.8448275862069</v>
      </c>
      <c r="H147" s="224">
        <f t="shared" ref="H147" si="104">(G147+G148)/2</f>
        <v>97.8448275862069</v>
      </c>
      <c r="I147" s="229">
        <f t="shared" ref="I147" si="105">(G147-G148)*100/H147</f>
        <v>0</v>
      </c>
    </row>
    <row r="148" spans="1:15">
      <c r="A148" s="58"/>
      <c r="B148" s="216"/>
      <c r="C148" s="65">
        <v>11.35</v>
      </c>
      <c r="D148" s="65">
        <v>10</v>
      </c>
      <c r="E148" s="65">
        <v>11.6</v>
      </c>
      <c r="F148" s="65">
        <v>10</v>
      </c>
      <c r="G148" s="192">
        <f t="shared" si="103"/>
        <v>97.8448275862069</v>
      </c>
      <c r="H148" s="224"/>
      <c r="I148" s="229"/>
      <c r="O148" s="65" t="s">
        <v>216</v>
      </c>
    </row>
    <row r="150" spans="1:9">
      <c r="A150" s="227" t="s">
        <v>1405</v>
      </c>
      <c r="B150" s="228" t="s">
        <v>1406</v>
      </c>
      <c r="C150" s="65">
        <v>11.5</v>
      </c>
      <c r="D150" s="65">
        <v>10</v>
      </c>
      <c r="E150" s="65">
        <v>17.5</v>
      </c>
      <c r="F150" s="65">
        <v>1</v>
      </c>
      <c r="G150" s="192">
        <f t="shared" ref="G150:G151" si="106">C150*100*F150/D150/E150</f>
        <v>6.57142857142857</v>
      </c>
      <c r="H150" s="224">
        <f t="shared" ref="H150" si="107">(G150+G151)/2</f>
        <v>6.57142857142857</v>
      </c>
      <c r="I150" s="229">
        <f t="shared" ref="I150" si="108">(G150-G151)*100/H150</f>
        <v>0</v>
      </c>
    </row>
    <row r="151" spans="1:9">
      <c r="A151" s="58"/>
      <c r="B151" s="216"/>
      <c r="C151" s="65">
        <v>11.5</v>
      </c>
      <c r="D151" s="65">
        <v>10</v>
      </c>
      <c r="E151" s="65">
        <v>17.5</v>
      </c>
      <c r="F151" s="65">
        <v>1</v>
      </c>
      <c r="G151" s="192">
        <f t="shared" si="106"/>
        <v>6.57142857142857</v>
      </c>
      <c r="H151" s="224"/>
      <c r="I151" s="229"/>
    </row>
    <row r="152" spans="1:9">
      <c r="A152" s="227" t="s">
        <v>1407</v>
      </c>
      <c r="B152" s="228" t="s">
        <v>1408</v>
      </c>
      <c r="C152" s="65">
        <v>11.4</v>
      </c>
      <c r="D152" s="65">
        <v>10</v>
      </c>
      <c r="E152" s="65">
        <v>12.8</v>
      </c>
      <c r="F152" s="65">
        <v>10</v>
      </c>
      <c r="G152" s="192">
        <f t="shared" ref="G152:G153" si="109">C152*100*F152/D152/E152</f>
        <v>89.0625</v>
      </c>
      <c r="H152" s="224">
        <f t="shared" ref="H152" si="110">(G152+G153)/2</f>
        <v>89.0625</v>
      </c>
      <c r="I152" s="229">
        <f t="shared" ref="I152" si="111">(G152-G153)*100/H152</f>
        <v>0</v>
      </c>
    </row>
    <row r="153" spans="1:9">
      <c r="A153" s="58"/>
      <c r="B153" s="216"/>
      <c r="C153" s="65">
        <v>11.4</v>
      </c>
      <c r="D153" s="65">
        <v>10</v>
      </c>
      <c r="E153" s="65">
        <v>12.8</v>
      </c>
      <c r="F153" s="65">
        <v>10</v>
      </c>
      <c r="G153" s="192">
        <f t="shared" si="109"/>
        <v>89.0625</v>
      </c>
      <c r="H153" s="224"/>
      <c r="I153" s="229"/>
    </row>
    <row r="155" spans="1:9">
      <c r="A155" s="227" t="s">
        <v>1409</v>
      </c>
      <c r="B155" s="228" t="s">
        <v>1410</v>
      </c>
      <c r="C155" s="65">
        <v>11.5</v>
      </c>
      <c r="D155" s="65">
        <v>10</v>
      </c>
      <c r="E155" s="65">
        <v>6.4</v>
      </c>
      <c r="F155" s="65">
        <v>2</v>
      </c>
      <c r="G155" s="192">
        <f t="shared" ref="G155:G160" si="112">C155*100*F155/D155/E155</f>
        <v>35.9375</v>
      </c>
      <c r="H155" s="224">
        <f t="shared" ref="H155:H159" si="113">(G155+G156)/2</f>
        <v>35.9375</v>
      </c>
      <c r="I155" s="229">
        <f t="shared" ref="I155:I159" si="114">(G155-G156)*100/H155</f>
        <v>0</v>
      </c>
    </row>
    <row r="156" spans="1:9">
      <c r="A156" s="58"/>
      <c r="B156" s="216"/>
      <c r="C156" s="65">
        <v>11.5</v>
      </c>
      <c r="D156" s="65">
        <v>10</v>
      </c>
      <c r="E156" s="65">
        <v>6.4</v>
      </c>
      <c r="F156" s="65">
        <v>2</v>
      </c>
      <c r="G156" s="192">
        <f t="shared" si="112"/>
        <v>35.9375</v>
      </c>
      <c r="H156" s="224"/>
      <c r="I156" s="229"/>
    </row>
    <row r="157" spans="1:9">
      <c r="A157" s="227" t="s">
        <v>1409</v>
      </c>
      <c r="B157" s="228" t="s">
        <v>1411</v>
      </c>
      <c r="C157" s="65">
        <v>11.5</v>
      </c>
      <c r="D157" s="65">
        <v>10</v>
      </c>
      <c r="E157" s="65">
        <v>6.45</v>
      </c>
      <c r="F157" s="65">
        <v>2</v>
      </c>
      <c r="G157" s="192">
        <f t="shared" si="112"/>
        <v>35.6589147286822</v>
      </c>
      <c r="H157" s="224">
        <f t="shared" si="113"/>
        <v>35.6589147286822</v>
      </c>
      <c r="I157" s="229">
        <f t="shared" si="114"/>
        <v>0</v>
      </c>
    </row>
    <row r="158" spans="1:9">
      <c r="A158" s="58"/>
      <c r="B158" s="216"/>
      <c r="C158" s="65">
        <v>11.5</v>
      </c>
      <c r="D158" s="65">
        <v>10</v>
      </c>
      <c r="E158" s="65">
        <v>6.45</v>
      </c>
      <c r="F158" s="65">
        <v>2</v>
      </c>
      <c r="G158" s="192">
        <f t="shared" si="112"/>
        <v>35.6589147286822</v>
      </c>
      <c r="H158" s="224"/>
      <c r="I158" s="229"/>
    </row>
    <row r="159" spans="1:9">
      <c r="A159" s="227" t="s">
        <v>1412</v>
      </c>
      <c r="B159" s="228" t="s">
        <v>1413</v>
      </c>
      <c r="C159" s="65">
        <v>11.2</v>
      </c>
      <c r="D159" s="65">
        <v>10</v>
      </c>
      <c r="E159" s="65">
        <v>6.7</v>
      </c>
      <c r="F159" s="65">
        <v>5</v>
      </c>
      <c r="G159" s="192">
        <f t="shared" si="112"/>
        <v>83.5820895522388</v>
      </c>
      <c r="H159" s="224">
        <f t="shared" si="113"/>
        <v>83.8963079340141</v>
      </c>
      <c r="I159" s="229">
        <f t="shared" si="114"/>
        <v>-0.749063670411984</v>
      </c>
    </row>
    <row r="160" ht="27" customHeight="1" spans="1:9">
      <c r="A160" s="58"/>
      <c r="B160" s="216"/>
      <c r="C160" s="65">
        <v>11.2</v>
      </c>
      <c r="D160" s="65">
        <v>10</v>
      </c>
      <c r="E160" s="65">
        <v>6.65</v>
      </c>
      <c r="F160" s="65">
        <v>5</v>
      </c>
      <c r="G160" s="192">
        <f t="shared" si="112"/>
        <v>84.2105263157895</v>
      </c>
      <c r="H160" s="224"/>
      <c r="I160" s="229"/>
    </row>
    <row r="161" spans="1:9">
      <c r="A161" s="227" t="s">
        <v>1412</v>
      </c>
      <c r="B161" s="228" t="s">
        <v>1414</v>
      </c>
      <c r="C161" s="65">
        <v>11.4</v>
      </c>
      <c r="D161" s="65">
        <v>10</v>
      </c>
      <c r="E161" s="65">
        <v>10.85</v>
      </c>
      <c r="F161" s="65">
        <v>5</v>
      </c>
      <c r="G161" s="192">
        <f t="shared" ref="G161:G162" si="115">C161*100*F161/D161/E161</f>
        <v>52.5345622119816</v>
      </c>
      <c r="H161" s="224">
        <f t="shared" ref="H161" si="116">(G161+G162)/2</f>
        <v>52.4140700968165</v>
      </c>
      <c r="I161" s="229">
        <f t="shared" ref="I161" si="117">(G161-G162)*100/H161</f>
        <v>0.45977011494253</v>
      </c>
    </row>
    <row r="162" spans="1:9">
      <c r="A162" s="58"/>
      <c r="B162" s="216"/>
      <c r="C162" s="65">
        <v>11.4</v>
      </c>
      <c r="D162" s="65">
        <v>10</v>
      </c>
      <c r="E162" s="65">
        <v>10.9</v>
      </c>
      <c r="F162" s="65">
        <v>5</v>
      </c>
      <c r="G162" s="192">
        <f t="shared" si="115"/>
        <v>52.2935779816514</v>
      </c>
      <c r="H162" s="224"/>
      <c r="I162" s="229"/>
    </row>
    <row r="163" spans="1:9">
      <c r="A163" s="227" t="s">
        <v>1412</v>
      </c>
      <c r="B163" s="228" t="s">
        <v>1415</v>
      </c>
      <c r="C163" s="65">
        <v>11.4</v>
      </c>
      <c r="D163" s="65">
        <v>10</v>
      </c>
      <c r="E163" s="65">
        <v>5.7</v>
      </c>
      <c r="F163" s="65">
        <v>5</v>
      </c>
      <c r="G163" s="192">
        <f t="shared" ref="G163:G164" si="118">C163*100*F163/D163/E163</f>
        <v>100</v>
      </c>
      <c r="H163" s="224">
        <f t="shared" ref="H163" si="119">(G163+G164)/2</f>
        <v>100.892857142857</v>
      </c>
      <c r="I163" s="229">
        <f t="shared" ref="I163" si="120">(G163-G164)*100/H163</f>
        <v>-1.76991150442478</v>
      </c>
    </row>
    <row r="164" spans="1:9">
      <c r="A164" s="58"/>
      <c r="B164" s="216"/>
      <c r="C164" s="65">
        <v>11.4</v>
      </c>
      <c r="D164" s="65">
        <v>10</v>
      </c>
      <c r="E164" s="65">
        <v>5.6</v>
      </c>
      <c r="F164" s="65">
        <v>5</v>
      </c>
      <c r="G164" s="192">
        <f t="shared" si="118"/>
        <v>101.785714285714</v>
      </c>
      <c r="H164" s="224"/>
      <c r="I164" s="229"/>
    </row>
    <row r="165" spans="1:9">
      <c r="A165" s="227" t="s">
        <v>1416</v>
      </c>
      <c r="B165" s="228" t="s">
        <v>1417</v>
      </c>
      <c r="C165" s="65">
        <v>11.4</v>
      </c>
      <c r="D165" s="65">
        <v>10</v>
      </c>
      <c r="E165" s="65">
        <v>5.7</v>
      </c>
      <c r="F165" s="65">
        <v>5</v>
      </c>
      <c r="G165" s="192">
        <f t="shared" ref="G165:G166" si="121">C165*100*F165/D165/E165</f>
        <v>100</v>
      </c>
      <c r="H165" s="224">
        <f t="shared" ref="H165" si="122">(G165+G166)/2</f>
        <v>100.892857142857</v>
      </c>
      <c r="I165" s="229">
        <f t="shared" ref="I165" si="123">(G165-G166)*100/H165</f>
        <v>-1.76991150442478</v>
      </c>
    </row>
    <row r="166" spans="1:9">
      <c r="A166" s="58"/>
      <c r="B166" s="216"/>
      <c r="C166" s="65">
        <v>11.4</v>
      </c>
      <c r="D166" s="65">
        <v>10</v>
      </c>
      <c r="E166" s="65">
        <v>5.6</v>
      </c>
      <c r="F166" s="65">
        <v>5</v>
      </c>
      <c r="G166" s="192">
        <f t="shared" si="121"/>
        <v>101.785714285714</v>
      </c>
      <c r="H166" s="224"/>
      <c r="I166" s="229"/>
    </row>
    <row r="168" spans="1:9">
      <c r="A168" s="227"/>
      <c r="B168" s="228" t="s">
        <v>656</v>
      </c>
      <c r="C168" s="65">
        <v>11.3</v>
      </c>
      <c r="D168" s="65">
        <v>9.9009</v>
      </c>
      <c r="E168" s="65">
        <v>8.8</v>
      </c>
      <c r="F168" s="65">
        <v>2</v>
      </c>
      <c r="G168" s="192">
        <f t="shared" ref="G168:G169" si="124">C168*100*F168/D168/E168</f>
        <v>25.9388724073753</v>
      </c>
      <c r="H168" s="224">
        <f t="shared" ref="H168" si="125">(G168+G169)/2</f>
        <v>26.0276231379894</v>
      </c>
      <c r="I168" s="229">
        <f t="shared" ref="I168" si="126">(G168-G169)*100/H168</f>
        <v>-0.681973379924569</v>
      </c>
    </row>
    <row r="169" spans="1:9">
      <c r="A169" s="58"/>
      <c r="B169" s="216"/>
      <c r="C169" s="65">
        <v>11.3</v>
      </c>
      <c r="D169" s="65">
        <v>9.8898</v>
      </c>
      <c r="E169" s="65">
        <v>8.75</v>
      </c>
      <c r="F169" s="65">
        <v>2</v>
      </c>
      <c r="G169" s="192">
        <f t="shared" si="124"/>
        <v>26.1163738686034</v>
      </c>
      <c r="H169" s="224"/>
      <c r="I169" s="229"/>
    </row>
    <row r="170" spans="1:9">
      <c r="A170" s="227"/>
      <c r="B170" s="228" t="s">
        <v>656</v>
      </c>
      <c r="C170" s="65">
        <v>11.3</v>
      </c>
      <c r="D170" s="65">
        <v>9.9009</v>
      </c>
      <c r="E170" s="65">
        <v>8.8</v>
      </c>
      <c r="F170" s="65">
        <v>2</v>
      </c>
      <c r="G170" s="192">
        <f t="shared" ref="G170:G173" si="127">C170*100*F170/D170/E170</f>
        <v>25.9388724073753</v>
      </c>
      <c r="H170" s="224">
        <f t="shared" ref="H170" si="128">(G170+G171)/2</f>
        <v>26.0276231379894</v>
      </c>
      <c r="I170" s="229">
        <f t="shared" ref="I170" si="129">(G170-G171)*100/H170</f>
        <v>-0.681973379924569</v>
      </c>
    </row>
    <row r="171" ht="12" customHeight="1" spans="1:9">
      <c r="A171" s="58"/>
      <c r="B171" s="216"/>
      <c r="C171" s="65">
        <v>11.3</v>
      </c>
      <c r="D171" s="65">
        <v>9.8898</v>
      </c>
      <c r="E171" s="65">
        <v>8.75</v>
      </c>
      <c r="F171" s="65">
        <v>2</v>
      </c>
      <c r="G171" s="192">
        <f t="shared" si="127"/>
        <v>26.1163738686034</v>
      </c>
      <c r="H171" s="224"/>
      <c r="I171" s="229"/>
    </row>
    <row r="172" spans="1:9">
      <c r="A172" s="227" t="s">
        <v>1418</v>
      </c>
      <c r="B172" s="228" t="s">
        <v>1419</v>
      </c>
      <c r="C172" s="65">
        <v>11.1</v>
      </c>
      <c r="D172" s="65">
        <v>10</v>
      </c>
      <c r="E172" s="65">
        <v>5.75</v>
      </c>
      <c r="F172" s="65">
        <v>1</v>
      </c>
      <c r="G172" s="192">
        <f t="shared" si="127"/>
        <v>19.304347826087</v>
      </c>
      <c r="H172" s="224">
        <f t="shared" ref="H172" si="130">(G172+G173)/2</f>
        <v>19.304347826087</v>
      </c>
      <c r="I172" s="229">
        <f t="shared" ref="I172" si="131">(G172-G173)*100/H172</f>
        <v>0</v>
      </c>
    </row>
    <row r="173" spans="1:9">
      <c r="A173" s="58"/>
      <c r="B173" s="216"/>
      <c r="C173" s="65">
        <v>11.1</v>
      </c>
      <c r="D173" s="65">
        <v>10</v>
      </c>
      <c r="E173" s="65">
        <v>5.75</v>
      </c>
      <c r="F173" s="65">
        <v>1</v>
      </c>
      <c r="G173" s="192">
        <f t="shared" si="127"/>
        <v>19.304347826087</v>
      </c>
      <c r="H173" s="224"/>
      <c r="I173" s="229"/>
    </row>
    <row r="174" ht="14.25" customHeight="1" spans="1:9">
      <c r="A174" s="227"/>
      <c r="B174" s="228" t="s">
        <v>1420</v>
      </c>
      <c r="C174" s="65">
        <v>11</v>
      </c>
      <c r="D174" s="65">
        <v>10</v>
      </c>
      <c r="E174" s="65">
        <v>10.5</v>
      </c>
      <c r="F174" s="65">
        <v>2</v>
      </c>
      <c r="G174" s="192">
        <f t="shared" ref="G174:G177" si="132">C174*100*F174/D174/E174</f>
        <v>20.952380952381</v>
      </c>
      <c r="H174" s="224">
        <f t="shared" ref="H174" si="133">(G174+G175)/2</f>
        <v>21.0025062656642</v>
      </c>
      <c r="I174" s="229">
        <f t="shared" ref="I174" si="134">(G174-G175)*100/H174</f>
        <v>-0.477326968973753</v>
      </c>
    </row>
    <row r="175" spans="1:9">
      <c r="A175" s="58"/>
      <c r="B175" s="216"/>
      <c r="C175" s="65">
        <v>11</v>
      </c>
      <c r="D175" s="65">
        <v>10</v>
      </c>
      <c r="E175" s="65">
        <v>10.45</v>
      </c>
      <c r="F175" s="65">
        <v>2</v>
      </c>
      <c r="G175" s="192">
        <f t="shared" si="132"/>
        <v>21.0526315789474</v>
      </c>
      <c r="H175" s="224"/>
      <c r="I175" s="229"/>
    </row>
    <row r="176" spans="1:9">
      <c r="A176">
        <v>1.6</v>
      </c>
      <c r="B176" s="228" t="s">
        <v>1421</v>
      </c>
      <c r="C176" s="65">
        <v>11.1</v>
      </c>
      <c r="D176" s="65">
        <v>10</v>
      </c>
      <c r="E176" s="65">
        <v>5.75</v>
      </c>
      <c r="F176" s="65">
        <v>5</v>
      </c>
      <c r="G176" s="192">
        <f t="shared" si="132"/>
        <v>96.5217391304348</v>
      </c>
      <c r="H176" s="224">
        <f t="shared" ref="H176" si="135">(G176+G177)/2</f>
        <v>96.5217391304348</v>
      </c>
      <c r="I176" s="229">
        <f t="shared" ref="I176" si="136">(G176-G177)*100/H176</f>
        <v>0</v>
      </c>
    </row>
    <row r="177" spans="2:9">
      <c r="B177" s="216"/>
      <c r="C177" s="65">
        <v>11.1</v>
      </c>
      <c r="D177" s="65">
        <v>10</v>
      </c>
      <c r="E177" s="65">
        <v>5.75</v>
      </c>
      <c r="F177" s="65">
        <v>5</v>
      </c>
      <c r="G177" s="192">
        <f t="shared" si="132"/>
        <v>96.5217391304348</v>
      </c>
      <c r="H177" s="224"/>
      <c r="I177" s="229"/>
    </row>
    <row r="178" spans="2:9">
      <c r="B178" s="228" t="s">
        <v>1422</v>
      </c>
      <c r="C178" s="65">
        <v>11.1</v>
      </c>
      <c r="D178" s="65">
        <v>10</v>
      </c>
      <c r="E178" s="65">
        <v>10.5</v>
      </c>
      <c r="F178" s="65">
        <v>5</v>
      </c>
      <c r="G178" s="192">
        <f t="shared" ref="G178:G179" si="137">C178*100*F178/D178/E178</f>
        <v>52.8571428571429</v>
      </c>
      <c r="H178" s="224">
        <f t="shared" ref="H178" si="138">(G178+G179)/2</f>
        <v>52.9835953520164</v>
      </c>
      <c r="I178" s="229">
        <f t="shared" ref="I178" si="139">(G178-G179)*100/H178</f>
        <v>-0.477326968973759</v>
      </c>
    </row>
    <row r="179" spans="2:9">
      <c r="B179" s="216"/>
      <c r="C179" s="65">
        <v>11.1</v>
      </c>
      <c r="D179" s="65">
        <v>10</v>
      </c>
      <c r="E179" s="65">
        <v>10.45</v>
      </c>
      <c r="F179" s="65">
        <v>5</v>
      </c>
      <c r="G179" s="192">
        <f t="shared" si="137"/>
        <v>53.11004784689</v>
      </c>
      <c r="H179" s="224"/>
      <c r="I179" s="229"/>
    </row>
    <row r="180" spans="2:9">
      <c r="B180" s="228" t="s">
        <v>1423</v>
      </c>
      <c r="C180" s="65">
        <v>11.1</v>
      </c>
      <c r="D180" s="65">
        <v>10</v>
      </c>
      <c r="E180" s="65">
        <v>10.5</v>
      </c>
      <c r="F180" s="65">
        <v>5</v>
      </c>
      <c r="G180" s="192">
        <f t="shared" ref="G180:G181" si="140">C180*100*F180/D180/E180</f>
        <v>52.8571428571429</v>
      </c>
      <c r="H180" s="224">
        <f t="shared" ref="H180" si="141">(G180+G181)/2</f>
        <v>52.9835953520164</v>
      </c>
      <c r="I180" s="229">
        <f t="shared" ref="I180" si="142">(G180-G181)*100/H180</f>
        <v>-0.477326968973759</v>
      </c>
    </row>
    <row r="181" spans="2:9">
      <c r="B181" s="216"/>
      <c r="C181" s="65">
        <v>11.1</v>
      </c>
      <c r="D181" s="65">
        <v>10</v>
      </c>
      <c r="E181" s="65">
        <v>10.45</v>
      </c>
      <c r="F181" s="65">
        <v>5</v>
      </c>
      <c r="G181" s="192">
        <f t="shared" si="140"/>
        <v>53.11004784689</v>
      </c>
      <c r="H181" s="224"/>
      <c r="I181" s="229"/>
    </row>
    <row r="182" spans="2:9">
      <c r="B182" s="228" t="s">
        <v>1424</v>
      </c>
      <c r="C182" s="65">
        <v>11</v>
      </c>
      <c r="D182" s="65">
        <v>10.5715</v>
      </c>
      <c r="E182" s="65">
        <v>13.2</v>
      </c>
      <c r="F182" s="65">
        <v>5</v>
      </c>
      <c r="G182" s="192">
        <f t="shared" ref="G182:G191" si="143">C182*100*F182/D182/E182</f>
        <v>39.4141481026029</v>
      </c>
      <c r="H182" s="224">
        <f t="shared" ref="H182" si="144">(G182+G183)/2</f>
        <v>39.4141481026029</v>
      </c>
      <c r="I182" s="229">
        <f t="shared" ref="I182" si="145">(G182-G183)*100/H182</f>
        <v>0</v>
      </c>
    </row>
    <row r="183" spans="2:9">
      <c r="B183" s="216"/>
      <c r="C183" s="65">
        <v>11</v>
      </c>
      <c r="D183" s="65">
        <v>10.5715</v>
      </c>
      <c r="E183" s="65">
        <v>13.2</v>
      </c>
      <c r="F183" s="65">
        <v>5</v>
      </c>
      <c r="G183" s="192">
        <f t="shared" si="143"/>
        <v>39.4141481026029</v>
      </c>
      <c r="H183" s="224"/>
      <c r="I183" s="229"/>
    </row>
    <row r="184" spans="1:9">
      <c r="A184">
        <v>6.29</v>
      </c>
      <c r="B184" s="228" t="s">
        <v>1425</v>
      </c>
      <c r="C184" s="65">
        <v>11.1</v>
      </c>
      <c r="D184" s="65">
        <v>10</v>
      </c>
      <c r="E184" s="65">
        <v>8.4</v>
      </c>
      <c r="F184" s="65">
        <v>2.5</v>
      </c>
      <c r="G184" s="192">
        <f t="shared" si="143"/>
        <v>33.0357142857143</v>
      </c>
      <c r="H184" s="224">
        <f t="shared" ref="H184:H188" si="146">(G184+G185)/2</f>
        <v>33.0357142857143</v>
      </c>
      <c r="I184" s="229">
        <f t="shared" ref="I184:I188" si="147">(G184-G185)*100/H184</f>
        <v>0</v>
      </c>
    </row>
    <row r="185" spans="2:9">
      <c r="B185" s="216"/>
      <c r="C185" s="65">
        <v>11.1</v>
      </c>
      <c r="D185" s="65">
        <v>10</v>
      </c>
      <c r="E185" s="65">
        <v>8.4</v>
      </c>
      <c r="F185" s="65">
        <v>2.5</v>
      </c>
      <c r="G185" s="192">
        <f t="shared" si="143"/>
        <v>33.0357142857143</v>
      </c>
      <c r="H185" s="224"/>
      <c r="I185" s="229"/>
    </row>
    <row r="186" spans="2:9">
      <c r="B186" s="228" t="s">
        <v>1426</v>
      </c>
      <c r="C186" s="65">
        <v>11.1</v>
      </c>
      <c r="D186" s="65">
        <v>10</v>
      </c>
      <c r="E186" s="65">
        <v>8.2</v>
      </c>
      <c r="F186" s="65">
        <v>2.5</v>
      </c>
      <c r="G186" s="192">
        <f t="shared" si="143"/>
        <v>33.8414634146341</v>
      </c>
      <c r="H186" s="224">
        <f t="shared" si="146"/>
        <v>33.8414634146341</v>
      </c>
      <c r="I186" s="229">
        <f t="shared" si="147"/>
        <v>0</v>
      </c>
    </row>
    <row r="187" spans="2:9">
      <c r="B187" s="216"/>
      <c r="C187" s="65">
        <v>11.1</v>
      </c>
      <c r="D187" s="65">
        <v>10</v>
      </c>
      <c r="E187" s="65">
        <v>8.2</v>
      </c>
      <c r="F187" s="65">
        <v>2.5</v>
      </c>
      <c r="G187" s="192">
        <f t="shared" si="143"/>
        <v>33.8414634146341</v>
      </c>
      <c r="H187" s="224"/>
      <c r="I187" s="229"/>
    </row>
    <row r="188" spans="2:9">
      <c r="B188" s="228" t="s">
        <v>1427</v>
      </c>
      <c r="C188" s="65">
        <v>11.1</v>
      </c>
      <c r="D188" s="65">
        <v>10</v>
      </c>
      <c r="E188" s="65">
        <v>8.8</v>
      </c>
      <c r="F188" s="65">
        <v>2.5</v>
      </c>
      <c r="G188" s="192">
        <f t="shared" si="143"/>
        <v>31.5340909090909</v>
      </c>
      <c r="H188" s="224">
        <f t="shared" si="146"/>
        <v>31.5340909090909</v>
      </c>
      <c r="I188" s="229">
        <f t="shared" si="147"/>
        <v>0</v>
      </c>
    </row>
    <row r="189" spans="2:9">
      <c r="B189" s="216"/>
      <c r="C189" s="65">
        <v>11.1</v>
      </c>
      <c r="D189" s="65">
        <v>10</v>
      </c>
      <c r="E189" s="65">
        <v>8.8</v>
      </c>
      <c r="F189" s="65">
        <v>2.5</v>
      </c>
      <c r="G189" s="192">
        <f t="shared" si="143"/>
        <v>31.5340909090909</v>
      </c>
      <c r="H189" s="224"/>
      <c r="I189" s="229"/>
    </row>
    <row r="190" spans="2:9">
      <c r="B190" s="228" t="s">
        <v>1428</v>
      </c>
      <c r="C190" s="65">
        <v>11</v>
      </c>
      <c r="D190" s="65">
        <v>10</v>
      </c>
      <c r="E190" s="65">
        <v>9.6</v>
      </c>
      <c r="F190" s="65">
        <v>1</v>
      </c>
      <c r="G190" s="192">
        <f t="shared" si="143"/>
        <v>11.4583333333333</v>
      </c>
      <c r="H190" s="224">
        <f>(G190+G191)/2</f>
        <v>11.4286485319516</v>
      </c>
      <c r="I190" s="229">
        <f>(G190-G191)*100/H190</f>
        <v>0.519480519480528</v>
      </c>
    </row>
    <row r="191" spans="2:9">
      <c r="B191" s="216"/>
      <c r="C191" s="65">
        <v>11</v>
      </c>
      <c r="D191" s="65">
        <v>10</v>
      </c>
      <c r="E191" s="65">
        <v>9.65</v>
      </c>
      <c r="F191" s="65">
        <v>1</v>
      </c>
      <c r="G191" s="192">
        <f t="shared" si="143"/>
        <v>11.3989637305699</v>
      </c>
      <c r="H191" s="224"/>
      <c r="I191" s="229"/>
    </row>
  </sheetData>
  <mergeCells count="34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4:A45"/>
    <mergeCell ref="A46:A47"/>
    <mergeCell ref="A48:A49"/>
    <mergeCell ref="A50:A51"/>
    <mergeCell ref="A52:A53"/>
    <mergeCell ref="A54:A55"/>
    <mergeCell ref="A56:A57"/>
    <mergeCell ref="A58:A59"/>
    <mergeCell ref="A62:A63"/>
    <mergeCell ref="A66:A67"/>
    <mergeCell ref="A68:A69"/>
    <mergeCell ref="A70:A71"/>
    <mergeCell ref="A72:A73"/>
    <mergeCell ref="A74:A75"/>
    <mergeCell ref="A76:A77"/>
    <mergeCell ref="A78:A79"/>
    <mergeCell ref="A80:A81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5:A126"/>
    <mergeCell ref="A128:A129"/>
    <mergeCell ref="A131:A132"/>
    <mergeCell ref="A133:A134"/>
    <mergeCell ref="A136:A137"/>
    <mergeCell ref="A139:A140"/>
    <mergeCell ref="A142:A143"/>
    <mergeCell ref="A144:A145"/>
    <mergeCell ref="A147:A148"/>
    <mergeCell ref="A150:A151"/>
    <mergeCell ref="A152:A153"/>
    <mergeCell ref="A155:A156"/>
    <mergeCell ref="A157:A158"/>
    <mergeCell ref="A159:A160"/>
    <mergeCell ref="A161:A162"/>
    <mergeCell ref="A163:A164"/>
    <mergeCell ref="A165:A166"/>
    <mergeCell ref="A168:A169"/>
    <mergeCell ref="A170:A171"/>
    <mergeCell ref="A172:A173"/>
    <mergeCell ref="A174:A17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4:B45"/>
    <mergeCell ref="B46:B47"/>
    <mergeCell ref="B48:B49"/>
    <mergeCell ref="B50:B51"/>
    <mergeCell ref="B52:B53"/>
    <mergeCell ref="B54:B55"/>
    <mergeCell ref="B56:B57"/>
    <mergeCell ref="B58:B59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5:B126"/>
    <mergeCell ref="B128:B129"/>
    <mergeCell ref="B131:B132"/>
    <mergeCell ref="B133:B134"/>
    <mergeCell ref="B136:B137"/>
    <mergeCell ref="B139:B140"/>
    <mergeCell ref="B142:B143"/>
    <mergeCell ref="B144:B145"/>
    <mergeCell ref="B147:B148"/>
    <mergeCell ref="B150:B151"/>
    <mergeCell ref="B152:B153"/>
    <mergeCell ref="B155:B156"/>
    <mergeCell ref="B157:B158"/>
    <mergeCell ref="B159:B160"/>
    <mergeCell ref="B161:B162"/>
    <mergeCell ref="B163:B164"/>
    <mergeCell ref="B165:B166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5:H126"/>
    <mergeCell ref="H128:H129"/>
    <mergeCell ref="H131:H132"/>
    <mergeCell ref="H133:H134"/>
    <mergeCell ref="H136:H137"/>
    <mergeCell ref="H139:H140"/>
    <mergeCell ref="H142:H143"/>
    <mergeCell ref="H144:H145"/>
    <mergeCell ref="H147:H148"/>
    <mergeCell ref="H150:H151"/>
    <mergeCell ref="H152:H153"/>
    <mergeCell ref="H155:H156"/>
    <mergeCell ref="H157:H158"/>
    <mergeCell ref="H159:H160"/>
    <mergeCell ref="H161:H162"/>
    <mergeCell ref="H163:H164"/>
    <mergeCell ref="H165:H166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5:I126"/>
    <mergeCell ref="I128:I129"/>
    <mergeCell ref="I131:I132"/>
    <mergeCell ref="I133:I134"/>
    <mergeCell ref="I136:I137"/>
    <mergeCell ref="I139:I140"/>
    <mergeCell ref="I142:I143"/>
    <mergeCell ref="I144:I145"/>
    <mergeCell ref="I147:I148"/>
    <mergeCell ref="I150:I151"/>
    <mergeCell ref="I152:I153"/>
    <mergeCell ref="I155:I156"/>
    <mergeCell ref="I157:I158"/>
    <mergeCell ref="I159:I160"/>
    <mergeCell ref="I161:I162"/>
    <mergeCell ref="I163:I164"/>
    <mergeCell ref="I165:I166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88:I189"/>
    <mergeCell ref="I190:I191"/>
  </mergeCells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0"/>
  <dimension ref="A1:I63"/>
  <sheetViews>
    <sheetView workbookViewId="0">
      <pane ySplit="1" topLeftCell="A29" activePane="bottomLeft" state="frozen"/>
      <selection/>
      <selection pane="bottomLeft" activeCell="E1115" sqref="E1115"/>
    </sheetView>
  </sheetViews>
  <sheetFormatPr defaultColWidth="9" defaultRowHeight="13.5"/>
  <cols>
    <col min="1" max="1" width="15" style="211" customWidth="1"/>
    <col min="2" max="2" width="15.125" style="212" customWidth="1"/>
    <col min="5" max="5" width="9" style="51" customWidth="1"/>
    <col min="6" max="6" width="9" style="213" customWidth="1"/>
    <col min="7" max="7" width="9" style="214" customWidth="1"/>
    <col min="8" max="8" width="9" style="213" customWidth="1"/>
  </cols>
  <sheetData>
    <row r="1" spans="1:9">
      <c r="A1" s="211" t="s">
        <v>2</v>
      </c>
      <c r="B1" s="212" t="s">
        <v>368</v>
      </c>
      <c r="C1" t="s">
        <v>140</v>
      </c>
      <c r="D1" s="215" t="s">
        <v>1314</v>
      </c>
      <c r="E1" s="51" t="s">
        <v>143</v>
      </c>
      <c r="F1" s="213" t="s">
        <v>1316</v>
      </c>
      <c r="G1" s="214" t="s">
        <v>145</v>
      </c>
      <c r="H1" s="213" t="s">
        <v>146</v>
      </c>
      <c r="I1" t="s">
        <v>147</v>
      </c>
    </row>
    <row r="2" ht="25.5" customHeight="1" spans="1:8">
      <c r="A2" s="46" t="s">
        <v>1330</v>
      </c>
      <c r="B2" s="69" t="s">
        <v>1429</v>
      </c>
      <c r="C2">
        <v>10.4</v>
      </c>
      <c r="D2">
        <v>10</v>
      </c>
      <c r="E2" s="51">
        <v>6.5</v>
      </c>
      <c r="F2" s="213">
        <f t="shared" ref="F2:F3" si="0">(C2-E2)*100/D2/10</f>
        <v>3.9</v>
      </c>
      <c r="G2" s="165">
        <f t="shared" ref="G2" si="1">(F2+F3)/2</f>
        <v>3.9</v>
      </c>
      <c r="H2" s="50">
        <f t="shared" ref="H2" si="2">(F2-F3)/G2*100</f>
        <v>0</v>
      </c>
    </row>
    <row r="3" spans="1:8">
      <c r="A3" s="46"/>
      <c r="B3" s="69"/>
      <c r="C3">
        <v>10.4</v>
      </c>
      <c r="D3">
        <v>10</v>
      </c>
      <c r="E3" s="51">
        <v>6.5</v>
      </c>
      <c r="F3" s="213">
        <f t="shared" si="0"/>
        <v>3.9</v>
      </c>
      <c r="G3" s="165"/>
      <c r="H3" s="50"/>
    </row>
    <row r="4" ht="25.5" customHeight="1" spans="1:8">
      <c r="A4" s="46" t="s">
        <v>1430</v>
      </c>
      <c r="B4" s="69" t="s">
        <v>1431</v>
      </c>
      <c r="C4">
        <v>10.5</v>
      </c>
      <c r="D4">
        <v>10</v>
      </c>
      <c r="E4" s="51">
        <v>7.7</v>
      </c>
      <c r="F4" s="213">
        <f t="shared" ref="F4:F5" si="3">(C4-E4)*100/D4/10</f>
        <v>2.8</v>
      </c>
      <c r="G4" s="165">
        <f t="shared" ref="G4" si="4">(F4+F5)/2</f>
        <v>2.8</v>
      </c>
      <c r="H4" s="50">
        <f t="shared" ref="H4" si="5">(F4-F5)/G4*100</f>
        <v>0</v>
      </c>
    </row>
    <row r="5" spans="1:8">
      <c r="A5" s="46"/>
      <c r="B5" s="69"/>
      <c r="C5">
        <v>10.5</v>
      </c>
      <c r="D5">
        <v>10</v>
      </c>
      <c r="E5" s="51">
        <v>7.7</v>
      </c>
      <c r="F5" s="213">
        <f t="shared" si="3"/>
        <v>2.8</v>
      </c>
      <c r="G5" s="165"/>
      <c r="H5" s="50"/>
    </row>
    <row r="6" ht="25.5" customHeight="1" spans="1:8">
      <c r="A6" s="46" t="s">
        <v>1355</v>
      </c>
      <c r="B6" s="69" t="s">
        <v>1432</v>
      </c>
      <c r="C6">
        <v>10.5</v>
      </c>
      <c r="D6">
        <v>10</v>
      </c>
      <c r="E6" s="51">
        <v>7.7</v>
      </c>
      <c r="F6" s="213">
        <f t="shared" ref="F6:F9" si="6">(C6-E6)*100/D6/10</f>
        <v>2.8</v>
      </c>
      <c r="G6" s="165">
        <f t="shared" ref="G6" si="7">(F6+F7)/2</f>
        <v>2.8</v>
      </c>
      <c r="H6" s="50">
        <f t="shared" ref="H6" si="8">(F6-F7)/G6*100</f>
        <v>0</v>
      </c>
    </row>
    <row r="7" spans="1:8">
      <c r="A7" s="46"/>
      <c r="B7" s="69"/>
      <c r="C7">
        <v>10.5</v>
      </c>
      <c r="D7">
        <v>10</v>
      </c>
      <c r="E7" s="51">
        <v>7.7</v>
      </c>
      <c r="F7" s="213">
        <f t="shared" si="6"/>
        <v>2.8</v>
      </c>
      <c r="G7" s="165"/>
      <c r="H7" s="50"/>
    </row>
    <row r="8" ht="25.5" customHeight="1" spans="1:8">
      <c r="A8" s="46" t="s">
        <v>1430</v>
      </c>
      <c r="B8" s="69" t="s">
        <v>1433</v>
      </c>
      <c r="C8">
        <v>10.52</v>
      </c>
      <c r="D8">
        <v>10</v>
      </c>
      <c r="E8" s="51">
        <v>5.28</v>
      </c>
      <c r="F8" s="213">
        <f t="shared" si="6"/>
        <v>5.24</v>
      </c>
      <c r="G8" s="165">
        <f t="shared" ref="G8" si="9">(F8+F9)/2</f>
        <v>5.24</v>
      </c>
      <c r="H8" s="50">
        <f t="shared" ref="H8" si="10">(F8-F9)/G8*100</f>
        <v>0</v>
      </c>
    </row>
    <row r="9" spans="1:8">
      <c r="A9" s="46"/>
      <c r="B9" s="69"/>
      <c r="C9">
        <v>10.52</v>
      </c>
      <c r="D9">
        <v>10</v>
      </c>
      <c r="E9" s="51">
        <v>5.28</v>
      </c>
      <c r="F9" s="213">
        <f t="shared" si="6"/>
        <v>5.24</v>
      </c>
      <c r="G9" s="165"/>
      <c r="H9" s="50"/>
    </row>
    <row r="11" ht="25.5" customHeight="1" spans="1:8">
      <c r="A11" s="46" t="s">
        <v>1330</v>
      </c>
      <c r="B11" s="216" t="s">
        <v>1434</v>
      </c>
      <c r="C11">
        <v>10.7</v>
      </c>
      <c r="D11">
        <v>10</v>
      </c>
      <c r="E11" s="51">
        <v>8.1</v>
      </c>
      <c r="F11" s="213">
        <f t="shared" ref="F11:F12" si="11">(C11-E11)*100/D11/10</f>
        <v>2.6</v>
      </c>
      <c r="G11" s="165">
        <f t="shared" ref="G11" si="12">(F11+F12)/2</f>
        <v>2.6</v>
      </c>
      <c r="H11" s="50">
        <f t="shared" ref="H11" si="13">(F11-F12)/G11*100</f>
        <v>0</v>
      </c>
    </row>
    <row r="12" spans="1:8">
      <c r="A12" s="46"/>
      <c r="B12" s="69"/>
      <c r="C12">
        <v>10.7</v>
      </c>
      <c r="D12">
        <v>10</v>
      </c>
      <c r="E12" s="51">
        <v>8.1</v>
      </c>
      <c r="F12" s="213">
        <f t="shared" si="11"/>
        <v>2.6</v>
      </c>
      <c r="G12" s="165"/>
      <c r="H12" s="50"/>
    </row>
    <row r="14" ht="25.5" customHeight="1" spans="1:8">
      <c r="A14" s="46" t="s">
        <v>1330</v>
      </c>
      <c r="B14" s="216" t="s">
        <v>1435</v>
      </c>
      <c r="C14">
        <v>11.15</v>
      </c>
      <c r="D14">
        <v>5</v>
      </c>
      <c r="E14" s="51">
        <v>7.75</v>
      </c>
      <c r="F14" s="213">
        <f t="shared" ref="F14:F15" si="14">(C14-E14)*100/D14/10</f>
        <v>6.8</v>
      </c>
      <c r="G14" s="165">
        <f t="shared" ref="G14" si="15">(F14+F15)/2</f>
        <v>6.8</v>
      </c>
      <c r="H14" s="50">
        <f t="shared" ref="H14" si="16">(F14-F15)/G14*100</f>
        <v>0</v>
      </c>
    </row>
    <row r="15" spans="1:8">
      <c r="A15" s="46"/>
      <c r="B15" s="69"/>
      <c r="C15">
        <v>11.15</v>
      </c>
      <c r="D15">
        <v>5</v>
      </c>
      <c r="E15" s="51">
        <v>7.75</v>
      </c>
      <c r="F15" s="213">
        <f t="shared" si="14"/>
        <v>6.8</v>
      </c>
      <c r="G15" s="165"/>
      <c r="H15" s="50"/>
    </row>
    <row r="17" ht="25.5" customHeight="1" spans="1:8">
      <c r="A17" s="46" t="s">
        <v>1330</v>
      </c>
      <c r="B17" s="216" t="s">
        <v>1435</v>
      </c>
      <c r="C17">
        <v>10.85</v>
      </c>
      <c r="D17">
        <v>10</v>
      </c>
      <c r="E17" s="51">
        <v>4.1</v>
      </c>
      <c r="F17" s="213">
        <f t="shared" ref="F17:F18" si="17">(C17-E17)*100/D17/10</f>
        <v>6.75</v>
      </c>
      <c r="G17" s="165">
        <f t="shared" ref="G17" si="18">(F17+F18)/2</f>
        <v>6.75</v>
      </c>
      <c r="H17" s="50">
        <f t="shared" ref="H17" si="19">(F17-F18)/G17*100</f>
        <v>0</v>
      </c>
    </row>
    <row r="18" spans="1:8">
      <c r="A18" s="46"/>
      <c r="B18" s="69"/>
      <c r="C18">
        <v>10.85</v>
      </c>
      <c r="D18">
        <v>10</v>
      </c>
      <c r="E18" s="51">
        <v>4.1</v>
      </c>
      <c r="F18" s="213">
        <f t="shared" si="17"/>
        <v>6.75</v>
      </c>
      <c r="G18" s="165"/>
      <c r="H18" s="50"/>
    </row>
    <row r="20" spans="1:8">
      <c r="A20" s="217" t="s">
        <v>1397</v>
      </c>
      <c r="B20" s="216" t="s">
        <v>1436</v>
      </c>
      <c r="C20">
        <v>11.45</v>
      </c>
      <c r="D20">
        <v>10</v>
      </c>
      <c r="E20" s="51">
        <v>11.1</v>
      </c>
      <c r="F20" s="213">
        <f t="shared" ref="F20:F23" si="20">(C20-E20)*100/D20/10</f>
        <v>0.35</v>
      </c>
      <c r="G20" s="165">
        <f t="shared" ref="G20" si="21">(F20+F21)/2</f>
        <v>0.35</v>
      </c>
      <c r="H20" s="50">
        <f t="shared" ref="H20" si="22">(F20-F21)/G20*100</f>
        <v>0</v>
      </c>
    </row>
    <row r="21" spans="1:8">
      <c r="A21" s="46"/>
      <c r="B21" s="69"/>
      <c r="C21">
        <v>11.45</v>
      </c>
      <c r="D21">
        <v>10</v>
      </c>
      <c r="E21" s="51">
        <v>11.1</v>
      </c>
      <c r="F21" s="213">
        <f t="shared" si="20"/>
        <v>0.35</v>
      </c>
      <c r="G21" s="165"/>
      <c r="H21" s="50"/>
    </row>
    <row r="22" spans="1:8">
      <c r="A22" s="217" t="s">
        <v>1397</v>
      </c>
      <c r="B22" s="216" t="s">
        <v>1437</v>
      </c>
      <c r="C22">
        <v>11.45</v>
      </c>
      <c r="D22">
        <v>10</v>
      </c>
      <c r="E22" s="51">
        <v>6.35</v>
      </c>
      <c r="F22" s="213">
        <f t="shared" si="20"/>
        <v>5.1</v>
      </c>
      <c r="G22" s="165">
        <f t="shared" ref="G22" si="23">(F22+F23)/2</f>
        <v>5.1</v>
      </c>
      <c r="H22" s="50">
        <f t="shared" ref="H22" si="24">(F22-F23)/G22*100</f>
        <v>0</v>
      </c>
    </row>
    <row r="23" spans="1:8">
      <c r="A23" s="46"/>
      <c r="B23" s="69"/>
      <c r="C23">
        <v>11.45</v>
      </c>
      <c r="D23">
        <v>10</v>
      </c>
      <c r="E23" s="51">
        <v>6.35</v>
      </c>
      <c r="F23" s="213">
        <f t="shared" si="20"/>
        <v>5.1</v>
      </c>
      <c r="G23" s="165"/>
      <c r="H23" s="50"/>
    </row>
    <row r="24" spans="1:8">
      <c r="A24" s="217" t="s">
        <v>1397</v>
      </c>
      <c r="B24" s="216" t="s">
        <v>1436</v>
      </c>
      <c r="C24">
        <v>11.15</v>
      </c>
      <c r="D24">
        <v>20</v>
      </c>
      <c r="E24" s="51">
        <v>10.8</v>
      </c>
      <c r="F24" s="213">
        <f t="shared" ref="F24:F29" si="25">(C24-E24)*100/D24/10</f>
        <v>0.175</v>
      </c>
      <c r="G24" s="165">
        <f t="shared" ref="G24" si="26">(F24+F25)/2</f>
        <v>0.175</v>
      </c>
      <c r="H24" s="50">
        <f t="shared" ref="H24" si="27">(F24-F25)/G24*100</f>
        <v>0</v>
      </c>
    </row>
    <row r="25" spans="1:8">
      <c r="A25" s="46"/>
      <c r="B25" s="69"/>
      <c r="C25">
        <v>11.15</v>
      </c>
      <c r="D25">
        <v>20</v>
      </c>
      <c r="E25" s="51">
        <v>10.8</v>
      </c>
      <c r="F25" s="213">
        <f t="shared" si="25"/>
        <v>0.175</v>
      </c>
      <c r="G25" s="165"/>
      <c r="H25" s="50"/>
    </row>
    <row r="26" s="97" customFormat="1" spans="1:8">
      <c r="A26" s="218" t="s">
        <v>1330</v>
      </c>
      <c r="B26" s="219" t="s">
        <v>1438</v>
      </c>
      <c r="C26" s="97">
        <v>11.45</v>
      </c>
      <c r="D26" s="97">
        <v>10</v>
      </c>
      <c r="E26" s="220">
        <v>8.3</v>
      </c>
      <c r="F26" s="221">
        <f t="shared" si="25"/>
        <v>3.15</v>
      </c>
      <c r="G26" s="222">
        <f t="shared" ref="G26" si="28">(F26+F27)/2</f>
        <v>3.15</v>
      </c>
      <c r="H26" s="148">
        <f t="shared" ref="H26" si="29">(F26-F27)/G26*100</f>
        <v>0</v>
      </c>
    </row>
    <row r="27" s="97" customFormat="1" spans="1:8">
      <c r="A27" s="218"/>
      <c r="B27" s="219"/>
      <c r="C27" s="97">
        <v>11.45</v>
      </c>
      <c r="D27" s="97">
        <v>10</v>
      </c>
      <c r="E27" s="220">
        <v>8.3</v>
      </c>
      <c r="F27" s="221">
        <f t="shared" si="25"/>
        <v>3.15</v>
      </c>
      <c r="G27" s="222"/>
      <c r="H27" s="148"/>
    </row>
    <row r="28" spans="1:8">
      <c r="A28" s="218" t="s">
        <v>1319</v>
      </c>
      <c r="B28" s="219" t="s">
        <v>1439</v>
      </c>
      <c r="C28" s="97">
        <v>11.45</v>
      </c>
      <c r="D28" s="97">
        <v>10</v>
      </c>
      <c r="E28" s="220">
        <v>8.3</v>
      </c>
      <c r="F28" s="221">
        <f t="shared" si="25"/>
        <v>3.15</v>
      </c>
      <c r="G28" s="222">
        <f>(F28+F29)/2</f>
        <v>3.175</v>
      </c>
      <c r="H28" s="148">
        <f>(F28-F29)/G28*100</f>
        <v>-1.57480314960631</v>
      </c>
    </row>
    <row r="29" spans="1:8">
      <c r="A29" s="218"/>
      <c r="B29" s="219"/>
      <c r="C29" s="97">
        <v>11.5</v>
      </c>
      <c r="D29" s="97">
        <v>10</v>
      </c>
      <c r="E29" s="220">
        <v>8.3</v>
      </c>
      <c r="F29" s="221">
        <f t="shared" si="25"/>
        <v>3.2</v>
      </c>
      <c r="G29" s="222"/>
      <c r="H29" s="148"/>
    </row>
    <row r="30" spans="1:8">
      <c r="A30" s="217" t="s">
        <v>1397</v>
      </c>
      <c r="B30" s="216" t="s">
        <v>1440</v>
      </c>
      <c r="C30">
        <v>11.3</v>
      </c>
      <c r="D30">
        <v>10</v>
      </c>
      <c r="E30" s="51">
        <v>10.9</v>
      </c>
      <c r="F30" s="213">
        <f t="shared" ref="F30:F31" si="30">(C30-E30)*100/D30/10</f>
        <v>0.4</v>
      </c>
      <c r="G30" s="165">
        <f t="shared" ref="G30" si="31">(F30+F31)/2</f>
        <v>0.4</v>
      </c>
      <c r="H30" s="50">
        <f t="shared" ref="H30" si="32">(F30-F31)/G30*100</f>
        <v>0</v>
      </c>
    </row>
    <row r="31" spans="1:8">
      <c r="A31" s="46"/>
      <c r="B31" s="69"/>
      <c r="C31">
        <v>11.3</v>
      </c>
      <c r="D31">
        <v>10</v>
      </c>
      <c r="E31" s="51">
        <v>10.9</v>
      </c>
      <c r="F31" s="213">
        <f t="shared" si="30"/>
        <v>0.4</v>
      </c>
      <c r="G31" s="165"/>
      <c r="H31" s="50"/>
    </row>
    <row r="33" spans="1:8">
      <c r="A33" s="217" t="s">
        <v>1325</v>
      </c>
      <c r="B33" s="216" t="s">
        <v>1441</v>
      </c>
      <c r="C33">
        <v>11.3</v>
      </c>
      <c r="D33">
        <v>10</v>
      </c>
      <c r="E33" s="51">
        <v>10.9</v>
      </c>
      <c r="F33" s="213">
        <f t="shared" ref="F33:F36" si="33">(C33-E33)*100/D33/10</f>
        <v>0.4</v>
      </c>
      <c r="G33" s="165">
        <f t="shared" ref="G33" si="34">(F33+F34)/2</f>
        <v>0.4</v>
      </c>
      <c r="H33" s="50">
        <f t="shared" ref="H33" si="35">(F33-F34)/G33*100</f>
        <v>0</v>
      </c>
    </row>
    <row r="34" spans="1:8">
      <c r="A34" s="46"/>
      <c r="B34" s="69"/>
      <c r="C34">
        <v>11.3</v>
      </c>
      <c r="D34">
        <v>10</v>
      </c>
      <c r="E34" s="51">
        <v>10.9</v>
      </c>
      <c r="F34" s="213">
        <f t="shared" si="33"/>
        <v>0.4</v>
      </c>
      <c r="G34" s="165"/>
      <c r="H34" s="50"/>
    </row>
    <row r="35" spans="1:8">
      <c r="A35" s="217" t="s">
        <v>1397</v>
      </c>
      <c r="B35" s="216" t="s">
        <v>1442</v>
      </c>
      <c r="C35">
        <v>11.2</v>
      </c>
      <c r="D35">
        <v>10</v>
      </c>
      <c r="E35" s="51">
        <v>9.1</v>
      </c>
      <c r="F35" s="213">
        <f t="shared" si="33"/>
        <v>2.1</v>
      </c>
      <c r="G35" s="165">
        <f t="shared" ref="G35" si="36">(F35+F36)/2</f>
        <v>2.1</v>
      </c>
      <c r="H35" s="50">
        <f t="shared" ref="H35" si="37">(F35-F36)/G35*100</f>
        <v>0</v>
      </c>
    </row>
    <row r="36" spans="1:8">
      <c r="A36" s="46"/>
      <c r="B36" s="69"/>
      <c r="C36">
        <v>11.2</v>
      </c>
      <c r="D36">
        <v>10</v>
      </c>
      <c r="E36" s="51">
        <v>9.1</v>
      </c>
      <c r="F36" s="213">
        <f t="shared" si="33"/>
        <v>2.1</v>
      </c>
      <c r="G36" s="165"/>
      <c r="H36" s="50"/>
    </row>
    <row r="37" spans="1:8">
      <c r="A37" s="217" t="s">
        <v>1397</v>
      </c>
      <c r="B37" s="216" t="s">
        <v>1440</v>
      </c>
      <c r="C37">
        <v>11.2</v>
      </c>
      <c r="D37">
        <v>10</v>
      </c>
      <c r="E37" s="51">
        <v>9.05</v>
      </c>
      <c r="F37" s="213">
        <f t="shared" ref="F37:F40" si="38">(C37-E37)*100/D37/10</f>
        <v>2.15</v>
      </c>
      <c r="G37" s="165">
        <f t="shared" ref="G37" si="39">(F37+F38)/2</f>
        <v>2.15</v>
      </c>
      <c r="H37" s="50">
        <f t="shared" ref="H37" si="40">(F37-F38)/G37*100</f>
        <v>0</v>
      </c>
    </row>
    <row r="38" spans="1:8">
      <c r="A38" s="46"/>
      <c r="B38" s="69"/>
      <c r="C38">
        <v>11.2</v>
      </c>
      <c r="D38">
        <v>10</v>
      </c>
      <c r="E38" s="51">
        <v>9.05</v>
      </c>
      <c r="F38" s="213">
        <f t="shared" si="38"/>
        <v>2.15</v>
      </c>
      <c r="G38" s="165"/>
      <c r="H38" s="50"/>
    </row>
    <row r="39" spans="1:9">
      <c r="A39" s="217" t="s">
        <v>1325</v>
      </c>
      <c r="B39" s="216" t="s">
        <v>1441</v>
      </c>
      <c r="C39">
        <v>11.3</v>
      </c>
      <c r="D39">
        <v>10</v>
      </c>
      <c r="E39" s="51">
        <v>10.6</v>
      </c>
      <c r="F39" s="213">
        <f t="shared" si="38"/>
        <v>0.700000000000001</v>
      </c>
      <c r="G39" s="165">
        <f t="shared" ref="G39" si="41">(F39+F40)/2</f>
        <v>0.700000000000001</v>
      </c>
      <c r="H39" s="50">
        <f t="shared" ref="H39" si="42">(F39-F40)/G39*100</f>
        <v>0</v>
      </c>
      <c r="I39" s="65" t="s">
        <v>222</v>
      </c>
    </row>
    <row r="40" spans="1:8">
      <c r="A40" s="46"/>
      <c r="B40" s="69"/>
      <c r="C40">
        <v>11.3</v>
      </c>
      <c r="D40">
        <v>10</v>
      </c>
      <c r="E40" s="51">
        <v>10.6</v>
      </c>
      <c r="F40" s="213">
        <f t="shared" si="38"/>
        <v>0.700000000000001</v>
      </c>
      <c r="G40" s="165"/>
      <c r="H40" s="50"/>
    </row>
    <row r="42" spans="1:8">
      <c r="A42" s="217" t="s">
        <v>1325</v>
      </c>
      <c r="B42" s="216" t="s">
        <v>1441</v>
      </c>
      <c r="C42">
        <v>11.3</v>
      </c>
      <c r="D42">
        <v>10</v>
      </c>
      <c r="E42" s="51">
        <v>9.25</v>
      </c>
      <c r="F42" s="213">
        <f t="shared" ref="F42:F43" si="43">(C42-E42)*100/D42/10</f>
        <v>2.05</v>
      </c>
      <c r="G42" s="165">
        <f t="shared" ref="G42" si="44">(F42+F43)/2</f>
        <v>2.05</v>
      </c>
      <c r="H42" s="50">
        <f t="shared" ref="H42" si="45">(F42-F43)/G42*100</f>
        <v>0</v>
      </c>
    </row>
    <row r="43" ht="18" customHeight="1" spans="1:8">
      <c r="A43" s="46"/>
      <c r="B43" s="69"/>
      <c r="C43">
        <v>11.3</v>
      </c>
      <c r="D43">
        <v>10</v>
      </c>
      <c r="E43" s="51">
        <v>9.25</v>
      </c>
      <c r="F43" s="213">
        <f t="shared" si="43"/>
        <v>2.05</v>
      </c>
      <c r="G43" s="165"/>
      <c r="H43" s="50"/>
    </row>
    <row r="44" ht="51" hidden="1" customHeight="1" spans="1:8">
      <c r="A44" s="217" t="s">
        <v>1325</v>
      </c>
      <c r="B44" s="216" t="s">
        <v>1441</v>
      </c>
      <c r="C44">
        <v>11.3</v>
      </c>
      <c r="D44">
        <v>10</v>
      </c>
      <c r="E44" s="51">
        <v>9.25</v>
      </c>
      <c r="F44" s="213">
        <f t="shared" ref="F44:F46" si="46">(C44-E44)*100/D44/10</f>
        <v>2.05</v>
      </c>
      <c r="G44" s="165">
        <f t="shared" ref="G44" si="47">(F44+F45)/2</f>
        <v>2.05</v>
      </c>
      <c r="H44" s="50">
        <f t="shared" ref="H44" si="48">(F44-F45)/G44*100</f>
        <v>0</v>
      </c>
    </row>
    <row r="45" ht="51" hidden="1" customHeight="1" spans="1:8">
      <c r="A45" s="46"/>
      <c r="B45" s="69"/>
      <c r="C45">
        <v>11.3</v>
      </c>
      <c r="D45">
        <v>10</v>
      </c>
      <c r="E45" s="51">
        <v>9.25</v>
      </c>
      <c r="F45" s="213">
        <f t="shared" si="46"/>
        <v>2.05</v>
      </c>
      <c r="G45" s="165"/>
      <c r="H45" s="50"/>
    </row>
    <row r="46" ht="24" customHeight="1" spans="1:9">
      <c r="A46" s="217" t="s">
        <v>1325</v>
      </c>
      <c r="B46" s="216" t="s">
        <v>1441</v>
      </c>
      <c r="C46">
        <v>11.3</v>
      </c>
      <c r="D46">
        <v>10</v>
      </c>
      <c r="E46" s="51">
        <v>9.25</v>
      </c>
      <c r="F46" s="213">
        <f t="shared" si="46"/>
        <v>2.05</v>
      </c>
      <c r="G46" s="165">
        <f>(F46+F47)/2</f>
        <v>2.025</v>
      </c>
      <c r="H46" s="50">
        <f t="shared" ref="H46" si="49">(F46-F47)/G46*100</f>
        <v>2.46913580246917</v>
      </c>
      <c r="I46" s="65" t="s">
        <v>222</v>
      </c>
    </row>
    <row r="47" ht="19.5" customHeight="1" spans="1:8">
      <c r="A47" s="46"/>
      <c r="B47" s="69"/>
      <c r="C47">
        <v>11.3</v>
      </c>
      <c r="D47">
        <v>10</v>
      </c>
      <c r="E47" s="51">
        <v>9.3</v>
      </c>
      <c r="F47" s="213">
        <f t="shared" ref="F47:F51" si="50">(C47-E47)*100/D47/10</f>
        <v>2</v>
      </c>
      <c r="G47" s="165"/>
      <c r="H47" s="50"/>
    </row>
    <row r="48" spans="1:8">
      <c r="A48" s="217" t="s">
        <v>1397</v>
      </c>
      <c r="B48" s="216" t="s">
        <v>1443</v>
      </c>
      <c r="C48">
        <v>11.1</v>
      </c>
      <c r="D48">
        <v>10</v>
      </c>
      <c r="E48" s="51">
        <v>9.05</v>
      </c>
      <c r="F48" s="213">
        <f t="shared" si="50"/>
        <v>2.05</v>
      </c>
      <c r="G48" s="165">
        <f t="shared" ref="G48" si="51">(F48+F49)/2</f>
        <v>2.05</v>
      </c>
      <c r="H48" s="50">
        <f t="shared" ref="H48" si="52">(F48-F49)/G48*100</f>
        <v>0</v>
      </c>
    </row>
    <row r="49" spans="1:8">
      <c r="A49" s="46"/>
      <c r="B49" s="69"/>
      <c r="C49">
        <v>11.1</v>
      </c>
      <c r="D49">
        <v>10</v>
      </c>
      <c r="E49" s="51">
        <v>9.05</v>
      </c>
      <c r="F49" s="213">
        <f t="shared" si="50"/>
        <v>2.05</v>
      </c>
      <c r="G49" s="165"/>
      <c r="H49" s="50"/>
    </row>
    <row r="50" spans="1:8">
      <c r="A50" s="217" t="s">
        <v>1397</v>
      </c>
      <c r="B50" s="216" t="s">
        <v>1443</v>
      </c>
      <c r="C50">
        <v>11.1</v>
      </c>
      <c r="D50">
        <v>10</v>
      </c>
      <c r="E50" s="51">
        <v>9.05</v>
      </c>
      <c r="F50" s="213">
        <f t="shared" si="50"/>
        <v>2.05</v>
      </c>
      <c r="G50" s="165">
        <f t="shared" ref="G50" si="53">(F50+F51)/2</f>
        <v>2.05</v>
      </c>
      <c r="H50" s="50">
        <f t="shared" ref="H50" si="54">(F50-F51)/G50*100</f>
        <v>0</v>
      </c>
    </row>
    <row r="51" spans="1:8">
      <c r="A51" s="46"/>
      <c r="B51" s="69"/>
      <c r="C51">
        <v>11.1</v>
      </c>
      <c r="D51">
        <v>10</v>
      </c>
      <c r="E51" s="51">
        <v>9.05</v>
      </c>
      <c r="F51" s="213">
        <f t="shared" si="50"/>
        <v>2.05</v>
      </c>
      <c r="G51" s="165"/>
      <c r="H51" s="50"/>
    </row>
    <row r="52" spans="1:8">
      <c r="A52" s="217" t="s">
        <v>1397</v>
      </c>
      <c r="B52" s="216" t="s">
        <v>1444</v>
      </c>
      <c r="C52">
        <v>11.1</v>
      </c>
      <c r="D52">
        <v>10</v>
      </c>
      <c r="E52" s="51">
        <v>10</v>
      </c>
      <c r="F52" s="213">
        <f t="shared" ref="F52:F57" si="55">(C52-E52)*100/D52/10</f>
        <v>1.1</v>
      </c>
      <c r="G52" s="165">
        <f t="shared" ref="G52" si="56">(F52+F53)/2</f>
        <v>1.1</v>
      </c>
      <c r="H52" s="50">
        <f t="shared" ref="H52" si="57">(F52-F53)/G52*100</f>
        <v>0</v>
      </c>
    </row>
    <row r="53" ht="24.75" customHeight="1" spans="1:8">
      <c r="A53" s="46"/>
      <c r="B53" s="69"/>
      <c r="C53">
        <v>11.1</v>
      </c>
      <c r="D53">
        <v>10</v>
      </c>
      <c r="E53" s="51">
        <v>10</v>
      </c>
      <c r="F53" s="213">
        <f t="shared" si="55"/>
        <v>1.1</v>
      </c>
      <c r="G53" s="165"/>
      <c r="H53" s="50"/>
    </row>
    <row r="54" spans="2:8">
      <c r="B54" s="216" t="s">
        <v>1445</v>
      </c>
      <c r="C54">
        <v>10.7</v>
      </c>
      <c r="D54">
        <v>10.2191</v>
      </c>
      <c r="E54" s="51">
        <v>7.6</v>
      </c>
      <c r="F54" s="213">
        <f t="shared" si="55"/>
        <v>3.0335352428296</v>
      </c>
      <c r="G54" s="165">
        <f t="shared" ref="G54" si="58">(F54+F55)/2</f>
        <v>3.0112758612856</v>
      </c>
      <c r="H54" s="50">
        <f t="shared" ref="H54" si="59">(F54-F55)/G54*100</f>
        <v>1.47840201757508</v>
      </c>
    </row>
    <row r="55" spans="2:8">
      <c r="B55" s="69"/>
      <c r="C55">
        <v>10.7</v>
      </c>
      <c r="D55">
        <v>11.2077</v>
      </c>
      <c r="E55" s="51">
        <v>7.35</v>
      </c>
      <c r="F55" s="213">
        <f t="shared" si="55"/>
        <v>2.98901647974161</v>
      </c>
      <c r="G55" s="165"/>
      <c r="H55" s="50"/>
    </row>
    <row r="56" spans="2:8">
      <c r="B56" s="216" t="s">
        <v>1446</v>
      </c>
      <c r="C56">
        <v>10.7</v>
      </c>
      <c r="D56">
        <v>10.5056</v>
      </c>
      <c r="E56" s="51">
        <v>7.9</v>
      </c>
      <c r="F56" s="213">
        <f t="shared" si="55"/>
        <v>2.66524520255863</v>
      </c>
      <c r="G56" s="165">
        <f t="shared" ref="G56" si="60">(F56+F57)/2</f>
        <v>2.64605659878866</v>
      </c>
      <c r="H56" s="50">
        <f t="shared" ref="H56" si="61">(F56-F57)/G56*100</f>
        <v>1.45035474893182</v>
      </c>
    </row>
    <row r="57" spans="2:8">
      <c r="B57" s="69"/>
      <c r="C57">
        <v>10.7</v>
      </c>
      <c r="D57">
        <v>10.2784</v>
      </c>
      <c r="E57" s="51">
        <v>8</v>
      </c>
      <c r="F57" s="213">
        <f t="shared" si="55"/>
        <v>2.62686799501868</v>
      </c>
      <c r="G57" s="165"/>
      <c r="H57" s="50"/>
    </row>
    <row r="58" spans="2:8">
      <c r="B58" s="216" t="s">
        <v>1447</v>
      </c>
      <c r="C58">
        <v>10.7</v>
      </c>
      <c r="D58">
        <v>10.8249</v>
      </c>
      <c r="E58" s="51">
        <v>10.15</v>
      </c>
      <c r="F58" s="213">
        <f t="shared" ref="F58:F61" si="62">(C58-E58)*100/D58/10</f>
        <v>0.508087834529648</v>
      </c>
      <c r="G58" s="165">
        <f t="shared" ref="G58" si="63">(F58+F59)/2</f>
        <v>0.505836220660815</v>
      </c>
      <c r="H58" s="50">
        <f t="shared" ref="H58" si="64">(F58-F59)/G58*100</f>
        <v>0.890254108688259</v>
      </c>
    </row>
    <row r="59" spans="2:8">
      <c r="B59" s="69"/>
      <c r="C59">
        <v>10.7</v>
      </c>
      <c r="D59">
        <v>10.9217</v>
      </c>
      <c r="E59" s="51">
        <v>10.15</v>
      </c>
      <c r="F59" s="213">
        <f t="shared" si="62"/>
        <v>0.503584606791982</v>
      </c>
      <c r="G59" s="165"/>
      <c r="H59" s="50"/>
    </row>
    <row r="60" spans="2:8">
      <c r="B60" s="216" t="s">
        <v>1448</v>
      </c>
      <c r="C60">
        <v>10.7</v>
      </c>
      <c r="D60">
        <v>10</v>
      </c>
      <c r="E60" s="51">
        <v>7</v>
      </c>
      <c r="F60" s="213">
        <f t="shared" si="62"/>
        <v>3.7</v>
      </c>
      <c r="G60" s="165">
        <f t="shared" ref="G60" si="65">(F60+F61)/2</f>
        <v>3.52461483858712</v>
      </c>
      <c r="H60" s="50">
        <f t="shared" ref="H60" si="66">(F60-F61)/G60*100</f>
        <v>9.9520185577599</v>
      </c>
    </row>
    <row r="61" spans="2:8">
      <c r="B61" s="69"/>
      <c r="C61">
        <v>10.7</v>
      </c>
      <c r="D61">
        <v>10.0023</v>
      </c>
      <c r="E61" s="51">
        <v>7.35</v>
      </c>
      <c r="F61" s="213">
        <f t="shared" si="62"/>
        <v>3.34922967717425</v>
      </c>
      <c r="G61" s="165"/>
      <c r="H61" s="50"/>
    </row>
    <row r="62" spans="1:8">
      <c r="A62" s="211">
        <v>320</v>
      </c>
      <c r="B62" s="216" t="s">
        <v>1449</v>
      </c>
      <c r="C62">
        <v>11</v>
      </c>
      <c r="D62">
        <v>10</v>
      </c>
      <c r="E62" s="51">
        <v>7.05</v>
      </c>
      <c r="F62" s="213">
        <f t="shared" ref="F62:F63" si="67">(C62-E62)*100/D62/10</f>
        <v>3.95</v>
      </c>
      <c r="G62" s="165">
        <f t="shared" ref="G62" si="68">(F62+F63)/2</f>
        <v>3.95</v>
      </c>
      <c r="H62" s="50">
        <f t="shared" ref="H62" si="69">(F62-F63)/G62*100</f>
        <v>0</v>
      </c>
    </row>
    <row r="63" spans="2:8">
      <c r="B63" s="69"/>
      <c r="C63">
        <v>11</v>
      </c>
      <c r="D63">
        <v>10</v>
      </c>
      <c r="E63" s="51">
        <v>7.05</v>
      </c>
      <c r="F63" s="213">
        <f t="shared" si="67"/>
        <v>3.95</v>
      </c>
      <c r="G63" s="165"/>
      <c r="H63" s="50"/>
    </row>
  </sheetData>
  <mergeCells count="107">
    <mergeCell ref="A2:A3"/>
    <mergeCell ref="A4:A5"/>
    <mergeCell ref="A6:A7"/>
    <mergeCell ref="A8:A9"/>
    <mergeCell ref="A11:A12"/>
    <mergeCell ref="A14:A15"/>
    <mergeCell ref="A17:A18"/>
    <mergeCell ref="A20:A21"/>
    <mergeCell ref="A22:A23"/>
    <mergeCell ref="A24:A25"/>
    <mergeCell ref="A26:A27"/>
    <mergeCell ref="A28:A29"/>
    <mergeCell ref="A30:A31"/>
    <mergeCell ref="A33:A34"/>
    <mergeCell ref="A35:A36"/>
    <mergeCell ref="A37:A38"/>
    <mergeCell ref="A39:A40"/>
    <mergeCell ref="A42:A43"/>
    <mergeCell ref="A44:A45"/>
    <mergeCell ref="A46:A47"/>
    <mergeCell ref="A48:A49"/>
    <mergeCell ref="A50:A51"/>
    <mergeCell ref="A52:A53"/>
    <mergeCell ref="B2:B3"/>
    <mergeCell ref="B4:B5"/>
    <mergeCell ref="B6:B7"/>
    <mergeCell ref="B8:B9"/>
    <mergeCell ref="B11:B12"/>
    <mergeCell ref="B14:B15"/>
    <mergeCell ref="B17:B18"/>
    <mergeCell ref="B20:B21"/>
    <mergeCell ref="B22:B23"/>
    <mergeCell ref="B24:B25"/>
    <mergeCell ref="B26:B27"/>
    <mergeCell ref="B28:B29"/>
    <mergeCell ref="B30:B31"/>
    <mergeCell ref="B33:B34"/>
    <mergeCell ref="B35:B36"/>
    <mergeCell ref="B37:B38"/>
    <mergeCell ref="B39:B40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G2:G3"/>
    <mergeCell ref="G4:G5"/>
    <mergeCell ref="G6:G7"/>
    <mergeCell ref="G8:G9"/>
    <mergeCell ref="G11:G12"/>
    <mergeCell ref="G14:G15"/>
    <mergeCell ref="G17:G18"/>
    <mergeCell ref="G20:G21"/>
    <mergeCell ref="G22:G23"/>
    <mergeCell ref="G24:G25"/>
    <mergeCell ref="G26:G27"/>
    <mergeCell ref="G28:G29"/>
    <mergeCell ref="G30:G31"/>
    <mergeCell ref="G33:G34"/>
    <mergeCell ref="G35:G36"/>
    <mergeCell ref="G37:G38"/>
    <mergeCell ref="G39:G40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H2:H3"/>
    <mergeCell ref="H4:H5"/>
    <mergeCell ref="H6:H7"/>
    <mergeCell ref="H8:H9"/>
    <mergeCell ref="H11:H12"/>
    <mergeCell ref="H14:H15"/>
    <mergeCell ref="H17:H18"/>
    <mergeCell ref="H20:H21"/>
    <mergeCell ref="H22:H23"/>
    <mergeCell ref="H24:H25"/>
    <mergeCell ref="H26:H27"/>
    <mergeCell ref="H28:H29"/>
    <mergeCell ref="H30:H31"/>
    <mergeCell ref="H33:H34"/>
    <mergeCell ref="H35:H36"/>
    <mergeCell ref="H37:H38"/>
    <mergeCell ref="H39:H40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O933"/>
  <sheetViews>
    <sheetView zoomScale="120" zoomScaleNormal="120" workbookViewId="0">
      <pane ySplit="1" topLeftCell="A916" activePane="bottomLeft" state="frozen"/>
      <selection/>
      <selection pane="bottomLeft" activeCell="D935" sqref="D935"/>
    </sheetView>
  </sheetViews>
  <sheetFormatPr defaultColWidth="9" defaultRowHeight="13.5"/>
  <cols>
    <col min="2" max="2" width="11.625" style="69" customWidth="1"/>
    <col min="3" max="3" width="13.625" style="53" customWidth="1"/>
    <col min="4" max="4" width="9" style="47" customWidth="1"/>
    <col min="5" max="5" width="9.375" style="54" customWidth="1"/>
    <col min="6" max="6" width="9" style="47" customWidth="1"/>
    <col min="7" max="7" width="9" style="50" customWidth="1"/>
    <col min="8" max="8" width="9" style="70" customWidth="1"/>
    <col min="9" max="9" width="9" style="71" customWidth="1"/>
    <col min="10" max="10" width="9" style="70" customWidth="1"/>
    <col min="11" max="11" width="8.375" style="47" customWidth="1"/>
    <col min="12" max="12" width="9" style="142" customWidth="1"/>
    <col min="13" max="13" width="9" style="143" customWidth="1"/>
    <col min="14" max="14" width="9" style="52" customWidth="1"/>
    <col min="15" max="15" width="9" style="51" customWidth="1"/>
  </cols>
  <sheetData>
    <row r="1" ht="57" customHeight="1" spans="2:11">
      <c r="B1" s="69" t="s">
        <v>2</v>
      </c>
      <c r="C1" s="53" t="s">
        <v>368</v>
      </c>
      <c r="D1" s="47" t="s">
        <v>140</v>
      </c>
      <c r="E1" s="54" t="s">
        <v>141</v>
      </c>
      <c r="F1" s="47" t="s">
        <v>142</v>
      </c>
      <c r="G1" s="50" t="s">
        <v>143</v>
      </c>
      <c r="H1" s="70" t="s">
        <v>1450</v>
      </c>
      <c r="I1" s="71" t="s">
        <v>145</v>
      </c>
      <c r="J1" s="70" t="s">
        <v>146</v>
      </c>
      <c r="K1" s="47" t="s">
        <v>147</v>
      </c>
    </row>
    <row r="3" spans="2:10">
      <c r="B3" s="55" t="s">
        <v>1451</v>
      </c>
      <c r="C3" s="56"/>
      <c r="D3" s="72">
        <v>11.5</v>
      </c>
      <c r="E3" s="73">
        <v>10.3134</v>
      </c>
      <c r="F3" s="72">
        <v>1</v>
      </c>
      <c r="G3" s="66">
        <v>11.1</v>
      </c>
      <c r="H3" s="74">
        <f t="shared" ref="H3:H10" si="0">D3*100*F3*250*0.9/E3/G3/1000</f>
        <v>2.26024500269657</v>
      </c>
      <c r="I3" s="75">
        <f t="shared" ref="I3" si="1">(H3+H4)/2</f>
        <v>2.25015462322025</v>
      </c>
      <c r="J3" s="74">
        <f t="shared" ref="J3" si="2">(H3-H4)/I3*100</f>
        <v>0.896860986547094</v>
      </c>
    </row>
    <row r="4" spans="2:10">
      <c r="B4" s="55"/>
      <c r="C4" s="56"/>
      <c r="D4" s="72">
        <v>11.5</v>
      </c>
      <c r="E4" s="73">
        <v>10.3134</v>
      </c>
      <c r="F4" s="72">
        <v>1</v>
      </c>
      <c r="G4" s="66">
        <v>11.2</v>
      </c>
      <c r="H4" s="74">
        <f t="shared" si="0"/>
        <v>2.24006424374392</v>
      </c>
      <c r="I4" s="75"/>
      <c r="J4" s="74"/>
    </row>
    <row r="5" spans="2:10">
      <c r="B5" s="55" t="s">
        <v>1452</v>
      </c>
      <c r="C5" s="56" t="s">
        <v>1453</v>
      </c>
      <c r="D5" s="72">
        <v>11.4</v>
      </c>
      <c r="E5" s="73">
        <v>2.2909</v>
      </c>
      <c r="F5" s="72">
        <v>1</v>
      </c>
      <c r="G5" s="66">
        <v>8.7</v>
      </c>
      <c r="H5" s="74">
        <f t="shared" si="0"/>
        <v>12.8695091975598</v>
      </c>
      <c r="I5" s="75">
        <f t="shared" ref="I5" si="3">(H5+H6)/2</f>
        <v>13.2363392486773</v>
      </c>
      <c r="J5" s="74">
        <f t="shared" ref="J5" si="4">(H5-H6)/I5*100</f>
        <v>-5.54277197381681</v>
      </c>
    </row>
    <row r="6" spans="2:10">
      <c r="B6" s="55"/>
      <c r="C6" s="56"/>
      <c r="D6" s="72">
        <v>11.4</v>
      </c>
      <c r="E6" s="73">
        <v>2.583</v>
      </c>
      <c r="F6" s="72">
        <v>1</v>
      </c>
      <c r="G6" s="66">
        <v>7.3</v>
      </c>
      <c r="H6" s="74">
        <f t="shared" si="0"/>
        <v>13.6031692997948</v>
      </c>
      <c r="I6" s="75"/>
      <c r="J6" s="74"/>
    </row>
    <row r="7" spans="2:10">
      <c r="B7" s="55" t="s">
        <v>1454</v>
      </c>
      <c r="C7" s="56" t="s">
        <v>1455</v>
      </c>
      <c r="D7" s="72">
        <v>11.4</v>
      </c>
      <c r="E7" s="73">
        <v>1.5402</v>
      </c>
      <c r="F7" s="72">
        <v>1</v>
      </c>
      <c r="G7" s="66">
        <v>12.4</v>
      </c>
      <c r="H7" s="74">
        <f t="shared" si="0"/>
        <v>13.4303881774885</v>
      </c>
      <c r="I7" s="75">
        <f t="shared" ref="I7" si="5">(H7+H8)/2</f>
        <v>13.7564133589006</v>
      </c>
      <c r="J7" s="74">
        <f t="shared" ref="J7" si="6">(H7-H8)/I7*100</f>
        <v>-4.73997360948984</v>
      </c>
    </row>
    <row r="8" spans="2:10">
      <c r="B8" s="55"/>
      <c r="C8" s="56"/>
      <c r="D8" s="72">
        <v>11.4</v>
      </c>
      <c r="E8" s="73">
        <v>1.7945</v>
      </c>
      <c r="F8" s="72">
        <v>1</v>
      </c>
      <c r="G8" s="66">
        <v>10.15</v>
      </c>
      <c r="H8" s="74">
        <f t="shared" si="0"/>
        <v>14.0824385403127</v>
      </c>
      <c r="I8" s="75"/>
      <c r="J8" s="74"/>
    </row>
    <row r="9" spans="2:10">
      <c r="B9" s="55" t="s">
        <v>1456</v>
      </c>
      <c r="C9" s="56" t="s">
        <v>1457</v>
      </c>
      <c r="D9" s="72">
        <v>11.4</v>
      </c>
      <c r="E9" s="73">
        <v>1.4056</v>
      </c>
      <c r="F9" s="72">
        <v>5</v>
      </c>
      <c r="G9" s="66">
        <v>10.85</v>
      </c>
      <c r="H9" s="74">
        <f t="shared" si="0"/>
        <v>84.0941697331805</v>
      </c>
      <c r="I9" s="75">
        <f t="shared" ref="I9" si="7">(H9+H10)/2</f>
        <v>84.1176729166406</v>
      </c>
      <c r="J9" s="74">
        <f t="shared" ref="J9" si="8">(H9-H10)/I9*100</f>
        <v>-0.0558816777620867</v>
      </c>
    </row>
    <row r="10" spans="2:10">
      <c r="B10" s="55"/>
      <c r="C10" s="56"/>
      <c r="D10" s="72">
        <v>11.4</v>
      </c>
      <c r="E10" s="73">
        <v>1.4656</v>
      </c>
      <c r="F10" s="72">
        <v>5</v>
      </c>
      <c r="G10" s="66">
        <v>10.4</v>
      </c>
      <c r="H10" s="74">
        <f t="shared" si="0"/>
        <v>84.1411761001008</v>
      </c>
      <c r="I10" s="75"/>
      <c r="J10" s="74"/>
    </row>
    <row r="11" spans="2:10">
      <c r="B11" s="55" t="s">
        <v>1458</v>
      </c>
      <c r="C11" s="56" t="s">
        <v>1459</v>
      </c>
      <c r="D11" s="72">
        <v>11.45</v>
      </c>
      <c r="E11" s="73">
        <v>0.377</v>
      </c>
      <c r="F11" s="72">
        <v>1</v>
      </c>
      <c r="G11" s="66">
        <v>7.6</v>
      </c>
      <c r="H11" s="74">
        <f t="shared" ref="H11:H12" si="9">D11*100*F11*250*0.9/E11/G11/1000</f>
        <v>89.9151891665503</v>
      </c>
      <c r="I11" s="75">
        <f t="shared" ref="I11" si="10">(H11+H12)/2</f>
        <v>89.1477378442462</v>
      </c>
      <c r="J11" s="74">
        <f t="shared" ref="J11" si="11">(H11-H12)/I11*100</f>
        <v>1.72175164701325</v>
      </c>
    </row>
    <row r="12" spans="2:10">
      <c r="B12" s="55"/>
      <c r="C12" s="56"/>
      <c r="D12" s="72">
        <v>11.45</v>
      </c>
      <c r="E12" s="73">
        <v>0.3512</v>
      </c>
      <c r="F12" s="72">
        <v>1</v>
      </c>
      <c r="G12" s="66">
        <v>8.3</v>
      </c>
      <c r="H12" s="74">
        <f t="shared" si="9"/>
        <v>88.380286521942</v>
      </c>
      <c r="I12" s="75"/>
      <c r="J12" s="74"/>
    </row>
    <row r="13" spans="2:10">
      <c r="B13" s="55" t="s">
        <v>1460</v>
      </c>
      <c r="C13" s="56" t="s">
        <v>1457</v>
      </c>
      <c r="D13" s="72">
        <v>11.45</v>
      </c>
      <c r="E13" s="73">
        <v>0.3264</v>
      </c>
      <c r="F13" s="72">
        <v>1</v>
      </c>
      <c r="G13" s="66">
        <v>9</v>
      </c>
      <c r="H13" s="74">
        <f t="shared" ref="H13:H14" si="12">D13*100*F13*250*0.9/E13/G13/1000</f>
        <v>87.6991421568627</v>
      </c>
      <c r="I13" s="75">
        <f t="shared" ref="I13" si="13">(H13+H14)/2</f>
        <v>86.3830034707048</v>
      </c>
      <c r="J13" s="74">
        <f t="shared" ref="J13" si="14">(H13-H14)/I13*100</f>
        <v>3.04721677477748</v>
      </c>
    </row>
    <row r="14" spans="2:10">
      <c r="B14" s="55"/>
      <c r="C14" s="56"/>
      <c r="D14" s="72">
        <v>11.45</v>
      </c>
      <c r="E14" s="73">
        <v>0.3365</v>
      </c>
      <c r="F14" s="72">
        <v>1</v>
      </c>
      <c r="G14" s="66">
        <v>9</v>
      </c>
      <c r="H14" s="74">
        <f t="shared" si="12"/>
        <v>85.0668647845468</v>
      </c>
      <c r="I14" s="75"/>
      <c r="J14" s="74"/>
    </row>
    <row r="15" spans="2:10">
      <c r="B15" s="55" t="s">
        <v>1461</v>
      </c>
      <c r="C15" s="56" t="s">
        <v>1462</v>
      </c>
      <c r="D15" s="72">
        <v>11.45</v>
      </c>
      <c r="E15" s="73">
        <v>0.4323</v>
      </c>
      <c r="F15" s="72">
        <v>1</v>
      </c>
      <c r="G15" s="66">
        <v>6.2</v>
      </c>
      <c r="H15" s="74">
        <f t="shared" ref="H15:H18" si="15">D15*100*F15*250*0.9/E15/G15/1000</f>
        <v>96.1194063262519</v>
      </c>
      <c r="I15" s="75">
        <f t="shared" ref="I15" si="16">(H15+H16)/2</f>
        <v>96.7069279345477</v>
      </c>
      <c r="J15" s="74">
        <f t="shared" ref="J15" si="17">(H15-H16)/I15*100</f>
        <v>-1.21505588243576</v>
      </c>
    </row>
    <row r="16" spans="2:10">
      <c r="B16" s="55"/>
      <c r="C16" s="56"/>
      <c r="D16" s="72">
        <v>11.45</v>
      </c>
      <c r="E16" s="73">
        <v>0.4203</v>
      </c>
      <c r="F16" s="72">
        <v>1</v>
      </c>
      <c r="G16" s="66">
        <v>6.3</v>
      </c>
      <c r="H16" s="74">
        <f t="shared" si="15"/>
        <v>97.2944495428436</v>
      </c>
      <c r="I16" s="75"/>
      <c r="J16" s="74"/>
    </row>
    <row r="17" spans="2:10">
      <c r="B17" s="55" t="s">
        <v>1463</v>
      </c>
      <c r="C17" s="56" t="s">
        <v>1462</v>
      </c>
      <c r="D17" s="72">
        <v>11.45</v>
      </c>
      <c r="E17" s="73">
        <v>0.4815</v>
      </c>
      <c r="F17" s="72">
        <v>1</v>
      </c>
      <c r="G17" s="66">
        <v>5.8</v>
      </c>
      <c r="H17" s="74">
        <f t="shared" si="15"/>
        <v>92.2494360296487</v>
      </c>
      <c r="I17" s="75">
        <f t="shared" ref="I17" si="18">(H17+H18)/2</f>
        <v>92.9884625303337</v>
      </c>
      <c r="J17" s="74">
        <f t="shared" ref="J17" si="19">(H17-H18)/I17*100</f>
        <v>-1.58950149421803</v>
      </c>
    </row>
    <row r="18" spans="2:10">
      <c r="B18" s="55"/>
      <c r="C18" s="56"/>
      <c r="D18" s="72">
        <v>11.45</v>
      </c>
      <c r="E18" s="73">
        <v>0.4506</v>
      </c>
      <c r="F18" s="72">
        <v>1</v>
      </c>
      <c r="G18" s="66">
        <v>6.1</v>
      </c>
      <c r="H18" s="74">
        <f t="shared" si="15"/>
        <v>93.7274890310188</v>
      </c>
      <c r="I18" s="75"/>
      <c r="J18" s="74"/>
    </row>
    <row r="19" spans="2:10">
      <c r="B19" s="55" t="s">
        <v>1464</v>
      </c>
      <c r="C19" s="56" t="s">
        <v>1457</v>
      </c>
      <c r="D19" s="72">
        <v>11.45</v>
      </c>
      <c r="E19" s="73">
        <v>0.458</v>
      </c>
      <c r="F19" s="72">
        <v>1</v>
      </c>
      <c r="G19" s="66">
        <v>6.8</v>
      </c>
      <c r="H19" s="74">
        <f t="shared" ref="H19:H26" si="20">D19*100*F19*250*0.9/E19/G19/1000</f>
        <v>82.7205882352941</v>
      </c>
      <c r="I19" s="75">
        <f t="shared" ref="I19" si="21">(H19+H20)/2</f>
        <v>82.0462341938311</v>
      </c>
      <c r="J19" s="74">
        <f t="shared" ref="J19" si="22">(H19-H20)/I19*100</f>
        <v>1.6438391063018</v>
      </c>
    </row>
    <row r="20" spans="2:10">
      <c r="B20" s="55"/>
      <c r="C20" s="56"/>
      <c r="D20" s="72">
        <v>11.45</v>
      </c>
      <c r="E20" s="73">
        <v>0.4797</v>
      </c>
      <c r="F20" s="72">
        <v>1</v>
      </c>
      <c r="G20" s="66">
        <v>6.6</v>
      </c>
      <c r="H20" s="74">
        <f t="shared" si="20"/>
        <v>81.371880152368</v>
      </c>
      <c r="I20" s="75"/>
      <c r="J20" s="74"/>
    </row>
    <row r="21" spans="2:10">
      <c r="B21" s="55" t="s">
        <v>1458</v>
      </c>
      <c r="C21" s="56" t="s">
        <v>1459</v>
      </c>
      <c r="D21" s="72">
        <v>11.4</v>
      </c>
      <c r="E21" s="73">
        <v>0.5491</v>
      </c>
      <c r="F21" s="72">
        <v>1</v>
      </c>
      <c r="G21" s="66">
        <v>5.5</v>
      </c>
      <c r="H21" s="74">
        <f t="shared" si="20"/>
        <v>84.9323686693929</v>
      </c>
      <c r="I21" s="75">
        <f t="shared" ref="I21" si="23">(H21+H22)/2</f>
        <v>86.4633575377593</v>
      </c>
      <c r="J21" s="74">
        <f t="shared" ref="J21" si="24">(H21-H22)/I21*100</f>
        <v>-3.54135881826653</v>
      </c>
    </row>
    <row r="22" spans="2:10">
      <c r="B22" s="55"/>
      <c r="C22" s="56"/>
      <c r="D22" s="72">
        <v>11.4</v>
      </c>
      <c r="E22" s="73">
        <v>0.3512</v>
      </c>
      <c r="F22" s="72">
        <v>1</v>
      </c>
      <c r="G22" s="66">
        <v>8.3</v>
      </c>
      <c r="H22" s="74">
        <f t="shared" si="20"/>
        <v>87.9943464061256</v>
      </c>
      <c r="I22" s="75"/>
      <c r="J22" s="74"/>
    </row>
    <row r="23" spans="2:10">
      <c r="B23" s="55" t="s">
        <v>1461</v>
      </c>
      <c r="C23" s="56" t="s">
        <v>1462</v>
      </c>
      <c r="D23" s="72">
        <v>11.4</v>
      </c>
      <c r="E23" s="73">
        <v>0.3806</v>
      </c>
      <c r="F23" s="72">
        <v>1</v>
      </c>
      <c r="G23" s="66">
        <v>8</v>
      </c>
      <c r="H23" s="74">
        <f t="shared" si="20"/>
        <v>84.2419863373621</v>
      </c>
      <c r="I23" s="75">
        <f t="shared" ref="I23" si="25">(H23+H24)/2</f>
        <v>83.8754282547782</v>
      </c>
      <c r="J23" s="74">
        <f t="shared" ref="J23" si="26">(H23-H24)/I23*100</f>
        <v>0.874053558261241</v>
      </c>
    </row>
    <row r="24" spans="2:10">
      <c r="B24" s="55"/>
      <c r="C24" s="56"/>
      <c r="D24" s="72">
        <v>11.4</v>
      </c>
      <c r="E24" s="73">
        <v>0.3989</v>
      </c>
      <c r="F24" s="72">
        <v>1</v>
      </c>
      <c r="G24" s="66">
        <v>7.7</v>
      </c>
      <c r="H24" s="74">
        <f t="shared" si="20"/>
        <v>83.5088701721943</v>
      </c>
      <c r="I24" s="75"/>
      <c r="J24" s="74"/>
    </row>
    <row r="25" spans="2:10">
      <c r="B25" s="55" t="s">
        <v>1463</v>
      </c>
      <c r="C25" s="56" t="s">
        <v>1462</v>
      </c>
      <c r="D25" s="72">
        <v>11.4</v>
      </c>
      <c r="E25" s="73">
        <v>0.3989</v>
      </c>
      <c r="F25" s="72">
        <v>1</v>
      </c>
      <c r="G25" s="66">
        <v>7.55</v>
      </c>
      <c r="H25" s="74">
        <f t="shared" si="20"/>
        <v>85.1679867981319</v>
      </c>
      <c r="I25" s="75">
        <f t="shared" ref="I25" si="27">(H25+H26)/2</f>
        <v>85.064665935187</v>
      </c>
      <c r="J25" s="74">
        <f t="shared" ref="J25" si="28">(H25-H26)/I25*100</f>
        <v>0.242923102816171</v>
      </c>
    </row>
    <row r="26" spans="2:10">
      <c r="B26" s="55"/>
      <c r="C26" s="56"/>
      <c r="D26" s="72">
        <v>11.4</v>
      </c>
      <c r="E26" s="73">
        <v>0.4506</v>
      </c>
      <c r="F26" s="72">
        <v>1</v>
      </c>
      <c r="G26" s="66">
        <v>6.7</v>
      </c>
      <c r="H26" s="74">
        <f t="shared" si="20"/>
        <v>84.961345072242</v>
      </c>
      <c r="I26" s="75"/>
      <c r="J26" s="74"/>
    </row>
    <row r="27" spans="2:10">
      <c r="B27" s="55" t="s">
        <v>1465</v>
      </c>
      <c r="C27" s="56" t="s">
        <v>1459</v>
      </c>
      <c r="D27" s="72">
        <v>11.4</v>
      </c>
      <c r="E27" s="73">
        <v>0.3924</v>
      </c>
      <c r="F27" s="72">
        <v>1</v>
      </c>
      <c r="G27" s="66">
        <v>7</v>
      </c>
      <c r="H27" s="74">
        <f t="shared" ref="H27:H28" si="29">D27*100*F27*250*0.9/E27/G27/1000</f>
        <v>93.3813892529489</v>
      </c>
      <c r="I27" s="75">
        <f t="shared" ref="I27" si="30">(H27+H28)/2</f>
        <v>90.7188314381164</v>
      </c>
      <c r="J27" s="74">
        <f t="shared" ref="J27" si="31">(H27-H28)/I27*100</f>
        <v>5.86991206263216</v>
      </c>
    </row>
    <row r="28" spans="2:10">
      <c r="B28" s="55"/>
      <c r="C28" s="56"/>
      <c r="D28" s="72">
        <v>11.4</v>
      </c>
      <c r="E28" s="73">
        <v>0.6006</v>
      </c>
      <c r="F28" s="72">
        <v>2</v>
      </c>
      <c r="G28" s="66">
        <v>9.7</v>
      </c>
      <c r="H28" s="74">
        <f t="shared" si="29"/>
        <v>88.0562736232839</v>
      </c>
      <c r="I28" s="75"/>
      <c r="J28" s="74"/>
    </row>
    <row r="29" s="78" customFormat="1" ht="21" customHeight="1" spans="2:15">
      <c r="B29" s="90" t="s">
        <v>1466</v>
      </c>
      <c r="C29" s="91" t="s">
        <v>1462</v>
      </c>
      <c r="D29" s="93">
        <v>11.4</v>
      </c>
      <c r="E29" s="144">
        <v>0.3378</v>
      </c>
      <c r="F29" s="93">
        <v>1</v>
      </c>
      <c r="G29" s="145">
        <v>9.1</v>
      </c>
      <c r="H29" s="146">
        <f t="shared" ref="H29:H30" si="32">D29*100*F29*250*0.9/E29/G29/1000</f>
        <v>83.4423125719751</v>
      </c>
      <c r="I29" s="150">
        <f t="shared" ref="I29" si="33">(H29+H30)/2</f>
        <v>83.1696728653942</v>
      </c>
      <c r="J29" s="146">
        <f t="shared" ref="J29" si="34">(H29-H30)/I29*100</f>
        <v>0.655622890382566</v>
      </c>
      <c r="K29" s="151"/>
      <c r="L29" s="152"/>
      <c r="M29" s="153"/>
      <c r="N29" s="154"/>
      <c r="O29" s="155"/>
    </row>
    <row r="30" s="78" customFormat="1" spans="2:15">
      <c r="B30" s="90"/>
      <c r="C30" s="91"/>
      <c r="D30" s="93">
        <v>11.4</v>
      </c>
      <c r="E30" s="144">
        <v>0.382</v>
      </c>
      <c r="F30" s="93">
        <v>1</v>
      </c>
      <c r="G30" s="145">
        <v>8.1</v>
      </c>
      <c r="H30" s="146">
        <f t="shared" si="32"/>
        <v>82.8970331588133</v>
      </c>
      <c r="I30" s="150"/>
      <c r="J30" s="146"/>
      <c r="K30" s="151"/>
      <c r="L30" s="152"/>
      <c r="M30" s="153"/>
      <c r="N30" s="154"/>
      <c r="O30" s="155"/>
    </row>
    <row r="31" s="78" customFormat="1" spans="2:15">
      <c r="B31" s="90" t="s">
        <v>1467</v>
      </c>
      <c r="C31" s="91" t="s">
        <v>1468</v>
      </c>
      <c r="D31" s="93">
        <v>11.4</v>
      </c>
      <c r="E31" s="144">
        <v>0.3374</v>
      </c>
      <c r="F31" s="93">
        <v>1</v>
      </c>
      <c r="G31" s="145">
        <v>9</v>
      </c>
      <c r="H31" s="146">
        <f t="shared" ref="H31:H32" si="35">D31*100*F31*250*0.9/E31/G31/1000</f>
        <v>84.4694724362774</v>
      </c>
      <c r="I31" s="150">
        <f t="shared" ref="I31" si="36">(H31+H32)/2</f>
        <v>84.7339906171843</v>
      </c>
      <c r="J31" s="146">
        <f t="shared" ref="J31" si="37">(H31-H32)/I31*100</f>
        <v>-0.624349635796052</v>
      </c>
      <c r="K31" s="151"/>
      <c r="L31" s="152"/>
      <c r="M31" s="153"/>
      <c r="N31" s="154"/>
      <c r="O31" s="155"/>
    </row>
    <row r="32" s="78" customFormat="1" spans="2:15">
      <c r="B32" s="90"/>
      <c r="C32" s="91"/>
      <c r="D32" s="93">
        <v>11.4</v>
      </c>
      <c r="E32" s="144">
        <v>0.3353</v>
      </c>
      <c r="F32" s="93">
        <v>1</v>
      </c>
      <c r="G32" s="145">
        <v>9</v>
      </c>
      <c r="H32" s="146">
        <f t="shared" si="35"/>
        <v>84.9985087980913</v>
      </c>
      <c r="I32" s="150"/>
      <c r="J32" s="146"/>
      <c r="K32" s="151"/>
      <c r="L32" s="152"/>
      <c r="M32" s="153"/>
      <c r="N32" s="154"/>
      <c r="O32" s="155"/>
    </row>
    <row r="33" s="78" customFormat="1" spans="2:15">
      <c r="B33" s="90" t="s">
        <v>1469</v>
      </c>
      <c r="C33" s="91" t="s">
        <v>1462</v>
      </c>
      <c r="D33" s="93">
        <v>11.4</v>
      </c>
      <c r="E33" s="144">
        <v>0.319</v>
      </c>
      <c r="F33" s="93">
        <v>1</v>
      </c>
      <c r="G33" s="145">
        <v>9.7</v>
      </c>
      <c r="H33" s="146">
        <f t="shared" ref="H33:H34" si="38">D33*100*F33*250*0.9/E33/G33/1000</f>
        <v>82.8943541350225</v>
      </c>
      <c r="I33" s="150">
        <f t="shared" ref="I33" si="39">(H33+H34)/2</f>
        <v>82.1707710318459</v>
      </c>
      <c r="J33" s="146">
        <f t="shared" ref="J33" si="40">(H33-H34)/I33*100</f>
        <v>1.76116907287163</v>
      </c>
      <c r="K33" s="151"/>
      <c r="L33" s="152"/>
      <c r="M33" s="153"/>
      <c r="N33" s="154"/>
      <c r="O33" s="155"/>
    </row>
    <row r="34" s="78" customFormat="1" spans="2:15">
      <c r="B34" s="90"/>
      <c r="C34" s="91"/>
      <c r="D34" s="93">
        <v>11.4</v>
      </c>
      <c r="E34" s="144">
        <v>0.3888</v>
      </c>
      <c r="F34" s="93">
        <v>1</v>
      </c>
      <c r="G34" s="145">
        <v>8.1</v>
      </c>
      <c r="H34" s="146">
        <f t="shared" si="38"/>
        <v>81.4471879286694</v>
      </c>
      <c r="I34" s="150"/>
      <c r="J34" s="146"/>
      <c r="K34" s="151"/>
      <c r="L34" s="152"/>
      <c r="M34" s="153"/>
      <c r="N34" s="154"/>
      <c r="O34" s="155"/>
    </row>
    <row r="35" s="78" customFormat="1" spans="2:15">
      <c r="B35" s="90" t="s">
        <v>1470</v>
      </c>
      <c r="C35" s="91" t="s">
        <v>1462</v>
      </c>
      <c r="D35" s="93">
        <v>11.4</v>
      </c>
      <c r="E35" s="144">
        <v>0.319</v>
      </c>
      <c r="F35" s="93">
        <v>1</v>
      </c>
      <c r="G35" s="145">
        <v>9.3</v>
      </c>
      <c r="H35" s="146">
        <f t="shared" ref="H35:H38" si="41">D35*100*F35*250*0.9/E35/G35/1000</f>
        <v>86.4597026999697</v>
      </c>
      <c r="I35" s="150">
        <f t="shared" ref="I35" si="42">(H35+H36)/2</f>
        <v>84.4624902388737</v>
      </c>
      <c r="J35" s="146">
        <f t="shared" ref="J35" si="43">(H35-H36)/I35*100</f>
        <v>4.72922940218194</v>
      </c>
      <c r="K35" s="151"/>
      <c r="L35" s="152"/>
      <c r="M35" s="153"/>
      <c r="N35" s="154"/>
      <c r="O35" s="155"/>
    </row>
    <row r="36" s="78" customFormat="1" spans="2:15">
      <c r="B36" s="90"/>
      <c r="C36" s="91"/>
      <c r="D36" s="93">
        <v>11.4</v>
      </c>
      <c r="E36" s="144">
        <v>0.3888</v>
      </c>
      <c r="F36" s="93">
        <v>1</v>
      </c>
      <c r="G36" s="145">
        <v>8</v>
      </c>
      <c r="H36" s="146">
        <f t="shared" si="41"/>
        <v>82.4652777777778</v>
      </c>
      <c r="I36" s="150"/>
      <c r="J36" s="146"/>
      <c r="K36" s="151"/>
      <c r="L36" s="152"/>
      <c r="M36" s="153"/>
      <c r="N36" s="154"/>
      <c r="O36" s="155"/>
    </row>
    <row r="37" s="76" customFormat="1" spans="2:15">
      <c r="B37" s="90" t="s">
        <v>1471</v>
      </c>
      <c r="C37" s="91" t="s">
        <v>1472</v>
      </c>
      <c r="D37" s="93">
        <v>11.4</v>
      </c>
      <c r="E37" s="144">
        <v>0.324</v>
      </c>
      <c r="F37" s="93">
        <v>1</v>
      </c>
      <c r="G37" s="145">
        <v>9.3</v>
      </c>
      <c r="H37" s="146">
        <f t="shared" si="41"/>
        <v>85.1254480286738</v>
      </c>
      <c r="I37" s="150">
        <f t="shared" ref="I37" si="44">(H37+H38)/2</f>
        <v>85.657482078853</v>
      </c>
      <c r="J37" s="146">
        <f t="shared" ref="J37" si="45">(H37-H38)/I37*100</f>
        <v>-1.24223602484472</v>
      </c>
      <c r="K37" s="151"/>
      <c r="L37" s="156"/>
      <c r="M37" s="157"/>
      <c r="N37" s="158"/>
      <c r="O37" s="159"/>
    </row>
    <row r="38" s="76" customFormat="1" spans="2:15">
      <c r="B38" s="90"/>
      <c r="C38" s="91"/>
      <c r="D38" s="93">
        <v>11.4</v>
      </c>
      <c r="E38" s="144">
        <v>0.32</v>
      </c>
      <c r="F38" s="93">
        <v>1</v>
      </c>
      <c r="G38" s="145">
        <v>9.3</v>
      </c>
      <c r="H38" s="146">
        <f t="shared" si="41"/>
        <v>86.1895161290323</v>
      </c>
      <c r="I38" s="150"/>
      <c r="J38" s="146"/>
      <c r="K38" s="151"/>
      <c r="L38" s="156"/>
      <c r="M38" s="157"/>
      <c r="N38" s="158"/>
      <c r="O38" s="159"/>
    </row>
    <row r="39" spans="2:10">
      <c r="B39" s="90" t="s">
        <v>1473</v>
      </c>
      <c r="C39" s="91" t="s">
        <v>1459</v>
      </c>
      <c r="D39" s="93">
        <v>11.55</v>
      </c>
      <c r="E39" s="144">
        <v>0.3601</v>
      </c>
      <c r="F39" s="93">
        <v>1</v>
      </c>
      <c r="G39" s="145">
        <v>8.7</v>
      </c>
      <c r="H39" s="146">
        <f t="shared" ref="H39:H44" si="46">D39*100*F39*250*0.9/E39/G39/1000</f>
        <v>82.9510959599345</v>
      </c>
      <c r="I39" s="150">
        <f t="shared" ref="I39" si="47">(H39+H40)/2</f>
        <v>83.0220448848631</v>
      </c>
      <c r="J39" s="146">
        <f t="shared" ref="J39" si="48">(H39-H40)/I39*100</f>
        <v>-0.1709158694586</v>
      </c>
    </row>
    <row r="40" spans="2:10">
      <c r="B40" s="90"/>
      <c r="C40" s="91"/>
      <c r="D40" s="93">
        <v>11.55</v>
      </c>
      <c r="E40" s="144">
        <v>0.3554</v>
      </c>
      <c r="F40" s="93">
        <v>1</v>
      </c>
      <c r="G40" s="145">
        <v>8.8</v>
      </c>
      <c r="H40" s="146">
        <f t="shared" si="46"/>
        <v>83.0929938097918</v>
      </c>
      <c r="I40" s="150"/>
      <c r="J40" s="146"/>
    </row>
    <row r="41" spans="2:10">
      <c r="B41" s="90" t="s">
        <v>1474</v>
      </c>
      <c r="C41" s="91" t="s">
        <v>1462</v>
      </c>
      <c r="D41" s="93">
        <v>11.55</v>
      </c>
      <c r="E41" s="144">
        <v>0.4258</v>
      </c>
      <c r="F41" s="93">
        <v>1</v>
      </c>
      <c r="G41" s="145">
        <v>7.5</v>
      </c>
      <c r="H41" s="146">
        <f t="shared" si="46"/>
        <v>81.3762329732268</v>
      </c>
      <c r="I41" s="150">
        <f t="shared" ref="I41" si="49">(H41+H42)/2</f>
        <v>82.6145292796748</v>
      </c>
      <c r="J41" s="146">
        <f t="shared" ref="J41" si="50">(H41-H42)/I41*100</f>
        <v>-2.99776883617157</v>
      </c>
    </row>
    <row r="42" spans="2:10">
      <c r="B42" s="90"/>
      <c r="C42" s="91"/>
      <c r="D42" s="93">
        <v>11.55</v>
      </c>
      <c r="E42" s="144">
        <v>0.3948</v>
      </c>
      <c r="F42" s="93">
        <v>1</v>
      </c>
      <c r="G42" s="145">
        <v>7.85</v>
      </c>
      <c r="H42" s="146">
        <f t="shared" si="46"/>
        <v>83.8528255861228</v>
      </c>
      <c r="I42" s="150"/>
      <c r="J42" s="146"/>
    </row>
    <row r="43" spans="2:10">
      <c r="B43" s="90" t="s">
        <v>1475</v>
      </c>
      <c r="C43" s="91" t="s">
        <v>1457</v>
      </c>
      <c r="D43" s="93">
        <v>11.5</v>
      </c>
      <c r="E43" s="144">
        <v>0.3362</v>
      </c>
      <c r="F43" s="93">
        <v>1</v>
      </c>
      <c r="G43" s="145">
        <v>9.1</v>
      </c>
      <c r="H43" s="146">
        <f t="shared" si="46"/>
        <v>84.574854057305</v>
      </c>
      <c r="I43" s="150">
        <f t="shared" ref="I43" si="51">(H43+H44)/2</f>
        <v>84.0536331236938</v>
      </c>
      <c r="J43" s="146">
        <f t="shared" ref="J43" si="52">(H43-H44)/I43*100</f>
        <v>1.24021036150607</v>
      </c>
    </row>
    <row r="44" spans="2:10">
      <c r="B44" s="90"/>
      <c r="C44" s="91"/>
      <c r="D44" s="93">
        <v>11.5</v>
      </c>
      <c r="E44" s="144">
        <v>0.352</v>
      </c>
      <c r="F44" s="93">
        <v>1</v>
      </c>
      <c r="G44" s="145">
        <v>8.8</v>
      </c>
      <c r="H44" s="146">
        <f t="shared" si="46"/>
        <v>83.5324121900826</v>
      </c>
      <c r="I44" s="150"/>
      <c r="J44" s="146"/>
    </row>
    <row r="45" spans="2:10">
      <c r="B45" s="79" t="s">
        <v>1476</v>
      </c>
      <c r="C45" s="80" t="s">
        <v>1477</v>
      </c>
      <c r="D45" s="68">
        <v>11.5</v>
      </c>
      <c r="E45" s="147">
        <v>0.462</v>
      </c>
      <c r="F45" s="68">
        <v>1</v>
      </c>
      <c r="G45" s="148">
        <v>11.1</v>
      </c>
      <c r="H45" s="149">
        <f t="shared" ref="H45:H50" si="53">D45*100*F45*250*0.9/E45/G45/1000</f>
        <v>50.4563004563005</v>
      </c>
      <c r="I45" s="160">
        <f t="shared" ref="I45" si="54">(H45+H46)/2</f>
        <v>50.3452176030454</v>
      </c>
      <c r="J45" s="149">
        <f t="shared" ref="J45" si="55">(H45-H46)/I45*100</f>
        <v>0.441284628585416</v>
      </c>
    </row>
    <row r="46" spans="2:10">
      <c r="B46" s="79"/>
      <c r="C46" s="80"/>
      <c r="D46" s="68">
        <v>11.5</v>
      </c>
      <c r="E46" s="147">
        <v>0.4599</v>
      </c>
      <c r="F46" s="68">
        <v>1</v>
      </c>
      <c r="G46" s="148">
        <v>11.2</v>
      </c>
      <c r="H46" s="149">
        <f t="shared" si="53"/>
        <v>50.2341347497903</v>
      </c>
      <c r="I46" s="160"/>
      <c r="J46" s="149"/>
    </row>
    <row r="47" spans="2:10">
      <c r="B47" s="90" t="s">
        <v>1478</v>
      </c>
      <c r="C47" s="91" t="s">
        <v>1457</v>
      </c>
      <c r="D47" s="93">
        <v>11.5</v>
      </c>
      <c r="E47" s="144">
        <v>0.3985</v>
      </c>
      <c r="F47" s="93">
        <v>1</v>
      </c>
      <c r="G47" s="145">
        <v>8.05</v>
      </c>
      <c r="H47" s="146">
        <f t="shared" si="53"/>
        <v>80.659616418713</v>
      </c>
      <c r="I47" s="150">
        <f>(H47+H48)/2</f>
        <v>81.5597429744375</v>
      </c>
      <c r="J47" s="146">
        <f>(H47-H48)/I47*100</f>
        <v>-2.20728149181785</v>
      </c>
    </row>
    <row r="48" spans="2:10">
      <c r="B48" s="90"/>
      <c r="C48" s="91"/>
      <c r="D48" s="93">
        <v>11.5</v>
      </c>
      <c r="E48" s="144">
        <v>0.3898</v>
      </c>
      <c r="F48" s="93">
        <v>1</v>
      </c>
      <c r="G48" s="145">
        <v>8.05</v>
      </c>
      <c r="H48" s="146">
        <f t="shared" si="53"/>
        <v>82.459869530162</v>
      </c>
      <c r="I48" s="150"/>
      <c r="J48" s="146"/>
    </row>
    <row r="49" spans="2:10">
      <c r="B49" s="90" t="s">
        <v>1479</v>
      </c>
      <c r="C49" s="91" t="s">
        <v>1457</v>
      </c>
      <c r="D49" s="93">
        <v>11.5</v>
      </c>
      <c r="E49" s="144">
        <v>0.3691</v>
      </c>
      <c r="F49" s="93">
        <v>1</v>
      </c>
      <c r="G49" s="145">
        <v>8.3</v>
      </c>
      <c r="H49" s="146">
        <f t="shared" si="53"/>
        <v>84.4613893123292</v>
      </c>
      <c r="I49" s="150">
        <f>(H49+H50)/2</f>
        <v>83.8708082069438</v>
      </c>
      <c r="J49" s="146">
        <f>(H49-H50)/I49*100</f>
        <v>1.40831146858201</v>
      </c>
    </row>
    <row r="50" spans="2:10">
      <c r="B50" s="90"/>
      <c r="C50" s="91"/>
      <c r="D50" s="93">
        <v>11.5</v>
      </c>
      <c r="E50" s="144">
        <v>0.3789</v>
      </c>
      <c r="F50" s="93">
        <v>1</v>
      </c>
      <c r="G50" s="145">
        <v>8.2</v>
      </c>
      <c r="H50" s="146">
        <f t="shared" si="53"/>
        <v>83.2802271015584</v>
      </c>
      <c r="I50" s="150"/>
      <c r="J50" s="146"/>
    </row>
    <row r="51" spans="2:10">
      <c r="B51" s="90" t="s">
        <v>1480</v>
      </c>
      <c r="C51" s="91" t="s">
        <v>1481</v>
      </c>
      <c r="D51" s="93">
        <v>11.5</v>
      </c>
      <c r="E51" s="144">
        <v>0.3893</v>
      </c>
      <c r="F51" s="93">
        <v>1</v>
      </c>
      <c r="G51" s="145">
        <v>8</v>
      </c>
      <c r="H51" s="146">
        <f t="shared" ref="H51:H52" si="56">D51*100*F51*250*0.9/E51/G51/1000</f>
        <v>83.0818135114308</v>
      </c>
      <c r="I51" s="150">
        <f>(H51+H52)/2</f>
        <v>83.659277690377</v>
      </c>
      <c r="J51" s="146">
        <f>(H51-H52)/I51*100</f>
        <v>-1.38051437901099</v>
      </c>
    </row>
    <row r="52" ht="19.5" customHeight="1" spans="2:10">
      <c r="B52" s="90"/>
      <c r="C52" s="91"/>
      <c r="D52" s="93">
        <v>11.5</v>
      </c>
      <c r="E52" s="144">
        <v>0.3413</v>
      </c>
      <c r="F52" s="93">
        <v>1</v>
      </c>
      <c r="G52" s="145">
        <v>9</v>
      </c>
      <c r="H52" s="146">
        <f t="shared" si="56"/>
        <v>84.2367418693232</v>
      </c>
      <c r="I52" s="150"/>
      <c r="J52" s="146"/>
    </row>
    <row r="53" spans="2:10">
      <c r="B53" s="90" t="s">
        <v>1482</v>
      </c>
      <c r="C53" s="91" t="s">
        <v>1483</v>
      </c>
      <c r="D53" s="93">
        <v>11.5</v>
      </c>
      <c r="E53" s="144">
        <v>0.345</v>
      </c>
      <c r="F53" s="93">
        <v>1</v>
      </c>
      <c r="G53" s="145">
        <v>8.9</v>
      </c>
      <c r="H53" s="146">
        <f t="shared" ref="H53:H64" si="57">D53*100*F53*250*0.9/E53/G53/1000</f>
        <v>84.2696629213483</v>
      </c>
      <c r="I53" s="150">
        <f>(H53+H54)/2</f>
        <v>82.7922002257586</v>
      </c>
      <c r="J53" s="146">
        <f>(H53-H54)/I53*100</f>
        <v>3.5690866810181</v>
      </c>
    </row>
    <row r="54" spans="2:10">
      <c r="B54" s="90"/>
      <c r="C54" s="91"/>
      <c r="D54" s="93">
        <v>11.5</v>
      </c>
      <c r="E54" s="144">
        <v>0.3616</v>
      </c>
      <c r="F54" s="93">
        <v>1</v>
      </c>
      <c r="G54" s="145">
        <v>8.8</v>
      </c>
      <c r="H54" s="146">
        <f t="shared" si="57"/>
        <v>81.3147375301689</v>
      </c>
      <c r="I54" s="150"/>
      <c r="J54" s="146"/>
    </row>
    <row r="55" spans="2:10">
      <c r="B55" s="90" t="s">
        <v>1484</v>
      </c>
      <c r="C55" s="91" t="s">
        <v>1457</v>
      </c>
      <c r="D55" s="93">
        <v>11.6</v>
      </c>
      <c r="E55" s="144">
        <v>0.3555</v>
      </c>
      <c r="F55" s="93">
        <v>1</v>
      </c>
      <c r="G55" s="145">
        <v>8.7</v>
      </c>
      <c r="H55" s="146">
        <f t="shared" si="57"/>
        <v>84.3881856540085</v>
      </c>
      <c r="I55" s="150">
        <f>(H55+H56)/2</f>
        <v>84.6425041830114</v>
      </c>
      <c r="J55" s="146">
        <f>(H55-H56)/I55*100</f>
        <v>-0.600923924587733</v>
      </c>
    </row>
    <row r="56" ht="20.25" customHeight="1" spans="2:10">
      <c r="B56" s="90"/>
      <c r="C56" s="91"/>
      <c r="D56" s="93">
        <v>11.6</v>
      </c>
      <c r="E56" s="144">
        <v>0.3704</v>
      </c>
      <c r="F56" s="93">
        <v>1</v>
      </c>
      <c r="G56" s="145">
        <v>8.3</v>
      </c>
      <c r="H56" s="146">
        <f t="shared" si="57"/>
        <v>84.8968227120143</v>
      </c>
      <c r="I56" s="150"/>
      <c r="J56" s="146"/>
    </row>
    <row r="57" spans="2:10">
      <c r="B57" s="79" t="s">
        <v>1485</v>
      </c>
      <c r="C57" s="80" t="s">
        <v>1462</v>
      </c>
      <c r="D57" s="68">
        <v>11.6</v>
      </c>
      <c r="E57" s="147">
        <v>0.3294</v>
      </c>
      <c r="F57" s="68">
        <v>1</v>
      </c>
      <c r="G57" s="148">
        <v>9.15</v>
      </c>
      <c r="H57" s="149">
        <f t="shared" ref="H57:H58" si="58">D57*100*F57*250*0.9/E57/G57/1000</f>
        <v>86.5955985547493</v>
      </c>
      <c r="I57" s="160">
        <f>(H57+H58)/2</f>
        <v>86.650760483949</v>
      </c>
      <c r="J57" s="149">
        <f>(H57-H58)/I57*100</f>
        <v>-0.127320127120957</v>
      </c>
    </row>
    <row r="58" spans="2:10">
      <c r="B58" s="79"/>
      <c r="C58" s="80"/>
      <c r="D58" s="68">
        <v>11.6</v>
      </c>
      <c r="E58" s="147">
        <v>0.3605</v>
      </c>
      <c r="F58" s="68">
        <v>1</v>
      </c>
      <c r="G58" s="148">
        <v>8.35</v>
      </c>
      <c r="H58" s="149">
        <f t="shared" si="58"/>
        <v>86.7059224131487</v>
      </c>
      <c r="I58" s="160"/>
      <c r="J58" s="149"/>
    </row>
    <row r="59" s="76" customFormat="1" spans="2:15">
      <c r="B59" s="79" t="s">
        <v>1486</v>
      </c>
      <c r="C59" s="80" t="s">
        <v>1487</v>
      </c>
      <c r="D59" s="68">
        <v>11.6</v>
      </c>
      <c r="E59" s="147">
        <v>0.3617</v>
      </c>
      <c r="F59" s="68">
        <v>1</v>
      </c>
      <c r="G59" s="148">
        <v>8.6</v>
      </c>
      <c r="H59" s="149">
        <f t="shared" si="57"/>
        <v>83.9061023204377</v>
      </c>
      <c r="I59" s="160">
        <f>(H59+H60)/2</f>
        <v>83.6029621155816</v>
      </c>
      <c r="J59" s="149">
        <f>(H59-H60)/I59*100</f>
        <v>0.725190106151944</v>
      </c>
      <c r="K59" s="161"/>
      <c r="L59" s="156"/>
      <c r="M59" s="157"/>
      <c r="N59" s="158"/>
      <c r="O59" s="159"/>
    </row>
    <row r="60" s="76" customFormat="1" spans="2:15">
      <c r="B60" s="79"/>
      <c r="C60" s="80"/>
      <c r="D60" s="68">
        <v>11.6</v>
      </c>
      <c r="E60" s="147">
        <v>0.3708</v>
      </c>
      <c r="F60" s="68">
        <v>1</v>
      </c>
      <c r="G60" s="148">
        <v>8.45</v>
      </c>
      <c r="H60" s="149">
        <f t="shared" si="57"/>
        <v>83.2998219107256</v>
      </c>
      <c r="I60" s="160"/>
      <c r="J60" s="149"/>
      <c r="K60" s="161"/>
      <c r="L60" s="156"/>
      <c r="M60" s="157"/>
      <c r="N60" s="158"/>
      <c r="O60" s="159"/>
    </row>
    <row r="61" s="76" customFormat="1" ht="18" customHeight="1" spans="2:15">
      <c r="B61" s="79" t="s">
        <v>1488</v>
      </c>
      <c r="C61" s="80" t="s">
        <v>1489</v>
      </c>
      <c r="D61" s="68">
        <v>11.6</v>
      </c>
      <c r="E61" s="147">
        <v>0.3612</v>
      </c>
      <c r="F61" s="68">
        <v>1</v>
      </c>
      <c r="G61" s="148">
        <v>8.7</v>
      </c>
      <c r="H61" s="149">
        <f t="shared" si="57"/>
        <v>83.0564784053156</v>
      </c>
      <c r="I61" s="160">
        <f>(H61+H62)/2</f>
        <v>85.1957769892992</v>
      </c>
      <c r="J61" s="149">
        <f>(H61-H62)/I61*100</f>
        <v>-5.02207658544461</v>
      </c>
      <c r="K61" s="161"/>
      <c r="L61" s="156"/>
      <c r="M61" s="157"/>
      <c r="N61" s="158"/>
      <c r="O61" s="159"/>
    </row>
    <row r="62" s="76" customFormat="1" spans="2:15">
      <c r="B62" s="79"/>
      <c r="C62" s="80"/>
      <c r="D62" s="68">
        <v>11.6</v>
      </c>
      <c r="E62" s="147">
        <v>0.3034</v>
      </c>
      <c r="F62" s="68">
        <v>1</v>
      </c>
      <c r="G62" s="148">
        <v>9.85</v>
      </c>
      <c r="H62" s="149">
        <f t="shared" si="57"/>
        <v>87.3350755732828</v>
      </c>
      <c r="I62" s="160"/>
      <c r="J62" s="149"/>
      <c r="K62" s="161"/>
      <c r="L62" s="156"/>
      <c r="M62" s="157"/>
      <c r="N62" s="158"/>
      <c r="O62" s="159"/>
    </row>
    <row r="63" s="76" customFormat="1" spans="2:15">
      <c r="B63" s="79" t="s">
        <v>1490</v>
      </c>
      <c r="C63" s="80" t="s">
        <v>1491</v>
      </c>
      <c r="D63" s="68">
        <v>11.6</v>
      </c>
      <c r="E63" s="147">
        <v>0.3666</v>
      </c>
      <c r="F63" s="68">
        <v>1</v>
      </c>
      <c r="G63" s="148">
        <v>8.55</v>
      </c>
      <c r="H63" s="149">
        <f t="shared" si="57"/>
        <v>83.2687282855256</v>
      </c>
      <c r="I63" s="160">
        <f>(H63+H64)/2</f>
        <v>83.4034530965191</v>
      </c>
      <c r="J63" s="149">
        <f>(H63-H64)/I63*100</f>
        <v>-0.323067705212704</v>
      </c>
      <c r="K63" s="161"/>
      <c r="L63" s="156"/>
      <c r="M63" s="157"/>
      <c r="N63" s="158"/>
      <c r="O63" s="159"/>
    </row>
    <row r="64" s="76" customFormat="1" spans="2:15">
      <c r="B64" s="79"/>
      <c r="C64" s="80"/>
      <c r="D64" s="68">
        <v>11.6</v>
      </c>
      <c r="E64" s="147">
        <v>0.3396</v>
      </c>
      <c r="F64" s="68">
        <v>1</v>
      </c>
      <c r="G64" s="148">
        <v>9.2</v>
      </c>
      <c r="H64" s="149">
        <f t="shared" si="57"/>
        <v>83.5381779075127</v>
      </c>
      <c r="I64" s="160"/>
      <c r="J64" s="149"/>
      <c r="K64" s="161"/>
      <c r="L64" s="156"/>
      <c r="M64" s="157"/>
      <c r="N64" s="158"/>
      <c r="O64" s="159"/>
    </row>
    <row r="65" s="76" customFormat="1" spans="2:15">
      <c r="B65" s="79" t="s">
        <v>1492</v>
      </c>
      <c r="C65" s="80" t="s">
        <v>1493</v>
      </c>
      <c r="D65" s="68">
        <v>11.6</v>
      </c>
      <c r="E65" s="147">
        <v>0.3474</v>
      </c>
      <c r="F65" s="68">
        <v>1</v>
      </c>
      <c r="G65" s="148">
        <v>9.1</v>
      </c>
      <c r="H65" s="149">
        <f t="shared" ref="H65:H68" si="59">D65*100*F65*250*0.9/E65/G65/1000</f>
        <v>82.5599271195126</v>
      </c>
      <c r="I65" s="160">
        <f>(H65+H66)/2</f>
        <v>81.9511471691135</v>
      </c>
      <c r="J65" s="149">
        <f>(H65-H66)/I65*100</f>
        <v>1.48571428571429</v>
      </c>
      <c r="K65" s="161"/>
      <c r="L65" s="156"/>
      <c r="M65" s="157"/>
      <c r="N65" s="158"/>
      <c r="O65" s="159"/>
    </row>
    <row r="66" s="76" customFormat="1" spans="2:15">
      <c r="B66" s="79"/>
      <c r="C66" s="80"/>
      <c r="D66" s="68">
        <v>11.6</v>
      </c>
      <c r="E66" s="147">
        <v>0.3526</v>
      </c>
      <c r="F66" s="68">
        <v>1</v>
      </c>
      <c r="G66" s="148">
        <v>9.1</v>
      </c>
      <c r="H66" s="149">
        <f t="shared" si="59"/>
        <v>81.3423672187144</v>
      </c>
      <c r="I66" s="160"/>
      <c r="J66" s="149"/>
      <c r="K66" s="161"/>
      <c r="L66" s="156"/>
      <c r="M66" s="157"/>
      <c r="N66" s="158"/>
      <c r="O66" s="159"/>
    </row>
    <row r="67" s="76" customFormat="1" spans="2:15">
      <c r="B67" s="79" t="s">
        <v>1494</v>
      </c>
      <c r="C67" s="80" t="s">
        <v>1462</v>
      </c>
      <c r="D67" s="68">
        <v>11.6</v>
      </c>
      <c r="E67" s="147">
        <v>0.3517</v>
      </c>
      <c r="F67" s="68">
        <v>1</v>
      </c>
      <c r="G67" s="148">
        <v>8.8</v>
      </c>
      <c r="H67" s="149">
        <f t="shared" si="59"/>
        <v>84.3306537079639</v>
      </c>
      <c r="I67" s="160">
        <f>(H67+H68)/2</f>
        <v>84.0437926580485</v>
      </c>
      <c r="J67" s="149">
        <f>(H67-H68)/I67*100</f>
        <v>0.682646608019169</v>
      </c>
      <c r="K67" s="161"/>
      <c r="L67" s="156"/>
      <c r="M67" s="157"/>
      <c r="N67" s="158"/>
      <c r="O67" s="159"/>
    </row>
    <row r="68" s="76" customFormat="1" spans="2:15">
      <c r="B68" s="79"/>
      <c r="C68" s="80"/>
      <c r="D68" s="68">
        <v>11.6</v>
      </c>
      <c r="E68" s="147">
        <v>0.4328</v>
      </c>
      <c r="F68" s="68">
        <v>1</v>
      </c>
      <c r="G68" s="148">
        <v>7.2</v>
      </c>
      <c r="H68" s="149">
        <f t="shared" si="59"/>
        <v>83.7569316081331</v>
      </c>
      <c r="I68" s="160"/>
      <c r="J68" s="149"/>
      <c r="K68" s="161"/>
      <c r="L68" s="156"/>
      <c r="M68" s="157"/>
      <c r="N68" s="158"/>
      <c r="O68" s="159"/>
    </row>
    <row r="69" spans="2:10">
      <c r="B69" s="79" t="s">
        <v>1495</v>
      </c>
      <c r="C69" s="80" t="s">
        <v>1462</v>
      </c>
      <c r="D69" s="68">
        <v>11.4</v>
      </c>
      <c r="E69" s="147">
        <v>0.4542</v>
      </c>
      <c r="F69" s="68">
        <v>1</v>
      </c>
      <c r="G69" s="148">
        <v>6.7</v>
      </c>
      <c r="H69" s="149">
        <f t="shared" ref="H69:H70" si="60">D69*100*F69*250*0.9/E69/G69/1000</f>
        <v>84.2879394309825</v>
      </c>
      <c r="I69" s="160">
        <f>(H69+H70)/2</f>
        <v>84.8143183979506</v>
      </c>
      <c r="J69" s="149">
        <f>(H69-H70)/I69*100</f>
        <v>-1.24125024385242</v>
      </c>
    </row>
    <row r="70" spans="2:10">
      <c r="B70" s="79"/>
      <c r="C70" s="80"/>
      <c r="D70" s="68">
        <v>11.4</v>
      </c>
      <c r="E70" s="147">
        <v>0.442</v>
      </c>
      <c r="F70" s="68">
        <v>1</v>
      </c>
      <c r="G70" s="148">
        <v>6.8</v>
      </c>
      <c r="H70" s="149">
        <f t="shared" si="60"/>
        <v>85.3406973649188</v>
      </c>
      <c r="I70" s="160"/>
      <c r="J70" s="149"/>
    </row>
    <row r="73" spans="2:10">
      <c r="B73" s="55" t="s">
        <v>1496</v>
      </c>
      <c r="C73" s="56" t="s">
        <v>1459</v>
      </c>
      <c r="D73" s="72">
        <v>11.4</v>
      </c>
      <c r="E73" s="73">
        <v>0.354</v>
      </c>
      <c r="F73" s="72">
        <v>1</v>
      </c>
      <c r="G73" s="66">
        <v>8.2</v>
      </c>
      <c r="H73" s="74">
        <f t="shared" ref="H73:H80" si="61">D73*100*F73*250*0.9/E73/G73/1000</f>
        <v>88.3629599007855</v>
      </c>
      <c r="I73" s="75">
        <f t="shared" ref="I73" si="62">(H73+H74)/2</f>
        <v>87.3523963856364</v>
      </c>
      <c r="J73" s="74">
        <f t="shared" ref="J73" si="63">(H73-H74)/I73*100</f>
        <v>2.31376254564957</v>
      </c>
    </row>
    <row r="74" spans="2:10">
      <c r="B74" s="55"/>
      <c r="C74" s="56"/>
      <c r="D74" s="72">
        <v>11.4</v>
      </c>
      <c r="E74" s="73">
        <v>0.3961</v>
      </c>
      <c r="F74" s="72">
        <v>1</v>
      </c>
      <c r="G74" s="66">
        <v>7.5</v>
      </c>
      <c r="H74" s="74">
        <f t="shared" si="61"/>
        <v>86.3418328704873</v>
      </c>
      <c r="I74" s="75"/>
      <c r="J74" s="74"/>
    </row>
    <row r="75" spans="2:10">
      <c r="B75" s="55" t="s">
        <v>1497</v>
      </c>
      <c r="C75" s="56" t="s">
        <v>1462</v>
      </c>
      <c r="D75" s="72">
        <v>11.4</v>
      </c>
      <c r="E75" s="73">
        <v>0.3808</v>
      </c>
      <c r="F75" s="72">
        <v>1</v>
      </c>
      <c r="G75" s="66">
        <v>8.05</v>
      </c>
      <c r="H75" s="74">
        <f t="shared" si="61"/>
        <v>83.6747742575291</v>
      </c>
      <c r="I75" s="75">
        <f t="shared" ref="I75" si="64">(H75+H76)/2</f>
        <v>84.0062995160675</v>
      </c>
      <c r="J75" s="74">
        <f t="shared" ref="J75" si="65">(H75-H76)/I75*100</f>
        <v>-0.789286661710437</v>
      </c>
    </row>
    <row r="76" spans="2:10">
      <c r="B76" s="55"/>
      <c r="C76" s="56"/>
      <c r="D76" s="72">
        <v>11.4</v>
      </c>
      <c r="E76" s="73">
        <v>0.3516</v>
      </c>
      <c r="F76" s="72">
        <v>1</v>
      </c>
      <c r="G76" s="66">
        <v>8.65</v>
      </c>
      <c r="H76" s="74">
        <f t="shared" si="61"/>
        <v>84.3378247746059</v>
      </c>
      <c r="I76" s="75"/>
      <c r="J76" s="74"/>
    </row>
    <row r="77" spans="2:10">
      <c r="B77" s="55" t="s">
        <v>1498</v>
      </c>
      <c r="C77" s="56" t="s">
        <v>1457</v>
      </c>
      <c r="D77" s="72">
        <v>11.4</v>
      </c>
      <c r="E77" s="73">
        <v>0.4533</v>
      </c>
      <c r="F77" s="72">
        <v>1</v>
      </c>
      <c r="G77" s="66">
        <v>6.6</v>
      </c>
      <c r="H77" s="74">
        <f t="shared" si="61"/>
        <v>85.7349136634378</v>
      </c>
      <c r="I77" s="75">
        <f t="shared" ref="I77" si="66">(H77+H78)/2</f>
        <v>84.541434722577</v>
      </c>
      <c r="J77" s="74">
        <f t="shared" ref="J77" si="67">(H77-H78)/I77*100</f>
        <v>2.82341775906046</v>
      </c>
    </row>
    <row r="78" spans="2:10">
      <c r="B78" s="55"/>
      <c r="C78" s="56"/>
      <c r="D78" s="72">
        <v>11.4</v>
      </c>
      <c r="E78" s="73">
        <v>0.3753</v>
      </c>
      <c r="F78" s="72">
        <v>1</v>
      </c>
      <c r="G78" s="66">
        <v>8.2</v>
      </c>
      <c r="H78" s="74">
        <f t="shared" si="61"/>
        <v>83.3479557817161</v>
      </c>
      <c r="I78" s="75"/>
      <c r="J78" s="74"/>
    </row>
    <row r="79" spans="2:10">
      <c r="B79" s="55" t="s">
        <v>1499</v>
      </c>
      <c r="C79" s="56" t="s">
        <v>1457</v>
      </c>
      <c r="D79" s="72">
        <v>11.4</v>
      </c>
      <c r="E79" s="73">
        <v>0.3508</v>
      </c>
      <c r="F79" s="72">
        <v>1</v>
      </c>
      <c r="G79" s="66">
        <v>8.5</v>
      </c>
      <c r="H79" s="74">
        <f t="shared" si="61"/>
        <v>86.0218659869877</v>
      </c>
      <c r="I79" s="75">
        <f t="shared" ref="I79" si="68">(H79+H80)/2</f>
        <v>85.8730889682946</v>
      </c>
      <c r="J79" s="74">
        <f t="shared" ref="J79" si="69">(H79-H80)/I79*100</f>
        <v>0.346504406632138</v>
      </c>
    </row>
    <row r="80" spans="2:10">
      <c r="B80" s="55"/>
      <c r="C80" s="56"/>
      <c r="D80" s="72">
        <v>11.4</v>
      </c>
      <c r="E80" s="73">
        <v>0.3605</v>
      </c>
      <c r="F80" s="72">
        <v>1</v>
      </c>
      <c r="G80" s="66">
        <v>8.3</v>
      </c>
      <c r="H80" s="74">
        <f t="shared" si="61"/>
        <v>85.7243119496015</v>
      </c>
      <c r="I80" s="75"/>
      <c r="J80" s="74"/>
    </row>
    <row r="81" spans="2:10">
      <c r="B81" s="55" t="s">
        <v>1500</v>
      </c>
      <c r="C81" s="56" t="s">
        <v>1462</v>
      </c>
      <c r="D81" s="72">
        <v>11.4</v>
      </c>
      <c r="E81" s="73">
        <v>0.4081</v>
      </c>
      <c r="F81" s="72">
        <v>1</v>
      </c>
      <c r="G81" s="66">
        <v>7.5</v>
      </c>
      <c r="H81" s="74">
        <f t="shared" ref="H81:H84" si="70">D81*100*F81*250*0.9/E81/G81/1000</f>
        <v>83.8029894633668</v>
      </c>
      <c r="I81" s="75">
        <f t="shared" ref="I81" si="71">(H81+H82)/2</f>
        <v>84.3475807557511</v>
      </c>
      <c r="J81" s="74">
        <f t="shared" ref="J81" si="72">(H81-H82)/I81*100</f>
        <v>-1.29130269654386</v>
      </c>
    </row>
    <row r="82" spans="2:10">
      <c r="B82" s="55"/>
      <c r="C82" s="56"/>
      <c r="D82" s="72">
        <v>11.4</v>
      </c>
      <c r="E82" s="73">
        <v>0.3924</v>
      </c>
      <c r="F82" s="72">
        <v>1</v>
      </c>
      <c r="G82" s="66">
        <v>7.7</v>
      </c>
      <c r="H82" s="74">
        <f t="shared" si="70"/>
        <v>84.8921720481353</v>
      </c>
      <c r="I82" s="75"/>
      <c r="J82" s="74"/>
    </row>
    <row r="83" spans="2:10">
      <c r="B83" s="55" t="s">
        <v>1501</v>
      </c>
      <c r="C83" s="56" t="s">
        <v>1462</v>
      </c>
      <c r="D83" s="72">
        <v>11.4</v>
      </c>
      <c r="E83" s="73">
        <v>0.3726</v>
      </c>
      <c r="F83" s="72">
        <v>1</v>
      </c>
      <c r="G83" s="66">
        <v>8.25</v>
      </c>
      <c r="H83" s="74">
        <f t="shared" si="70"/>
        <v>83.4431269213878</v>
      </c>
      <c r="I83" s="75">
        <f t="shared" ref="I83" si="73">(H83+H84)/2</f>
        <v>83.2847946656873</v>
      </c>
      <c r="J83" s="74">
        <f t="shared" ref="J83" si="74">(H83-H84)/I83*100</f>
        <v>0.380218877493862</v>
      </c>
    </row>
    <row r="84" spans="2:10">
      <c r="B84" s="55"/>
      <c r="C84" s="56"/>
      <c r="D84" s="72">
        <v>11.4</v>
      </c>
      <c r="E84" s="73">
        <v>0.3763</v>
      </c>
      <c r="F84" s="72">
        <v>1</v>
      </c>
      <c r="G84" s="66">
        <v>8.2</v>
      </c>
      <c r="H84" s="74">
        <f t="shared" si="70"/>
        <v>83.1264624099869</v>
      </c>
      <c r="I84" s="75"/>
      <c r="J84" s="74"/>
    </row>
    <row r="85" spans="2:10">
      <c r="B85" s="55" t="s">
        <v>1502</v>
      </c>
      <c r="C85" s="56" t="s">
        <v>1503</v>
      </c>
      <c r="D85" s="72">
        <v>11.4</v>
      </c>
      <c r="E85" s="73">
        <v>0.5322</v>
      </c>
      <c r="F85" s="72">
        <v>1</v>
      </c>
      <c r="G85" s="66">
        <v>5.7</v>
      </c>
      <c r="H85" s="74">
        <f t="shared" ref="H85:H86" si="75">D85*100*F85*250*0.9/E85/G85/1000</f>
        <v>84.554678692221</v>
      </c>
      <c r="I85" s="75">
        <f t="shared" ref="I85" si="76">(H85+H86)/2</f>
        <v>84.8242487651503</v>
      </c>
      <c r="J85" s="74">
        <f t="shared" ref="J85" si="77">(H85-H86)/I85*100</f>
        <v>-0.635596723469126</v>
      </c>
    </row>
    <row r="86" spans="2:10">
      <c r="B86" s="55"/>
      <c r="C86" s="56"/>
      <c r="D86" s="72">
        <v>11.4</v>
      </c>
      <c r="E86" s="73">
        <v>0.3676</v>
      </c>
      <c r="F86" s="72">
        <v>1</v>
      </c>
      <c r="G86" s="66">
        <v>8.2</v>
      </c>
      <c r="H86" s="74">
        <f t="shared" si="75"/>
        <v>85.0938188380796</v>
      </c>
      <c r="I86" s="75"/>
      <c r="J86" s="74"/>
    </row>
    <row r="88" spans="2:10">
      <c r="B88" s="55" t="s">
        <v>1504</v>
      </c>
      <c r="C88" s="56" t="s">
        <v>1459</v>
      </c>
      <c r="D88" s="72">
        <v>11.2</v>
      </c>
      <c r="E88" s="73">
        <v>0.371</v>
      </c>
      <c r="F88" s="72">
        <v>1</v>
      </c>
      <c r="G88" s="66">
        <v>7.95</v>
      </c>
      <c r="H88" s="74">
        <f t="shared" ref="H88:H89" si="78">D88*100*F88*250*0.9/E88/G88/1000</f>
        <v>85.439658241367</v>
      </c>
      <c r="I88" s="75">
        <f t="shared" ref="I88" si="79">(H88+H89)/2</f>
        <v>86.2314218521756</v>
      </c>
      <c r="J88" s="74">
        <f t="shared" ref="J88" si="80">(H88-H89)/I88*100</f>
        <v>-1.83636914201836</v>
      </c>
    </row>
    <row r="89" spans="2:10">
      <c r="B89" s="55"/>
      <c r="C89" s="56"/>
      <c r="D89" s="72">
        <v>11.2</v>
      </c>
      <c r="E89" s="73">
        <v>0.3468</v>
      </c>
      <c r="F89" s="72">
        <v>1</v>
      </c>
      <c r="G89" s="66">
        <v>8.35</v>
      </c>
      <c r="H89" s="74">
        <f t="shared" si="78"/>
        <v>87.0231854629841</v>
      </c>
      <c r="I89" s="75"/>
      <c r="J89" s="74"/>
    </row>
    <row r="90" spans="2:10">
      <c r="B90" s="55" t="s">
        <v>1505</v>
      </c>
      <c r="C90" s="56" t="s">
        <v>1506</v>
      </c>
      <c r="D90" s="72">
        <v>11.2</v>
      </c>
      <c r="E90" s="73">
        <v>0.3569</v>
      </c>
      <c r="F90" s="72">
        <v>1</v>
      </c>
      <c r="G90" s="66">
        <v>8.6</v>
      </c>
      <c r="H90" s="74">
        <f t="shared" ref="H90:H97" si="81">D90*100*F90*250*0.9/E90/G90/1000</f>
        <v>82.1023412199365</v>
      </c>
      <c r="I90" s="75">
        <f t="shared" ref="I90" si="82">(H90+H91)/2</f>
        <v>83.8686999705598</v>
      </c>
      <c r="J90" s="74">
        <f t="shared" ref="J90" si="83">(H90-H91)/I90*100</f>
        <v>-4.21220014437646</v>
      </c>
    </row>
    <row r="91" spans="2:10">
      <c r="B91" s="55"/>
      <c r="C91" s="56"/>
      <c r="D91" s="72">
        <v>11.2</v>
      </c>
      <c r="E91" s="73">
        <v>0.3872</v>
      </c>
      <c r="F91" s="72">
        <v>1</v>
      </c>
      <c r="G91" s="66">
        <v>7.6</v>
      </c>
      <c r="H91" s="74">
        <f t="shared" si="81"/>
        <v>85.6350587211831</v>
      </c>
      <c r="I91" s="75"/>
      <c r="J91" s="74"/>
    </row>
    <row r="92" spans="2:10">
      <c r="B92" s="55" t="s">
        <v>1507</v>
      </c>
      <c r="C92" s="56" t="s">
        <v>1506</v>
      </c>
      <c r="D92" s="72">
        <v>11.2</v>
      </c>
      <c r="E92" s="73">
        <v>0.3434</v>
      </c>
      <c r="F92" s="72">
        <v>1</v>
      </c>
      <c r="G92" s="66">
        <v>9</v>
      </c>
      <c r="H92" s="74">
        <f t="shared" si="81"/>
        <v>81.537565521258</v>
      </c>
      <c r="I92" s="75">
        <f t="shared" ref="I92" si="84">(H92+H93)/2</f>
        <v>82.2235148511977</v>
      </c>
      <c r="J92" s="74">
        <f t="shared" ref="J92" si="85">(H92-H93)/I92*100</f>
        <v>-1.66849916640293</v>
      </c>
    </row>
    <row r="93" spans="2:10">
      <c r="B93" s="55"/>
      <c r="C93" s="56"/>
      <c r="D93" s="72">
        <v>11.2</v>
      </c>
      <c r="E93" s="73">
        <v>0.3662</v>
      </c>
      <c r="F93" s="72">
        <v>1</v>
      </c>
      <c r="G93" s="66">
        <v>8.3</v>
      </c>
      <c r="H93" s="74">
        <f t="shared" si="81"/>
        <v>82.9094641811374</v>
      </c>
      <c r="I93" s="75"/>
      <c r="J93" s="74"/>
    </row>
    <row r="94" ht="21" customHeight="1" spans="2:10">
      <c r="B94" s="55" t="s">
        <v>1508</v>
      </c>
      <c r="C94" s="56" t="s">
        <v>1459</v>
      </c>
      <c r="D94" s="72">
        <v>11.4</v>
      </c>
      <c r="E94" s="73">
        <v>0.3608</v>
      </c>
      <c r="F94" s="72">
        <v>1</v>
      </c>
      <c r="G94" s="66">
        <v>8.4</v>
      </c>
      <c r="H94" s="74">
        <f t="shared" si="81"/>
        <v>84.6333544504276</v>
      </c>
      <c r="I94" s="75">
        <f t="shared" ref="I94" si="86">(H94+H95)/2</f>
        <v>85.964661760384</v>
      </c>
      <c r="J94" s="74">
        <f t="shared" ref="J94" si="87">(H94-H95)/I94*100</f>
        <v>-3.09733623722568</v>
      </c>
    </row>
    <row r="95" ht="9" customHeight="1" spans="2:10">
      <c r="B95" s="55"/>
      <c r="C95" s="56"/>
      <c r="D95" s="72">
        <v>11.4</v>
      </c>
      <c r="E95" s="73">
        <v>0.3944</v>
      </c>
      <c r="F95" s="72">
        <v>1</v>
      </c>
      <c r="G95" s="66">
        <v>7.45</v>
      </c>
      <c r="H95" s="74">
        <f t="shared" si="81"/>
        <v>87.2959690703405</v>
      </c>
      <c r="I95" s="75"/>
      <c r="J95" s="74"/>
    </row>
    <row r="96" spans="2:10">
      <c r="B96" s="55" t="s">
        <v>1509</v>
      </c>
      <c r="C96" s="56" t="s">
        <v>1506</v>
      </c>
      <c r="D96" s="72">
        <v>11.2</v>
      </c>
      <c r="E96" s="73">
        <v>0.4101</v>
      </c>
      <c r="F96" s="72">
        <v>1</v>
      </c>
      <c r="G96" s="66">
        <v>7.2</v>
      </c>
      <c r="H96" s="74">
        <f t="shared" si="81"/>
        <v>85.3450377956596</v>
      </c>
      <c r="I96" s="75">
        <f>(H96+H97)/2</f>
        <v>84.8094639693121</v>
      </c>
      <c r="J96" s="74">
        <f>(H96-H97)/I96*100</f>
        <v>1.26300486120576</v>
      </c>
    </row>
    <row r="97" spans="2:10">
      <c r="B97" s="55"/>
      <c r="C97" s="56"/>
      <c r="D97" s="72">
        <v>11.2</v>
      </c>
      <c r="E97" s="73">
        <v>0.3987</v>
      </c>
      <c r="F97" s="72">
        <v>1</v>
      </c>
      <c r="G97" s="66">
        <v>7.5</v>
      </c>
      <c r="H97" s="74">
        <f t="shared" si="81"/>
        <v>84.2738901429646</v>
      </c>
      <c r="I97" s="75"/>
      <c r="J97" s="74"/>
    </row>
    <row r="98" spans="2:10">
      <c r="B98" s="55" t="s">
        <v>1510</v>
      </c>
      <c r="C98" s="56" t="s">
        <v>1459</v>
      </c>
      <c r="D98" s="72">
        <v>11.2</v>
      </c>
      <c r="E98" s="73">
        <v>0.3253</v>
      </c>
      <c r="F98" s="72">
        <v>1</v>
      </c>
      <c r="G98" s="66">
        <v>9</v>
      </c>
      <c r="H98" s="74">
        <f t="shared" ref="H98:H99" si="88">D98*100*F98*250*0.9/E98/G98/1000</f>
        <v>86.0743928681217</v>
      </c>
      <c r="I98" s="75">
        <f>(H98+H99)/2</f>
        <v>85.7896394308035</v>
      </c>
      <c r="J98" s="74">
        <f>(H98-H99)/I98*100</f>
        <v>0.663841086656791</v>
      </c>
    </row>
    <row r="99" spans="2:10">
      <c r="B99" s="55"/>
      <c r="C99" s="56"/>
      <c r="D99" s="72">
        <v>11.2</v>
      </c>
      <c r="E99" s="73">
        <v>0.3684</v>
      </c>
      <c r="F99" s="72">
        <v>1</v>
      </c>
      <c r="G99" s="66">
        <v>8</v>
      </c>
      <c r="H99" s="74">
        <f t="shared" si="88"/>
        <v>85.5048859934853</v>
      </c>
      <c r="I99" s="75"/>
      <c r="J99" s="74"/>
    </row>
    <row r="100" spans="2:10">
      <c r="B100" s="55" t="s">
        <v>1511</v>
      </c>
      <c r="C100" s="56" t="s">
        <v>1459</v>
      </c>
      <c r="D100" s="72">
        <v>11.2</v>
      </c>
      <c r="E100" s="73">
        <v>0.3294</v>
      </c>
      <c r="F100" s="72">
        <v>1</v>
      </c>
      <c r="G100" s="66">
        <v>8.8</v>
      </c>
      <c r="H100" s="74">
        <f t="shared" ref="H100:H101" si="89">D100*100*F100*250*0.9/E100/G100/1000</f>
        <v>86.9349230004968</v>
      </c>
      <c r="I100" s="75">
        <f>(H100+H101)/2</f>
        <v>86.7184977229912</v>
      </c>
      <c r="J100" s="74">
        <f>(H100-H101)/I100*100</f>
        <v>0.499144434436323</v>
      </c>
    </row>
    <row r="101" spans="2:10">
      <c r="B101" s="55"/>
      <c r="C101" s="56"/>
      <c r="D101" s="72">
        <v>11.2</v>
      </c>
      <c r="E101" s="73">
        <v>0.3255</v>
      </c>
      <c r="F101" s="72">
        <v>1</v>
      </c>
      <c r="G101" s="66">
        <v>8.95</v>
      </c>
      <c r="H101" s="74">
        <f t="shared" si="89"/>
        <v>86.5020724454857</v>
      </c>
      <c r="I101" s="75"/>
      <c r="J101" s="74"/>
    </row>
    <row r="102" spans="2:10">
      <c r="B102" s="55" t="s">
        <v>1512</v>
      </c>
      <c r="C102" s="56" t="s">
        <v>1459</v>
      </c>
      <c r="D102" s="72">
        <v>11.2</v>
      </c>
      <c r="E102" s="73">
        <v>0.3949</v>
      </c>
      <c r="F102" s="72">
        <v>1</v>
      </c>
      <c r="G102" s="66">
        <v>7.55</v>
      </c>
      <c r="H102" s="74">
        <f t="shared" ref="H102:H103" si="90">D102*100*F102*250*0.9/E102/G102/1000</f>
        <v>84.5213558969577</v>
      </c>
      <c r="I102" s="75">
        <f>(H102+H103)/2</f>
        <v>84.5954045199036</v>
      </c>
      <c r="J102" s="74">
        <f>(H102-H103)/I102*100</f>
        <v>-0.175065355774569</v>
      </c>
    </row>
    <row r="103" spans="2:10">
      <c r="B103" s="55"/>
      <c r="C103" s="56"/>
      <c r="D103" s="72">
        <v>11.2</v>
      </c>
      <c r="E103" s="73">
        <v>0.4022</v>
      </c>
      <c r="F103" s="72">
        <v>1</v>
      </c>
      <c r="G103" s="66">
        <v>7.4</v>
      </c>
      <c r="H103" s="74">
        <f t="shared" si="90"/>
        <v>84.6694531428494</v>
      </c>
      <c r="I103" s="75"/>
      <c r="J103" s="74"/>
    </row>
    <row r="104" ht="23.25" customHeight="1" spans="2:10">
      <c r="B104" s="55" t="s">
        <v>1513</v>
      </c>
      <c r="C104" s="56" t="s">
        <v>1514</v>
      </c>
      <c r="D104" s="72">
        <v>11.4</v>
      </c>
      <c r="E104" s="73">
        <v>2.0368</v>
      </c>
      <c r="F104" s="72">
        <v>1</v>
      </c>
      <c r="G104" s="66">
        <v>5.7</v>
      </c>
      <c r="H104" s="74">
        <f t="shared" ref="H104:H107" si="91">D104*100*F104*250*0.9/E104/G104/1000</f>
        <v>22.0934799685782</v>
      </c>
      <c r="I104" s="75">
        <f>(H104+H105)/2</f>
        <v>22.0265969764675</v>
      </c>
      <c r="J104" s="74">
        <f>(H104-H105)/I104*100</f>
        <v>0.607293012008451</v>
      </c>
    </row>
    <row r="105" spans="2:10">
      <c r="B105" s="55"/>
      <c r="C105" s="56"/>
      <c r="D105" s="72">
        <v>11.4</v>
      </c>
      <c r="E105" s="73">
        <v>2.0858</v>
      </c>
      <c r="F105" s="72">
        <v>1</v>
      </c>
      <c r="G105" s="66">
        <v>5.6</v>
      </c>
      <c r="H105" s="74">
        <f t="shared" si="91"/>
        <v>21.9597139843568</v>
      </c>
      <c r="I105" s="75"/>
      <c r="J105" s="74"/>
    </row>
    <row r="106" spans="2:10">
      <c r="B106" s="55" t="s">
        <v>1515</v>
      </c>
      <c r="C106" s="56" t="s">
        <v>1459</v>
      </c>
      <c r="D106" s="72">
        <v>11.4</v>
      </c>
      <c r="E106" s="73">
        <v>0.4173</v>
      </c>
      <c r="F106" s="72">
        <v>1</v>
      </c>
      <c r="G106" s="66">
        <v>7.7</v>
      </c>
      <c r="H106" s="74">
        <f t="shared" si="91"/>
        <v>79.826715340734</v>
      </c>
      <c r="I106" s="75">
        <f>(H106+H107)/2</f>
        <v>81.2638502490418</v>
      </c>
      <c r="J106" s="74">
        <f>(H106-H107)/I106*100</f>
        <v>-3.53695992474756</v>
      </c>
    </row>
    <row r="107" spans="2:10">
      <c r="B107" s="55"/>
      <c r="C107" s="56"/>
      <c r="D107" s="72">
        <v>11.4</v>
      </c>
      <c r="E107" s="73">
        <v>0.3951</v>
      </c>
      <c r="F107" s="72">
        <v>1</v>
      </c>
      <c r="G107" s="66">
        <v>7.85</v>
      </c>
      <c r="H107" s="74">
        <f t="shared" si="91"/>
        <v>82.7009851573495</v>
      </c>
      <c r="I107" s="75"/>
      <c r="J107" s="74"/>
    </row>
    <row r="108" spans="2:10">
      <c r="B108" s="55" t="s">
        <v>928</v>
      </c>
      <c r="C108" s="56" t="s">
        <v>1516</v>
      </c>
      <c r="D108" s="72">
        <v>11.4</v>
      </c>
      <c r="E108" s="73">
        <v>0.4039</v>
      </c>
      <c r="F108" s="72">
        <v>1</v>
      </c>
      <c r="G108" s="66">
        <v>7.85</v>
      </c>
      <c r="H108" s="74">
        <f t="shared" ref="H108:H109" si="92">D108*100*F108*250*0.9/E108/G108/1000</f>
        <v>80.8991315564961</v>
      </c>
      <c r="I108" s="75">
        <f>(H108+H109)/2</f>
        <v>81.8327081736883</v>
      </c>
      <c r="J108" s="74">
        <f>(H108-H109)/I108*100</f>
        <v>-2.28167107756137</v>
      </c>
    </row>
    <row r="109" spans="2:10">
      <c r="B109" s="55"/>
      <c r="C109" s="56"/>
      <c r="D109" s="72">
        <v>11.4</v>
      </c>
      <c r="E109" s="73">
        <v>0.3554</v>
      </c>
      <c r="F109" s="72">
        <v>1</v>
      </c>
      <c r="G109" s="66">
        <v>8.72</v>
      </c>
      <c r="H109" s="74">
        <f t="shared" si="92"/>
        <v>82.7662847908804</v>
      </c>
      <c r="I109" s="75"/>
      <c r="J109" s="74"/>
    </row>
    <row r="110" spans="2:10">
      <c r="B110" s="55" t="s">
        <v>1517</v>
      </c>
      <c r="C110" s="56" t="s">
        <v>1459</v>
      </c>
      <c r="D110" s="72">
        <v>11.4</v>
      </c>
      <c r="E110" s="73">
        <v>0.5408</v>
      </c>
      <c r="F110" s="72">
        <v>1</v>
      </c>
      <c r="G110" s="66">
        <v>5.9</v>
      </c>
      <c r="H110" s="74">
        <f t="shared" ref="H110:H137" si="93">D110*100*F110*250*0.9/E110/G110/1000</f>
        <v>80.3893791996791</v>
      </c>
      <c r="I110" s="75">
        <f>(H110+H111)/2</f>
        <v>80.6822450038627</v>
      </c>
      <c r="J110" s="74">
        <f>(H110-H111)/I110*100</f>
        <v>-0.725973364200846</v>
      </c>
    </row>
    <row r="111" spans="2:10">
      <c r="B111" s="55"/>
      <c r="C111" s="56"/>
      <c r="D111" s="72">
        <v>11.4</v>
      </c>
      <c r="E111" s="73">
        <v>0.5028</v>
      </c>
      <c r="F111" s="72">
        <v>1</v>
      </c>
      <c r="G111" s="66">
        <v>6.3</v>
      </c>
      <c r="H111" s="74">
        <f t="shared" si="93"/>
        <v>80.9751108080464</v>
      </c>
      <c r="I111" s="75"/>
      <c r="J111" s="74"/>
    </row>
    <row r="112" spans="2:10">
      <c r="B112" s="55" t="s">
        <v>1518</v>
      </c>
      <c r="C112" s="56" t="s">
        <v>1519</v>
      </c>
      <c r="D112" s="72">
        <v>11.4</v>
      </c>
      <c r="E112" s="73">
        <v>1.0446</v>
      </c>
      <c r="F112" s="72">
        <v>2</v>
      </c>
      <c r="G112" s="66">
        <v>8.9</v>
      </c>
      <c r="H112" s="74">
        <f t="shared" si="93"/>
        <v>55.179446140343</v>
      </c>
      <c r="I112" s="75">
        <f>(H112+H113)/2</f>
        <v>54.7356682438288</v>
      </c>
      <c r="J112" s="74">
        <f>(H112-H113)/I112*100</f>
        <v>1.62153093495553</v>
      </c>
    </row>
    <row r="113" spans="2:10">
      <c r="B113" s="55"/>
      <c r="C113" s="56"/>
      <c r="D113" s="72">
        <v>11.4</v>
      </c>
      <c r="E113" s="73">
        <v>1.3033</v>
      </c>
      <c r="F113" s="72">
        <v>4</v>
      </c>
      <c r="G113" s="66">
        <v>14.5</v>
      </c>
      <c r="H113" s="74">
        <f t="shared" si="93"/>
        <v>54.2918903473146</v>
      </c>
      <c r="I113" s="75"/>
      <c r="J113" s="74"/>
    </row>
    <row r="114" spans="2:10">
      <c r="B114" s="55" t="s">
        <v>1520</v>
      </c>
      <c r="C114" s="56"/>
      <c r="D114" s="72">
        <v>11.4</v>
      </c>
      <c r="E114" s="73">
        <v>0.3613</v>
      </c>
      <c r="F114" s="72">
        <v>1</v>
      </c>
      <c r="G114" s="66">
        <v>8.9</v>
      </c>
      <c r="H114" s="74">
        <f t="shared" si="93"/>
        <v>79.7681282012209</v>
      </c>
      <c r="I114" s="75">
        <f>(H114+H115)/2</f>
        <v>80.6615225123722</v>
      </c>
      <c r="J114" s="74">
        <f>(H114-H115)/I114*100</f>
        <v>-2.21516848014917</v>
      </c>
    </row>
    <row r="115" spans="2:10">
      <c r="B115" s="55"/>
      <c r="C115" s="56"/>
      <c r="D115" s="72">
        <v>11.4</v>
      </c>
      <c r="E115" s="73">
        <v>0.3574</v>
      </c>
      <c r="F115" s="72">
        <v>1</v>
      </c>
      <c r="G115" s="66">
        <v>8.8</v>
      </c>
      <c r="H115" s="74">
        <f t="shared" si="93"/>
        <v>81.5549168235234</v>
      </c>
      <c r="I115" s="75"/>
      <c r="J115" s="74"/>
    </row>
    <row r="116" spans="2:10">
      <c r="B116" s="55" t="s">
        <v>1521</v>
      </c>
      <c r="C116" s="56"/>
      <c r="D116" s="72">
        <v>11.4</v>
      </c>
      <c r="E116" s="73">
        <v>0.3561</v>
      </c>
      <c r="F116" s="72">
        <v>1</v>
      </c>
      <c r="G116" s="66">
        <v>8.8</v>
      </c>
      <c r="H116" s="74">
        <f t="shared" si="93"/>
        <v>81.8526460902198</v>
      </c>
      <c r="I116" s="75">
        <f>(H116+H117)/2</f>
        <v>82.2605566536288</v>
      </c>
      <c r="J116" s="74">
        <f>(H116-H117)/I116*100</f>
        <v>-0.991752499625198</v>
      </c>
    </row>
    <row r="117" spans="2:10">
      <c r="B117" s="55"/>
      <c r="C117" s="56"/>
      <c r="D117" s="72">
        <v>11.4</v>
      </c>
      <c r="E117" s="73">
        <v>0.3587</v>
      </c>
      <c r="F117" s="72">
        <v>1</v>
      </c>
      <c r="G117" s="66">
        <v>8.65</v>
      </c>
      <c r="H117" s="74">
        <f t="shared" si="93"/>
        <v>82.6684672170378</v>
      </c>
      <c r="I117" s="75"/>
      <c r="J117" s="74"/>
    </row>
    <row r="118" spans="2:10">
      <c r="B118" s="55" t="s">
        <v>1522</v>
      </c>
      <c r="C118" s="56"/>
      <c r="D118" s="72">
        <v>11.4</v>
      </c>
      <c r="E118" s="73">
        <v>0.3558</v>
      </c>
      <c r="F118" s="72">
        <v>1</v>
      </c>
      <c r="G118" s="66">
        <v>8.8</v>
      </c>
      <c r="H118" s="74">
        <f t="shared" si="93"/>
        <v>81.9216618120497</v>
      </c>
      <c r="I118" s="75">
        <f>(H118+H119)/2</f>
        <v>81.5315734692417</v>
      </c>
      <c r="J118" s="74">
        <f>(H118-H119)/I118*100</f>
        <v>0.956901298992308</v>
      </c>
    </row>
    <row r="119" spans="2:10">
      <c r="B119" s="55"/>
      <c r="C119" s="56"/>
      <c r="D119" s="72">
        <v>11.4</v>
      </c>
      <c r="E119" s="73">
        <v>0.3741</v>
      </c>
      <c r="F119" s="72">
        <v>1</v>
      </c>
      <c r="G119" s="66">
        <v>8.45</v>
      </c>
      <c r="H119" s="74">
        <f t="shared" si="93"/>
        <v>81.1414851264336</v>
      </c>
      <c r="I119" s="75"/>
      <c r="J119" s="74"/>
    </row>
    <row r="120" spans="2:10">
      <c r="B120" s="55" t="s">
        <v>1523</v>
      </c>
      <c r="C120" s="56"/>
      <c r="D120" s="72">
        <v>11.4</v>
      </c>
      <c r="E120" s="73">
        <v>4.2356</v>
      </c>
      <c r="F120" s="72">
        <v>4</v>
      </c>
      <c r="G120" s="66">
        <v>7.9</v>
      </c>
      <c r="H120" s="74">
        <f t="shared" si="93"/>
        <v>30.6623424595144</v>
      </c>
      <c r="I120" s="75">
        <f>(H120+H121)/2</f>
        <v>30.350571288166</v>
      </c>
      <c r="J120" s="74">
        <f>(H120-H121)/I120*100</f>
        <v>2.05446657585626</v>
      </c>
    </row>
    <row r="121" spans="2:10">
      <c r="B121" s="55"/>
      <c r="C121" s="56"/>
      <c r="D121" s="72">
        <v>11.4</v>
      </c>
      <c r="E121" s="73">
        <v>4.1401</v>
      </c>
      <c r="F121" s="72">
        <v>4</v>
      </c>
      <c r="G121" s="66">
        <v>8.25</v>
      </c>
      <c r="H121" s="74">
        <f t="shared" si="93"/>
        <v>30.0388001168176</v>
      </c>
      <c r="I121" s="75"/>
      <c r="J121" s="74"/>
    </row>
    <row r="122" spans="2:10">
      <c r="B122" s="55" t="s">
        <v>1524</v>
      </c>
      <c r="C122" s="56"/>
      <c r="D122" s="72">
        <v>11.4</v>
      </c>
      <c r="E122" s="73">
        <v>3.4538</v>
      </c>
      <c r="F122" s="72">
        <v>2</v>
      </c>
      <c r="G122" s="66">
        <v>8.5</v>
      </c>
      <c r="H122" s="74">
        <f t="shared" si="93"/>
        <v>17.4743590180296</v>
      </c>
      <c r="I122" s="75">
        <f>(H122+H123)/2</f>
        <v>17.6892685566486</v>
      </c>
      <c r="J122" s="74">
        <f>(H122-H123)/I122*100</f>
        <v>-2.42982956509267</v>
      </c>
    </row>
    <row r="123" spans="2:10">
      <c r="B123" s="55"/>
      <c r="C123" s="56"/>
      <c r="D123" s="72">
        <v>11.4</v>
      </c>
      <c r="E123" s="73">
        <v>3.2014</v>
      </c>
      <c r="F123" s="72">
        <v>2</v>
      </c>
      <c r="G123" s="66">
        <v>8.95</v>
      </c>
      <c r="H123" s="74">
        <f t="shared" si="93"/>
        <v>17.9041780952677</v>
      </c>
      <c r="I123" s="75"/>
      <c r="J123" s="74"/>
    </row>
    <row r="124" spans="2:10">
      <c r="B124" s="55" t="s">
        <v>1525</v>
      </c>
      <c r="C124" s="56"/>
      <c r="D124" s="72">
        <v>11.4</v>
      </c>
      <c r="E124" s="162">
        <v>2.2206</v>
      </c>
      <c r="F124" s="72">
        <v>2</v>
      </c>
      <c r="G124" s="66">
        <v>7.25</v>
      </c>
      <c r="H124" s="74">
        <f t="shared" si="93"/>
        <v>31.8646404979083</v>
      </c>
      <c r="I124" s="75">
        <f>(H124+H125)/2</f>
        <v>31.6313205317198</v>
      </c>
      <c r="J124" s="74">
        <f>(H124-H125)/I124*100</f>
        <v>1.47524644729617</v>
      </c>
    </row>
    <row r="125" spans="2:10">
      <c r="B125" s="55"/>
      <c r="C125" s="56"/>
      <c r="D125" s="72">
        <v>11.4</v>
      </c>
      <c r="E125" s="54">
        <v>2.3852</v>
      </c>
      <c r="F125" s="72">
        <v>2</v>
      </c>
      <c r="G125" s="66">
        <v>6.85</v>
      </c>
      <c r="H125" s="74">
        <f t="shared" si="93"/>
        <v>31.3980005655312</v>
      </c>
      <c r="I125" s="75"/>
      <c r="J125" s="74"/>
    </row>
    <row r="126" spans="2:10">
      <c r="B126" s="55" t="s">
        <v>1526</v>
      </c>
      <c r="C126" s="56"/>
      <c r="D126" s="72">
        <v>11.4</v>
      </c>
      <c r="E126" s="54">
        <v>2.0617</v>
      </c>
      <c r="F126" s="72">
        <v>1</v>
      </c>
      <c r="G126" s="66">
        <v>5.15</v>
      </c>
      <c r="H126" s="74">
        <f t="shared" si="93"/>
        <v>24.1576491452289</v>
      </c>
      <c r="I126" s="75">
        <f>(H126+H127)/2</f>
        <v>24.3854096751693</v>
      </c>
      <c r="J126" s="74">
        <f>(H126-H127)/I126*100</f>
        <v>-1.86800659061586</v>
      </c>
    </row>
    <row r="127" spans="2:10">
      <c r="B127" s="55"/>
      <c r="C127" s="56"/>
      <c r="D127" s="72">
        <v>11.4</v>
      </c>
      <c r="E127" s="54">
        <v>1.985</v>
      </c>
      <c r="F127" s="72">
        <v>1</v>
      </c>
      <c r="G127" s="66">
        <v>5.25</v>
      </c>
      <c r="H127" s="74">
        <f t="shared" si="93"/>
        <v>24.6131702051097</v>
      </c>
      <c r="I127" s="75"/>
      <c r="J127" s="74"/>
    </row>
    <row r="128" spans="2:10">
      <c r="B128" s="55" t="s">
        <v>1527</v>
      </c>
      <c r="C128" s="56"/>
      <c r="D128" s="72">
        <v>11.4</v>
      </c>
      <c r="E128" s="54">
        <v>2.2087</v>
      </c>
      <c r="F128" s="72">
        <v>2</v>
      </c>
      <c r="G128" s="66">
        <v>7.5</v>
      </c>
      <c r="H128" s="74">
        <f t="shared" si="93"/>
        <v>30.968442975506</v>
      </c>
      <c r="I128" s="75">
        <f>(H128+H129)/2</f>
        <v>30.6619608034233</v>
      </c>
      <c r="J128" s="74">
        <f>(H128-H129)/I128*100</f>
        <v>1.999103541013</v>
      </c>
    </row>
    <row r="129" spans="2:10">
      <c r="B129" s="55"/>
      <c r="C129" s="56"/>
      <c r="D129" s="72">
        <v>11.4</v>
      </c>
      <c r="E129" s="54">
        <v>2.331</v>
      </c>
      <c r="F129" s="72">
        <v>2</v>
      </c>
      <c r="G129" s="66">
        <v>7.25</v>
      </c>
      <c r="H129" s="74">
        <f t="shared" si="93"/>
        <v>30.3554786313407</v>
      </c>
      <c r="I129" s="75"/>
      <c r="J129" s="74"/>
    </row>
    <row r="130" spans="2:10">
      <c r="B130" s="55" t="s">
        <v>1528</v>
      </c>
      <c r="C130" s="56"/>
      <c r="D130" s="72">
        <v>11.4</v>
      </c>
      <c r="E130" s="73">
        <v>2.972</v>
      </c>
      <c r="F130" s="72">
        <v>1</v>
      </c>
      <c r="G130" s="66">
        <v>9.1</v>
      </c>
      <c r="H130" s="74">
        <f t="shared" si="93"/>
        <v>9.48412287577833</v>
      </c>
      <c r="I130" s="75">
        <f>(H130+H131)/2</f>
        <v>9.37695890907826</v>
      </c>
      <c r="J130" s="74">
        <f>(H130-H131)/I130*100</f>
        <v>2.28568702794072</v>
      </c>
    </row>
    <row r="131" spans="2:10">
      <c r="B131" s="55"/>
      <c r="C131" s="56"/>
      <c r="D131" s="72">
        <v>11.4</v>
      </c>
      <c r="E131" s="73">
        <v>3.0241</v>
      </c>
      <c r="F131" s="72">
        <v>1</v>
      </c>
      <c r="G131" s="66">
        <v>9.15</v>
      </c>
      <c r="H131" s="74">
        <f t="shared" si="93"/>
        <v>9.2697949423782</v>
      </c>
      <c r="I131" s="75"/>
      <c r="J131" s="74"/>
    </row>
    <row r="132" spans="2:10">
      <c r="B132" s="55" t="s">
        <v>1529</v>
      </c>
      <c r="C132" s="56"/>
      <c r="D132" s="72">
        <v>11.4</v>
      </c>
      <c r="E132" s="54">
        <v>2.772</v>
      </c>
      <c r="F132" s="72">
        <v>1</v>
      </c>
      <c r="G132" s="66">
        <v>11.5</v>
      </c>
      <c r="H132" s="74">
        <f t="shared" si="93"/>
        <v>8.04630152456239</v>
      </c>
      <c r="I132" s="75">
        <f>(H132+H133)/2</f>
        <v>8.11114935467092</v>
      </c>
      <c r="J132" s="74">
        <f>(H132-H133)/I132*100</f>
        <v>-1.59898005259103</v>
      </c>
    </row>
    <row r="133" spans="2:10">
      <c r="B133" s="55"/>
      <c r="C133" s="56"/>
      <c r="D133" s="72">
        <v>11.4</v>
      </c>
      <c r="E133" s="54">
        <v>2.8011</v>
      </c>
      <c r="F133" s="72">
        <v>1</v>
      </c>
      <c r="G133" s="66">
        <v>11.2</v>
      </c>
      <c r="H133" s="74">
        <f t="shared" si="93"/>
        <v>8.17599718477945</v>
      </c>
      <c r="I133" s="75"/>
      <c r="J133" s="74"/>
    </row>
    <row r="134" spans="2:10">
      <c r="B134" s="55" t="s">
        <v>1530</v>
      </c>
      <c r="C134" s="56"/>
      <c r="D134" s="72">
        <v>11.4</v>
      </c>
      <c r="E134" s="54">
        <v>2.8075</v>
      </c>
      <c r="F134" s="72">
        <v>1</v>
      </c>
      <c r="G134" s="66">
        <v>9.25</v>
      </c>
      <c r="H134" s="74">
        <f t="shared" si="93"/>
        <v>9.87701860364371</v>
      </c>
      <c r="I134" s="75">
        <f>(H134+H135)/2</f>
        <v>9.97579107852711</v>
      </c>
      <c r="J134" s="74">
        <f>(H134-H135)/I134*100</f>
        <v>-1.98024345349421</v>
      </c>
    </row>
    <row r="135" spans="2:10">
      <c r="B135" s="55"/>
      <c r="C135" s="56"/>
      <c r="D135" s="72">
        <v>11.4</v>
      </c>
      <c r="E135" s="54">
        <v>2.6521</v>
      </c>
      <c r="F135" s="72">
        <v>1</v>
      </c>
      <c r="G135" s="66">
        <v>9.6</v>
      </c>
      <c r="H135" s="74">
        <f t="shared" si="93"/>
        <v>10.0745635534105</v>
      </c>
      <c r="I135" s="75"/>
      <c r="J135" s="74"/>
    </row>
    <row r="136" spans="2:10">
      <c r="B136" s="55" t="s">
        <v>1531</v>
      </c>
      <c r="C136" s="56"/>
      <c r="D136" s="72">
        <v>11.4</v>
      </c>
      <c r="E136" s="73">
        <v>2.7702</v>
      </c>
      <c r="F136" s="72">
        <v>1</v>
      </c>
      <c r="G136" s="66">
        <v>9.1</v>
      </c>
      <c r="H136" s="74">
        <f t="shared" si="93"/>
        <v>10.1750101750102</v>
      </c>
      <c r="I136" s="75">
        <f>(H136+H137)/2</f>
        <v>10.4307185398209</v>
      </c>
      <c r="J136" s="74">
        <f>(H136-H137)/I136*100</f>
        <v>-4.90298657440585</v>
      </c>
    </row>
    <row r="137" spans="2:10">
      <c r="B137" s="55"/>
      <c r="C137" s="56"/>
      <c r="D137" s="72">
        <v>11.4</v>
      </c>
      <c r="E137" s="73">
        <v>2.6522</v>
      </c>
      <c r="F137" s="72">
        <v>1</v>
      </c>
      <c r="G137" s="66">
        <v>9.05</v>
      </c>
      <c r="H137" s="74">
        <f t="shared" si="93"/>
        <v>10.6864269046317</v>
      </c>
      <c r="I137" s="75"/>
      <c r="J137" s="74"/>
    </row>
    <row r="139" spans="2:10">
      <c r="B139" s="55" t="s">
        <v>1532</v>
      </c>
      <c r="C139" s="56"/>
      <c r="D139" s="72">
        <v>11.4</v>
      </c>
      <c r="E139" s="73">
        <v>0.3567</v>
      </c>
      <c r="F139" s="72">
        <v>1</v>
      </c>
      <c r="G139" s="66">
        <v>8.8</v>
      </c>
      <c r="H139" s="74">
        <f t="shared" ref="H139:H140" si="94">D139*100*F139*250*0.9/E139/G139/1000</f>
        <v>81.7149629176542</v>
      </c>
      <c r="I139" s="75">
        <f>(H139+H140)/2</f>
        <v>82.384913849253</v>
      </c>
      <c r="J139" s="74">
        <f>(H139-H140)/I139*100</f>
        <v>-1.62639226114776</v>
      </c>
    </row>
    <row r="140" spans="2:10">
      <c r="B140" s="55"/>
      <c r="C140" s="56"/>
      <c r="D140" s="72">
        <v>11.4</v>
      </c>
      <c r="E140" s="73">
        <v>0.3217</v>
      </c>
      <c r="F140" s="72">
        <v>1</v>
      </c>
      <c r="G140" s="66">
        <v>9.6</v>
      </c>
      <c r="H140" s="74">
        <f t="shared" si="94"/>
        <v>83.0548647808517</v>
      </c>
      <c r="I140" s="75"/>
      <c r="J140" s="74"/>
    </row>
    <row r="141" spans="2:10">
      <c r="B141" s="55" t="s">
        <v>1533</v>
      </c>
      <c r="C141" s="56"/>
      <c r="D141" s="72">
        <v>11.4</v>
      </c>
      <c r="E141" s="73">
        <v>3.5546</v>
      </c>
      <c r="F141" s="72">
        <v>2</v>
      </c>
      <c r="G141" s="66">
        <v>8.8</v>
      </c>
      <c r="H141" s="74">
        <f t="shared" ref="H141:H142" si="95">D141*100*F141*250*0.9/E141/G141/1000</f>
        <v>16.4000040920088</v>
      </c>
      <c r="I141" s="75">
        <f>(H141+H142)/2</f>
        <v>16.4000040920088</v>
      </c>
      <c r="J141" s="74">
        <f>(H141-H142)/I141*100</f>
        <v>0</v>
      </c>
    </row>
    <row r="142" spans="2:10">
      <c r="B142" s="55"/>
      <c r="C142" s="56"/>
      <c r="D142" s="72">
        <v>11.4</v>
      </c>
      <c r="E142" s="73">
        <v>3.5546</v>
      </c>
      <c r="F142" s="72">
        <v>2</v>
      </c>
      <c r="G142" s="66">
        <v>8.8</v>
      </c>
      <c r="H142" s="74">
        <f t="shared" si="95"/>
        <v>16.4000040920088</v>
      </c>
      <c r="I142" s="75"/>
      <c r="J142" s="74"/>
    </row>
    <row r="143" spans="2:7">
      <c r="B143" s="55"/>
      <c r="C143" s="56"/>
      <c r="D143" s="72"/>
      <c r="E143" s="73"/>
      <c r="F143" s="72"/>
      <c r="G143" s="66"/>
    </row>
    <row r="144" spans="2:7">
      <c r="B144" s="55"/>
      <c r="C144" s="56"/>
      <c r="D144" s="72"/>
      <c r="E144" s="73"/>
      <c r="F144" s="72"/>
      <c r="G144" s="66"/>
    </row>
    <row r="145" ht="27" customHeight="1" spans="2:10">
      <c r="B145" s="55" t="s">
        <v>1534</v>
      </c>
      <c r="C145" s="56"/>
      <c r="D145" s="72">
        <v>11.4</v>
      </c>
      <c r="E145" s="54">
        <v>1.0071</v>
      </c>
      <c r="F145" s="72">
        <v>2</v>
      </c>
      <c r="G145" s="66">
        <v>6.8</v>
      </c>
      <c r="H145" s="74">
        <f t="shared" ref="H145:H156" si="96">D145*100*F145*250*0.9/E145/G145/1000</f>
        <v>74.9093202964832</v>
      </c>
      <c r="I145" s="75">
        <f>(H145+H146)/2</f>
        <v>73.3369661844429</v>
      </c>
      <c r="J145" s="74">
        <f>(H145-H146)/I145*100</f>
        <v>4.28802606337944</v>
      </c>
    </row>
    <row r="146" spans="2:10">
      <c r="B146" s="55"/>
      <c r="C146" s="56"/>
      <c r="D146" s="72">
        <v>11.4</v>
      </c>
      <c r="E146" s="54">
        <v>1.2541</v>
      </c>
      <c r="F146" s="72">
        <v>2</v>
      </c>
      <c r="G146" s="66">
        <v>5.7</v>
      </c>
      <c r="H146" s="74">
        <f t="shared" si="96"/>
        <v>71.7646120724025</v>
      </c>
      <c r="I146" s="75"/>
      <c r="J146" s="74"/>
    </row>
    <row r="147" spans="2:10">
      <c r="B147" s="55" t="s">
        <v>1535</v>
      </c>
      <c r="C147" s="56"/>
      <c r="D147" s="72">
        <v>11.4</v>
      </c>
      <c r="E147" s="54">
        <v>1.33989</v>
      </c>
      <c r="F147" s="72">
        <v>2</v>
      </c>
      <c r="G147" s="66">
        <v>6.1</v>
      </c>
      <c r="H147" s="74">
        <f t="shared" si="96"/>
        <v>62.7651229994535</v>
      </c>
      <c r="I147" s="75">
        <f>(H147+H148)/2</f>
        <v>63.619746747287</v>
      </c>
      <c r="J147" s="74">
        <f>(H147-H148)/I147*100</f>
        <v>-2.6866618983199</v>
      </c>
    </row>
    <row r="148" spans="2:10">
      <c r="B148" s="55"/>
      <c r="C148" s="56"/>
      <c r="D148" s="72">
        <v>11.4</v>
      </c>
      <c r="E148" s="54">
        <v>1.2241</v>
      </c>
      <c r="F148" s="72">
        <v>2</v>
      </c>
      <c r="G148" s="66">
        <v>6.5</v>
      </c>
      <c r="H148" s="74">
        <f t="shared" si="96"/>
        <v>64.4743704951204</v>
      </c>
      <c r="I148" s="75"/>
      <c r="J148" s="74"/>
    </row>
    <row r="149" spans="2:10">
      <c r="B149" s="55" t="s">
        <v>1536</v>
      </c>
      <c r="C149" s="56"/>
      <c r="D149" s="72">
        <v>11.4</v>
      </c>
      <c r="E149" s="73">
        <v>1.5077</v>
      </c>
      <c r="F149" s="72">
        <v>2</v>
      </c>
      <c r="G149" s="66">
        <v>6.85</v>
      </c>
      <c r="H149" s="74">
        <f t="shared" si="96"/>
        <v>49.6720242414971</v>
      </c>
      <c r="I149" s="75">
        <f>(H149+H150)/2</f>
        <v>49.9334297285684</v>
      </c>
      <c r="J149" s="74">
        <f>(H149-H150)/I149*100</f>
        <v>-1.04701595100622</v>
      </c>
    </row>
    <row r="150" spans="2:10">
      <c r="B150" s="55"/>
      <c r="C150" s="56"/>
      <c r="D150" s="72">
        <v>11.4</v>
      </c>
      <c r="E150" s="73">
        <v>1.5141</v>
      </c>
      <c r="F150" s="72">
        <v>2</v>
      </c>
      <c r="G150" s="66">
        <v>6.75</v>
      </c>
      <c r="H150" s="74">
        <f t="shared" si="96"/>
        <v>50.1948352156396</v>
      </c>
      <c r="I150" s="75"/>
      <c r="J150" s="74"/>
    </row>
    <row r="151" spans="2:10">
      <c r="B151" s="55" t="s">
        <v>1537</v>
      </c>
      <c r="C151" s="56"/>
      <c r="D151" s="72">
        <v>11.4</v>
      </c>
      <c r="E151" s="54">
        <v>1.6896</v>
      </c>
      <c r="F151" s="72">
        <v>2</v>
      </c>
      <c r="G151" s="66">
        <v>6.5</v>
      </c>
      <c r="H151" s="74">
        <f t="shared" si="96"/>
        <v>46.7111013986014</v>
      </c>
      <c r="I151" s="75">
        <f>(H151+H152)/2</f>
        <v>48.6157852797248</v>
      </c>
      <c r="J151" s="74">
        <f>(H151-H152)/I151*100</f>
        <v>-7.83566024970784</v>
      </c>
    </row>
    <row r="152" spans="2:10">
      <c r="B152" s="55"/>
      <c r="C152" s="56"/>
      <c r="D152" s="72">
        <v>11.4</v>
      </c>
      <c r="E152" s="54">
        <v>1.5622</v>
      </c>
      <c r="F152" s="72">
        <v>2</v>
      </c>
      <c r="G152" s="66">
        <v>6.5</v>
      </c>
      <c r="H152" s="74">
        <f t="shared" si="96"/>
        <v>50.5204691608481</v>
      </c>
      <c r="I152" s="75"/>
      <c r="J152" s="74"/>
    </row>
    <row r="153" spans="2:10">
      <c r="B153" s="55" t="s">
        <v>1538</v>
      </c>
      <c r="C153" s="56"/>
      <c r="D153" s="72">
        <v>11.4</v>
      </c>
      <c r="E153" s="54">
        <v>1.7535</v>
      </c>
      <c r="F153" s="72">
        <v>4</v>
      </c>
      <c r="G153" s="66">
        <v>8.8</v>
      </c>
      <c r="H153" s="74">
        <f t="shared" si="96"/>
        <v>66.4903958317132</v>
      </c>
      <c r="I153" s="75">
        <f>(H153+H154)/2</f>
        <v>65.9190044143137</v>
      </c>
      <c r="J153" s="74">
        <f>(H153-H154)/I153*100</f>
        <v>1.73361664811628</v>
      </c>
    </row>
    <row r="154" spans="2:10">
      <c r="B154" s="55"/>
      <c r="C154" s="56"/>
      <c r="D154" s="72">
        <v>11.4</v>
      </c>
      <c r="E154" s="54">
        <v>1.6527</v>
      </c>
      <c r="F154" s="72">
        <v>4</v>
      </c>
      <c r="G154" s="66">
        <v>9.5</v>
      </c>
      <c r="H154" s="74">
        <f t="shared" si="96"/>
        <v>65.3476129969141</v>
      </c>
      <c r="I154" s="75"/>
      <c r="J154" s="74"/>
    </row>
    <row r="155" spans="2:10">
      <c r="B155" s="55" t="s">
        <v>1539</v>
      </c>
      <c r="C155" s="56"/>
      <c r="D155" s="72">
        <v>11.4</v>
      </c>
      <c r="E155" s="73">
        <v>1.7512</v>
      </c>
      <c r="F155" s="72">
        <v>4</v>
      </c>
      <c r="G155" s="66">
        <v>8.25</v>
      </c>
      <c r="H155" s="74">
        <f t="shared" si="96"/>
        <v>71.0162382158728</v>
      </c>
      <c r="I155" s="75">
        <f>(H155+H156)/2</f>
        <v>71.4650086897956</v>
      </c>
      <c r="J155" s="74">
        <f>(H155-H156)/I155*100</f>
        <v>-1.25591665669781</v>
      </c>
    </row>
    <row r="156" spans="2:10">
      <c r="B156" s="55"/>
      <c r="C156" s="56"/>
      <c r="D156" s="72">
        <v>11.4</v>
      </c>
      <c r="E156" s="73">
        <v>1.6121</v>
      </c>
      <c r="F156" s="72">
        <v>4</v>
      </c>
      <c r="G156" s="66">
        <v>8.85</v>
      </c>
      <c r="H156" s="74">
        <f t="shared" si="96"/>
        <v>71.9137791637184</v>
      </c>
      <c r="I156" s="75"/>
      <c r="J156" s="74"/>
    </row>
    <row r="157" spans="2:10">
      <c r="B157" s="55" t="s">
        <v>1540</v>
      </c>
      <c r="C157" s="56"/>
      <c r="D157" s="72">
        <v>11.4</v>
      </c>
      <c r="E157" s="73">
        <v>3.3884</v>
      </c>
      <c r="F157" s="72">
        <v>1</v>
      </c>
      <c r="G157" s="66">
        <v>10.1</v>
      </c>
      <c r="H157" s="163">
        <f t="shared" ref="H157:H162" si="97">D157*100*F157*250*0.9/E157/G157/1000</f>
        <v>7.49499457087723</v>
      </c>
      <c r="I157" s="74">
        <f>(H157+H158)/2</f>
        <v>7.53191557387237</v>
      </c>
      <c r="J157" s="74">
        <f>(H157-H158)/I157*100</f>
        <v>-0.980388126580122</v>
      </c>
    </row>
    <row r="158" spans="2:10">
      <c r="B158" s="55"/>
      <c r="C158" s="56"/>
      <c r="D158" s="72">
        <v>11.4</v>
      </c>
      <c r="E158" s="73">
        <v>3.0258</v>
      </c>
      <c r="F158" s="72">
        <v>1</v>
      </c>
      <c r="G158" s="66">
        <v>11.2</v>
      </c>
      <c r="H158" s="163">
        <f t="shared" si="97"/>
        <v>7.56883657686751</v>
      </c>
      <c r="I158" s="74"/>
      <c r="J158" s="74"/>
    </row>
    <row r="159" spans="2:10">
      <c r="B159" s="55" t="s">
        <v>1541</v>
      </c>
      <c r="C159" s="56"/>
      <c r="D159" s="72">
        <v>11.4</v>
      </c>
      <c r="E159" s="54">
        <v>6.0203</v>
      </c>
      <c r="F159" s="72">
        <v>1</v>
      </c>
      <c r="G159" s="66">
        <v>10.1</v>
      </c>
      <c r="H159" s="163">
        <f t="shared" si="97"/>
        <v>4.21840101057429</v>
      </c>
      <c r="I159" s="74">
        <f>(H159+H160)/2</f>
        <v>4.18934266536515</v>
      </c>
      <c r="J159" s="74">
        <f>(H159-H160)/I159*100</f>
        <v>1.38725081857696</v>
      </c>
    </row>
    <row r="160" spans="2:10">
      <c r="B160" s="55"/>
      <c r="C160" s="56"/>
      <c r="D160" s="72">
        <v>11.4</v>
      </c>
      <c r="E160" s="54">
        <v>6.1044</v>
      </c>
      <c r="F160" s="72">
        <v>1</v>
      </c>
      <c r="G160" s="66">
        <v>10.1</v>
      </c>
      <c r="H160" s="163">
        <f t="shared" si="97"/>
        <v>4.16028432015602</v>
      </c>
      <c r="I160" s="74"/>
      <c r="J160" s="74"/>
    </row>
    <row r="161" spans="2:10">
      <c r="B161" s="55" t="s">
        <v>1537</v>
      </c>
      <c r="C161" s="56"/>
      <c r="D161" s="72">
        <v>11.4</v>
      </c>
      <c r="E161" s="54">
        <v>5.2771</v>
      </c>
      <c r="F161" s="72">
        <v>1</v>
      </c>
      <c r="G161" s="66">
        <v>14.95</v>
      </c>
      <c r="H161" s="163">
        <f t="shared" si="97"/>
        <v>3.25125364981742</v>
      </c>
      <c r="I161" s="74">
        <f>(H161+H162)/2</f>
        <v>3.26384888964588</v>
      </c>
      <c r="J161" s="74">
        <f>(H161-H162)/I161*100</f>
        <v>-0.771802877787492</v>
      </c>
    </row>
    <row r="162" spans="2:10">
      <c r="B162" s="55"/>
      <c r="C162" s="56"/>
      <c r="D162" s="72">
        <v>11.4</v>
      </c>
      <c r="E162" s="54">
        <v>5.2541</v>
      </c>
      <c r="F162" s="72">
        <v>1</v>
      </c>
      <c r="G162" s="66">
        <v>14.9</v>
      </c>
      <c r="H162" s="163">
        <f t="shared" si="97"/>
        <v>3.27644412947434</v>
      </c>
      <c r="I162" s="74"/>
      <c r="J162" s="74"/>
    </row>
    <row r="163" spans="2:10">
      <c r="B163" s="55" t="s">
        <v>1542</v>
      </c>
      <c r="C163" s="56"/>
      <c r="D163" s="72">
        <v>11.4</v>
      </c>
      <c r="E163" s="54">
        <v>2.1157</v>
      </c>
      <c r="F163" s="72">
        <v>1</v>
      </c>
      <c r="G163" s="66">
        <v>14.95</v>
      </c>
      <c r="H163" s="163">
        <f t="shared" ref="H163:H166" si="98">D163*100*F163*250*0.9/E163/G163/1000</f>
        <v>8.10946288956445</v>
      </c>
      <c r="I163" s="74">
        <f>(H163+H164)/2</f>
        <v>8.12306937092278</v>
      </c>
      <c r="J163" s="74">
        <f>(H163-H164)/I163*100</f>
        <v>-0.335008375209376</v>
      </c>
    </row>
    <row r="164" spans="2:10">
      <c r="B164" s="55"/>
      <c r="C164" s="56"/>
      <c r="D164" s="72">
        <v>11.4</v>
      </c>
      <c r="E164" s="54">
        <v>2.1157</v>
      </c>
      <c r="F164" s="72">
        <v>1</v>
      </c>
      <c r="G164" s="66">
        <v>14.9</v>
      </c>
      <c r="H164" s="163">
        <f t="shared" si="98"/>
        <v>8.13667585228111</v>
      </c>
      <c r="I164" s="74"/>
      <c r="J164" s="74"/>
    </row>
    <row r="165" spans="2:10">
      <c r="B165" s="55" t="s">
        <v>1166</v>
      </c>
      <c r="C165" s="56"/>
      <c r="D165" s="72">
        <v>11.4</v>
      </c>
      <c r="E165" s="54">
        <v>1.4129</v>
      </c>
      <c r="F165" s="72">
        <v>1</v>
      </c>
      <c r="G165" s="66">
        <v>10.5</v>
      </c>
      <c r="H165" s="163">
        <f t="shared" si="98"/>
        <v>17.2896676541662</v>
      </c>
      <c r="I165" s="74">
        <f>(H165+H166)/2</f>
        <v>17.1709975154649</v>
      </c>
      <c r="J165" s="74">
        <f>(H165-H166)/I165*100</f>
        <v>1.38221601388473</v>
      </c>
    </row>
    <row r="166" spans="2:10">
      <c r="B166" s="55"/>
      <c r="C166" s="56"/>
      <c r="D166" s="72">
        <v>11.4</v>
      </c>
      <c r="E166" s="54">
        <v>1.5271</v>
      </c>
      <c r="F166" s="72">
        <v>1</v>
      </c>
      <c r="G166" s="66">
        <v>9.85</v>
      </c>
      <c r="H166" s="163">
        <f t="shared" si="98"/>
        <v>17.0523273767637</v>
      </c>
      <c r="I166" s="74"/>
      <c r="J166" s="74"/>
    </row>
    <row r="167" spans="2:10">
      <c r="B167" s="55" t="s">
        <v>1167</v>
      </c>
      <c r="C167" s="56"/>
      <c r="D167" s="72">
        <v>11.4</v>
      </c>
      <c r="E167" s="54">
        <v>1.9547</v>
      </c>
      <c r="F167" s="72">
        <v>1</v>
      </c>
      <c r="G167" s="66">
        <v>10.1</v>
      </c>
      <c r="H167" s="163">
        <f t="shared" ref="H167:H168" si="99">D167*100*F167*250*0.9/E167/G167/1000</f>
        <v>12.9922952903056</v>
      </c>
      <c r="I167" s="74">
        <f>(H167+H168)/2</f>
        <v>12.9306617264535</v>
      </c>
      <c r="J167" s="74">
        <f>(H167-H168)/I167*100</f>
        <v>0.953293267676649</v>
      </c>
    </row>
    <row r="168" spans="2:10">
      <c r="B168" s="55"/>
      <c r="C168" s="56"/>
      <c r="D168" s="72">
        <v>11.4</v>
      </c>
      <c r="E168" s="54">
        <v>1.8541</v>
      </c>
      <c r="F168" s="72">
        <v>1</v>
      </c>
      <c r="G168" s="66">
        <v>10.75</v>
      </c>
      <c r="H168" s="163">
        <f t="shared" si="99"/>
        <v>12.8690281626013</v>
      </c>
      <c r="I168" s="74"/>
      <c r="J168" s="74"/>
    </row>
    <row r="169" ht="21.75" customHeight="1" spans="2:10">
      <c r="B169" s="55" t="s">
        <v>1543</v>
      </c>
      <c r="C169" s="56"/>
      <c r="D169" s="72">
        <v>11.4</v>
      </c>
      <c r="E169" s="54">
        <v>0.5205</v>
      </c>
      <c r="F169" s="72">
        <v>1</v>
      </c>
      <c r="G169" s="66">
        <v>10.4</v>
      </c>
      <c r="H169" s="163">
        <f t="shared" ref="H169:H176" si="100">D169*100*F169*250*0.9/E169/G169/1000</f>
        <v>47.3841720239415</v>
      </c>
      <c r="I169" s="74">
        <f>(H169+H170)/2</f>
        <v>47.2203970369795</v>
      </c>
      <c r="J169" s="74">
        <f>(H169-H170)/I169*100</f>
        <v>0.69366204961672</v>
      </c>
    </row>
    <row r="170" spans="2:10">
      <c r="B170" s="55"/>
      <c r="C170" s="56"/>
      <c r="D170" s="72">
        <v>11.4</v>
      </c>
      <c r="E170" s="54">
        <v>0.6528</v>
      </c>
      <c r="F170" s="72">
        <v>1</v>
      </c>
      <c r="G170" s="66">
        <v>8.35</v>
      </c>
      <c r="H170" s="163">
        <f t="shared" si="100"/>
        <v>47.0566220500176</v>
      </c>
      <c r="I170" s="74"/>
      <c r="J170" s="74"/>
    </row>
    <row r="171" spans="2:10">
      <c r="B171" s="55" t="s">
        <v>1544</v>
      </c>
      <c r="C171" s="56"/>
      <c r="D171" s="72">
        <v>11.4</v>
      </c>
      <c r="E171" s="54">
        <v>1.8606</v>
      </c>
      <c r="F171" s="72">
        <v>1</v>
      </c>
      <c r="G171" s="66">
        <v>5.6</v>
      </c>
      <c r="H171" s="163">
        <f t="shared" si="100"/>
        <v>24.6176348643295</v>
      </c>
      <c r="I171" s="74">
        <f>(H171+H172)/2</f>
        <v>24.4133324870669</v>
      </c>
      <c r="J171" s="74">
        <f>(H171-H172)/I171*100</f>
        <v>1.67369512024512</v>
      </c>
    </row>
    <row r="172" spans="2:10">
      <c r="B172" s="55"/>
      <c r="C172" s="56"/>
      <c r="D172" s="72">
        <v>11.4</v>
      </c>
      <c r="E172" s="54">
        <v>1.7958</v>
      </c>
      <c r="F172" s="72">
        <v>1</v>
      </c>
      <c r="G172" s="66">
        <v>5.9</v>
      </c>
      <c r="H172" s="163">
        <f t="shared" si="100"/>
        <v>24.2090301098042</v>
      </c>
      <c r="I172" s="74"/>
      <c r="J172" s="74"/>
    </row>
    <row r="173" spans="2:10">
      <c r="B173" s="55" t="s">
        <v>1545</v>
      </c>
      <c r="C173" s="56"/>
      <c r="D173" s="72">
        <v>11.4</v>
      </c>
      <c r="E173" s="54">
        <v>2.4412</v>
      </c>
      <c r="F173" s="72">
        <v>1</v>
      </c>
      <c r="G173" s="66">
        <v>5.35</v>
      </c>
      <c r="H173" s="163">
        <f t="shared" si="100"/>
        <v>19.6394909198939</v>
      </c>
      <c r="I173" s="74">
        <f>(H173+H174)/2</f>
        <v>19.9723150297867</v>
      </c>
      <c r="J173" s="74">
        <f>(H173-H174)/I173*100</f>
        <v>-3.33285459794202</v>
      </c>
    </row>
    <row r="174" spans="2:10">
      <c r="B174" s="55"/>
      <c r="C174" s="56"/>
      <c r="D174" s="72">
        <v>11.4</v>
      </c>
      <c r="E174" s="54">
        <v>2.2358</v>
      </c>
      <c r="F174" s="72">
        <v>1</v>
      </c>
      <c r="G174" s="66">
        <v>5.65</v>
      </c>
      <c r="H174" s="163">
        <f t="shared" si="100"/>
        <v>20.3051391396796</v>
      </c>
      <c r="I174" s="74"/>
      <c r="J174" s="74"/>
    </row>
    <row r="175" spans="2:10">
      <c r="B175" s="55" t="s">
        <v>1546</v>
      </c>
      <c r="C175" s="56"/>
      <c r="D175" s="72">
        <v>11.4</v>
      </c>
      <c r="E175" s="54">
        <v>1.9884</v>
      </c>
      <c r="F175" s="72">
        <v>2</v>
      </c>
      <c r="G175" s="66">
        <v>9.4</v>
      </c>
      <c r="H175" s="163">
        <f t="shared" si="100"/>
        <v>27.4464232976797</v>
      </c>
      <c r="I175" s="74">
        <f>(H175+H176)/2</f>
        <v>27.3424119071003</v>
      </c>
      <c r="J175" s="74">
        <f>(H175-H176)/I175*100</f>
        <v>0.760806259029889</v>
      </c>
    </row>
    <row r="176" spans="2:10">
      <c r="B176" s="55"/>
      <c r="C176" s="56"/>
      <c r="D176" s="72">
        <v>11.4</v>
      </c>
      <c r="E176" s="54">
        <v>2.0143</v>
      </c>
      <c r="F176" s="72">
        <v>2</v>
      </c>
      <c r="G176" s="66">
        <v>9.35</v>
      </c>
      <c r="H176" s="163">
        <f t="shared" si="100"/>
        <v>27.2384005165208</v>
      </c>
      <c r="I176" s="74"/>
      <c r="J176" s="74"/>
    </row>
    <row r="177" ht="12" customHeight="1" spans="2:10">
      <c r="B177" s="55" t="s">
        <v>1547</v>
      </c>
      <c r="C177" s="56"/>
      <c r="D177" s="72">
        <v>11.4</v>
      </c>
      <c r="E177" s="54">
        <v>0.387</v>
      </c>
      <c r="F177" s="72">
        <v>1</v>
      </c>
      <c r="G177" s="66">
        <v>8.3</v>
      </c>
      <c r="H177" s="163">
        <f t="shared" ref="H177:H178" si="101">D177*100*F177*250*0.9/E177/G177/1000</f>
        <v>79.8543009246287</v>
      </c>
      <c r="I177" s="74">
        <f>(H177+H178)/2</f>
        <v>80.4091466271779</v>
      </c>
      <c r="J177" s="74">
        <f>(H177-H178)/I177*100</f>
        <v>-1.38005618968131</v>
      </c>
    </row>
    <row r="178" spans="2:10">
      <c r="B178" s="55"/>
      <c r="C178" s="56"/>
      <c r="D178" s="72">
        <v>11.4</v>
      </c>
      <c r="E178" s="54">
        <v>0.3985</v>
      </c>
      <c r="F178" s="72">
        <v>1</v>
      </c>
      <c r="G178" s="66">
        <v>7.95</v>
      </c>
      <c r="H178" s="163">
        <f t="shared" si="101"/>
        <v>80.963992329727</v>
      </c>
      <c r="I178" s="74"/>
      <c r="J178" s="74"/>
    </row>
    <row r="179" spans="2:10">
      <c r="B179" s="55" t="s">
        <v>1548</v>
      </c>
      <c r="C179" s="56"/>
      <c r="D179" s="72">
        <v>11.3</v>
      </c>
      <c r="E179" s="54">
        <v>0.4691</v>
      </c>
      <c r="F179" s="72">
        <v>1</v>
      </c>
      <c r="G179" s="66">
        <v>6.35</v>
      </c>
      <c r="H179" s="163">
        <f t="shared" ref="H179:H180" si="102">D179*100*F179*250*0.9/E179/G179/1000</f>
        <v>85.3535921525051</v>
      </c>
      <c r="I179" s="74">
        <f>(H179+H180)/2</f>
        <v>84.9819925021498</v>
      </c>
      <c r="J179" s="74">
        <f>(H179-H180)/I179*100</f>
        <v>0.874537391779574</v>
      </c>
    </row>
    <row r="180" spans="2:10">
      <c r="B180" s="55"/>
      <c r="C180" s="56"/>
      <c r="D180" s="72">
        <v>11.3</v>
      </c>
      <c r="E180" s="54">
        <v>0.4485</v>
      </c>
      <c r="F180" s="72">
        <v>1</v>
      </c>
      <c r="G180" s="66">
        <v>6.7</v>
      </c>
      <c r="H180" s="163">
        <f t="shared" si="102"/>
        <v>84.6103928517945</v>
      </c>
      <c r="I180" s="74"/>
      <c r="J180" s="74"/>
    </row>
    <row r="182" spans="2:10">
      <c r="B182" s="55" t="s">
        <v>1549</v>
      </c>
      <c r="C182" s="56"/>
      <c r="D182" s="72">
        <v>11.3</v>
      </c>
      <c r="E182" s="54">
        <v>0.3733</v>
      </c>
      <c r="F182" s="72">
        <v>1</v>
      </c>
      <c r="G182" s="66">
        <v>8.55</v>
      </c>
      <c r="H182" s="74">
        <f t="shared" ref="H182:H199" si="103">D182*100*F182*250*0.9/E182/G182/1000</f>
        <v>79.6593680826765</v>
      </c>
      <c r="I182" s="74">
        <f>(H182+H183)/2</f>
        <v>80.0902016562055</v>
      </c>
      <c r="J182" s="74">
        <f>(H182-H183)/I182*100</f>
        <v>-1.07587086714629</v>
      </c>
    </row>
    <row r="183" spans="2:10">
      <c r="B183" s="55"/>
      <c r="C183" s="56"/>
      <c r="D183" s="72">
        <v>11.3</v>
      </c>
      <c r="E183" s="54">
        <v>0.3528</v>
      </c>
      <c r="F183" s="72">
        <v>1</v>
      </c>
      <c r="G183" s="66">
        <v>8.95</v>
      </c>
      <c r="H183" s="74">
        <f t="shared" si="103"/>
        <v>80.5210352297344</v>
      </c>
      <c r="I183" s="74"/>
      <c r="J183" s="74"/>
    </row>
    <row r="184" spans="2:10">
      <c r="B184" s="55" t="s">
        <v>1550</v>
      </c>
      <c r="C184" s="56"/>
      <c r="D184" s="72">
        <v>11.3</v>
      </c>
      <c r="E184" s="54">
        <v>0.3778</v>
      </c>
      <c r="F184" s="72">
        <v>1</v>
      </c>
      <c r="G184" s="66">
        <v>8.1</v>
      </c>
      <c r="H184" s="74">
        <f t="shared" si="103"/>
        <v>83.0833480383507</v>
      </c>
      <c r="I184" s="74">
        <f>(H184+H185)/2</f>
        <v>83.6010186378125</v>
      </c>
      <c r="J184" s="74">
        <f>(H184-H185)/I184*100</f>
        <v>-1.23843132032759</v>
      </c>
    </row>
    <row r="185" spans="2:10">
      <c r="B185" s="55"/>
      <c r="C185" s="56"/>
      <c r="D185" s="72">
        <v>11.3</v>
      </c>
      <c r="E185" s="54">
        <v>0.3951</v>
      </c>
      <c r="F185" s="72">
        <v>1</v>
      </c>
      <c r="G185" s="66">
        <v>7.65</v>
      </c>
      <c r="H185" s="74">
        <f t="shared" si="103"/>
        <v>84.1186892372743</v>
      </c>
      <c r="I185" s="74"/>
      <c r="J185" s="74"/>
    </row>
    <row r="186" spans="2:10">
      <c r="B186" s="55" t="s">
        <v>1551</v>
      </c>
      <c r="C186" s="56"/>
      <c r="D186" s="72">
        <v>11.3</v>
      </c>
      <c r="E186" s="54">
        <v>0.4013</v>
      </c>
      <c r="F186" s="72">
        <v>1</v>
      </c>
      <c r="G186" s="66">
        <v>7.85</v>
      </c>
      <c r="H186" s="74">
        <f t="shared" si="103"/>
        <v>80.7090332216475</v>
      </c>
      <c r="I186" s="74">
        <f>(H186+H187)/2</f>
        <v>80.1701666277366</v>
      </c>
      <c r="J186" s="74">
        <f>(H186-H187)/I186*100</f>
        <v>1.34430703234802</v>
      </c>
    </row>
    <row r="187" spans="2:10">
      <c r="B187" s="55"/>
      <c r="C187" s="56"/>
      <c r="D187" s="72">
        <v>11.3</v>
      </c>
      <c r="E187" s="54">
        <v>0.3258</v>
      </c>
      <c r="F187" s="72">
        <v>1</v>
      </c>
      <c r="G187" s="66">
        <v>9.8</v>
      </c>
      <c r="H187" s="74">
        <f t="shared" si="103"/>
        <v>79.6313000338257</v>
      </c>
      <c r="I187" s="74"/>
      <c r="J187" s="74"/>
    </row>
    <row r="188" spans="2:10">
      <c r="B188" s="55" t="s">
        <v>1552</v>
      </c>
      <c r="C188" s="56"/>
      <c r="D188" s="72">
        <v>11.3</v>
      </c>
      <c r="E188" s="54">
        <v>0.3517</v>
      </c>
      <c r="F188" s="72">
        <v>1</v>
      </c>
      <c r="G188" s="66">
        <v>9.05</v>
      </c>
      <c r="H188" s="74">
        <f t="shared" si="103"/>
        <v>79.8803601135448</v>
      </c>
      <c r="I188" s="74">
        <f>(H188+H189)/2</f>
        <v>81.1977865476446</v>
      </c>
      <c r="J188" s="74">
        <f>(H188-H189)/I188*100</f>
        <v>-3.24498115062977</v>
      </c>
    </row>
    <row r="189" spans="2:10">
      <c r="B189" s="55"/>
      <c r="C189" s="56"/>
      <c r="D189" s="72">
        <v>11.3</v>
      </c>
      <c r="E189" s="54">
        <v>0.3625</v>
      </c>
      <c r="F189" s="72">
        <v>1</v>
      </c>
      <c r="G189" s="66">
        <v>8.5</v>
      </c>
      <c r="H189" s="74">
        <f t="shared" si="103"/>
        <v>82.5152129817444</v>
      </c>
      <c r="I189" s="74"/>
      <c r="J189" s="74"/>
    </row>
    <row r="190" spans="2:10">
      <c r="B190" s="55" t="s">
        <v>1553</v>
      </c>
      <c r="C190" s="56"/>
      <c r="D190" s="72">
        <v>11.3</v>
      </c>
      <c r="E190" s="54">
        <v>0.3546</v>
      </c>
      <c r="F190" s="72">
        <v>1</v>
      </c>
      <c r="G190" s="66">
        <v>8.75</v>
      </c>
      <c r="H190" s="74">
        <f t="shared" si="103"/>
        <v>81.9434372733865</v>
      </c>
      <c r="I190" s="74">
        <f>(H190+H191)/2</f>
        <v>81.0505363706834</v>
      </c>
      <c r="J190" s="74">
        <f>(H190-H191)/I190*100</f>
        <v>2.20331892344165</v>
      </c>
    </row>
    <row r="191" spans="2:10">
      <c r="B191" s="55"/>
      <c r="C191" s="56"/>
      <c r="D191" s="72">
        <v>11.3</v>
      </c>
      <c r="E191" s="54">
        <v>0.3625</v>
      </c>
      <c r="F191" s="72">
        <v>1</v>
      </c>
      <c r="G191" s="66">
        <v>8.75</v>
      </c>
      <c r="H191" s="74">
        <f t="shared" si="103"/>
        <v>80.1576354679803</v>
      </c>
      <c r="I191" s="74"/>
      <c r="J191" s="74"/>
    </row>
    <row r="192" spans="2:10">
      <c r="B192" s="55" t="s">
        <v>1554</v>
      </c>
      <c r="C192" s="56"/>
      <c r="D192" s="72">
        <v>11.3</v>
      </c>
      <c r="E192" s="54">
        <v>0.3566</v>
      </c>
      <c r="F192" s="72">
        <v>1</v>
      </c>
      <c r="G192" s="66">
        <v>8.8</v>
      </c>
      <c r="H192" s="74">
        <f t="shared" si="103"/>
        <v>81.0208790088207</v>
      </c>
      <c r="I192" s="74">
        <f>(H192+H193)/2</f>
        <v>81.9505505981359</v>
      </c>
      <c r="J192" s="74">
        <f>(H192-H193)/I192*100</f>
        <v>-2.26885989790129</v>
      </c>
    </row>
    <row r="193" spans="2:10">
      <c r="B193" s="55"/>
      <c r="C193" s="56"/>
      <c r="D193" s="72">
        <v>11.3</v>
      </c>
      <c r="E193" s="54">
        <v>0.3486</v>
      </c>
      <c r="F193" s="72">
        <v>1</v>
      </c>
      <c r="G193" s="66">
        <v>8.8</v>
      </c>
      <c r="H193" s="74">
        <f t="shared" si="103"/>
        <v>82.8802221874511</v>
      </c>
      <c r="I193" s="74"/>
      <c r="J193" s="74"/>
    </row>
    <row r="194" spans="2:10">
      <c r="B194" s="55" t="s">
        <v>1555</v>
      </c>
      <c r="C194" s="56"/>
      <c r="D194" s="72">
        <v>11.3</v>
      </c>
      <c r="E194" s="54">
        <v>0.3465</v>
      </c>
      <c r="F194" s="72">
        <v>1</v>
      </c>
      <c r="G194" s="66">
        <v>9.25</v>
      </c>
      <c r="H194" s="74">
        <f t="shared" si="103"/>
        <v>79.3260793260793</v>
      </c>
      <c r="I194" s="74">
        <f>(H194+H195)/2</f>
        <v>80.4246934078212</v>
      </c>
      <c r="J194" s="74">
        <f>(H194-H195)/I194*100</f>
        <v>-2.73203175589612</v>
      </c>
    </row>
    <row r="195" spans="2:10">
      <c r="B195" s="55"/>
      <c r="C195" s="56"/>
      <c r="D195" s="72">
        <v>11.3</v>
      </c>
      <c r="E195" s="54">
        <v>0.3524</v>
      </c>
      <c r="F195" s="72">
        <v>1</v>
      </c>
      <c r="G195" s="66">
        <v>8.85</v>
      </c>
      <c r="H195" s="74">
        <f t="shared" si="103"/>
        <v>81.5233074895631</v>
      </c>
      <c r="I195" s="74"/>
      <c r="J195" s="74"/>
    </row>
    <row r="196" spans="2:10">
      <c r="B196" s="55" t="s">
        <v>1556</v>
      </c>
      <c r="C196" s="56"/>
      <c r="D196" s="72">
        <v>11.3</v>
      </c>
      <c r="E196" s="54">
        <v>0.3685</v>
      </c>
      <c r="F196" s="72">
        <v>1</v>
      </c>
      <c r="G196" s="66">
        <v>8.55</v>
      </c>
      <c r="H196" s="74">
        <f t="shared" si="103"/>
        <v>80.6969935013925</v>
      </c>
      <c r="I196" s="74">
        <f>(H196+H197)/2</f>
        <v>79.9842870977094</v>
      </c>
      <c r="J196" s="74">
        <f>(H196-H197)/I196*100</f>
        <v>1.78211603689741</v>
      </c>
    </row>
    <row r="197" spans="2:10">
      <c r="B197" s="55"/>
      <c r="C197" s="56"/>
      <c r="D197" s="72">
        <v>11.3</v>
      </c>
      <c r="E197" s="54">
        <v>0.36241</v>
      </c>
      <c r="F197" s="72">
        <v>1</v>
      </c>
      <c r="G197" s="66">
        <v>8.85</v>
      </c>
      <c r="H197" s="74">
        <f t="shared" si="103"/>
        <v>79.2715806940262</v>
      </c>
      <c r="I197" s="74"/>
      <c r="J197" s="74"/>
    </row>
    <row r="198" spans="2:10">
      <c r="B198" s="55" t="s">
        <v>1557</v>
      </c>
      <c r="C198" s="56"/>
      <c r="D198" s="72">
        <v>11.3</v>
      </c>
      <c r="E198" s="54">
        <v>0.3474</v>
      </c>
      <c r="F198" s="72">
        <v>1</v>
      </c>
      <c r="G198" s="66">
        <v>9.15</v>
      </c>
      <c r="H198" s="74">
        <f t="shared" si="103"/>
        <v>79.985277046349</v>
      </c>
      <c r="I198" s="74">
        <f>(H198+H199)/2</f>
        <v>80.071898511068</v>
      </c>
      <c r="J198" s="74">
        <f>(H198-H199)/I198*100</f>
        <v>-0.216359212981569</v>
      </c>
    </row>
    <row r="199" spans="2:10">
      <c r="B199" s="55"/>
      <c r="C199" s="56"/>
      <c r="D199" s="72">
        <v>11.3</v>
      </c>
      <c r="E199" s="54">
        <v>0.3584</v>
      </c>
      <c r="F199" s="72">
        <v>1</v>
      </c>
      <c r="G199" s="66">
        <v>8.85</v>
      </c>
      <c r="H199" s="74">
        <f t="shared" si="103"/>
        <v>80.1585199757869</v>
      </c>
      <c r="I199" s="74"/>
      <c r="J199" s="74"/>
    </row>
    <row r="200" spans="2:10">
      <c r="B200" s="55" t="s">
        <v>1558</v>
      </c>
      <c r="C200" s="56"/>
      <c r="D200" s="72">
        <v>11.3</v>
      </c>
      <c r="E200" s="54">
        <v>0.354</v>
      </c>
      <c r="F200" s="72">
        <v>1</v>
      </c>
      <c r="G200" s="66">
        <v>8.7</v>
      </c>
      <c r="H200" s="74">
        <f t="shared" ref="H200:H201" si="104">D200*100*F200*250*0.9/E200/G200/1000</f>
        <v>82.5540619520748</v>
      </c>
      <c r="I200" s="74">
        <f>(H200+H201)/2</f>
        <v>81.6307149459828</v>
      </c>
      <c r="J200" s="74">
        <f>(H200-H201)/I200*100</f>
        <v>2.26225387515712</v>
      </c>
    </row>
    <row r="201" spans="2:10">
      <c r="B201" s="55"/>
      <c r="C201" s="56"/>
      <c r="D201" s="72">
        <v>11.3</v>
      </c>
      <c r="E201" s="54">
        <v>0.3621</v>
      </c>
      <c r="F201" s="72">
        <v>1</v>
      </c>
      <c r="G201" s="66">
        <v>8.7</v>
      </c>
      <c r="H201" s="74">
        <f t="shared" si="104"/>
        <v>80.7073679398909</v>
      </c>
      <c r="I201" s="74"/>
      <c r="J201" s="74"/>
    </row>
    <row r="203" spans="2:10">
      <c r="B203" s="55" t="s">
        <v>1559</v>
      </c>
      <c r="C203" s="56"/>
      <c r="D203" s="72">
        <v>11.3</v>
      </c>
      <c r="E203" s="54">
        <v>0.3416</v>
      </c>
      <c r="F203" s="72">
        <v>1</v>
      </c>
      <c r="G203" s="66">
        <v>8.9</v>
      </c>
      <c r="H203" s="74">
        <f t="shared" ref="H203:H228" si="105">D203*100*F203*250*0.9/E203/G203/1000</f>
        <v>83.6282661895113</v>
      </c>
      <c r="I203" s="164">
        <f>(H203+H204)/2</f>
        <v>83.0182494548561</v>
      </c>
      <c r="J203" s="74">
        <f>(H203-H204)/I203*100</f>
        <v>1.46959671797683</v>
      </c>
    </row>
    <row r="204" spans="2:10">
      <c r="B204" s="55"/>
      <c r="C204" s="56"/>
      <c r="D204" s="72">
        <v>11.3</v>
      </c>
      <c r="E204" s="54">
        <v>0.3526</v>
      </c>
      <c r="F204" s="72">
        <v>1</v>
      </c>
      <c r="G204" s="66">
        <v>8.75</v>
      </c>
      <c r="H204" s="74">
        <f t="shared" si="105"/>
        <v>82.408232720201</v>
      </c>
      <c r="I204" s="164"/>
      <c r="J204" s="74"/>
    </row>
    <row r="205" spans="2:10">
      <c r="B205" s="55" t="s">
        <v>1560</v>
      </c>
      <c r="C205" s="56"/>
      <c r="D205" s="72">
        <v>11.3</v>
      </c>
      <c r="E205" s="54">
        <v>0.3842</v>
      </c>
      <c r="F205" s="72">
        <v>1</v>
      </c>
      <c r="G205" s="66">
        <v>8.3</v>
      </c>
      <c r="H205" s="74">
        <f t="shared" si="105"/>
        <v>79.7306874557052</v>
      </c>
      <c r="I205" s="164">
        <f>(H205+H206)/2</f>
        <v>79.9623018787717</v>
      </c>
      <c r="J205" s="74">
        <f>(H205-H206)/I205*100</f>
        <v>-0.579309043448204</v>
      </c>
    </row>
    <row r="206" spans="2:10">
      <c r="B206" s="55"/>
      <c r="C206" s="56"/>
      <c r="D206" s="72">
        <v>11.3</v>
      </c>
      <c r="E206" s="54">
        <v>0.3752</v>
      </c>
      <c r="F206" s="72">
        <v>1</v>
      </c>
      <c r="G206" s="66">
        <v>8.45</v>
      </c>
      <c r="H206" s="74">
        <f t="shared" si="105"/>
        <v>80.1939163018383</v>
      </c>
      <c r="I206" s="164"/>
      <c r="J206" s="74"/>
    </row>
    <row r="207" spans="2:10">
      <c r="B207" s="55" t="s">
        <v>1561</v>
      </c>
      <c r="C207" s="56"/>
      <c r="D207" s="72">
        <v>11.3</v>
      </c>
      <c r="E207" s="54">
        <v>0.3601</v>
      </c>
      <c r="F207" s="72">
        <v>1</v>
      </c>
      <c r="G207" s="66">
        <v>8.8</v>
      </c>
      <c r="H207" s="74">
        <f t="shared" si="105"/>
        <v>80.2333947640807</v>
      </c>
      <c r="I207" s="164">
        <f>(H207+H208)/2</f>
        <v>80.0118167614182</v>
      </c>
      <c r="J207" s="74">
        <f>(H207-H208)/I207*100</f>
        <v>0.553863195790652</v>
      </c>
    </row>
    <row r="208" spans="2:10">
      <c r="B208" s="55"/>
      <c r="C208" s="56"/>
      <c r="D208" s="72">
        <v>11.3</v>
      </c>
      <c r="E208" s="54">
        <v>0.3621</v>
      </c>
      <c r="F208" s="72">
        <v>1</v>
      </c>
      <c r="G208" s="66">
        <v>8.8</v>
      </c>
      <c r="H208" s="74">
        <f t="shared" si="105"/>
        <v>79.7902387587557</v>
      </c>
      <c r="I208" s="164"/>
      <c r="J208" s="74"/>
    </row>
    <row r="209" spans="2:10">
      <c r="B209" s="55" t="s">
        <v>1562</v>
      </c>
      <c r="C209" s="56"/>
      <c r="D209" s="72">
        <v>11.3</v>
      </c>
      <c r="E209" s="54">
        <v>0.377</v>
      </c>
      <c r="F209" s="72">
        <v>1</v>
      </c>
      <c r="G209" s="66">
        <v>8.45</v>
      </c>
      <c r="H209" s="74">
        <f t="shared" si="105"/>
        <v>79.8110275767897</v>
      </c>
      <c r="I209" s="164">
        <f>(H209+H210)/2</f>
        <v>81.5173526634267</v>
      </c>
      <c r="J209" s="74">
        <f>(H209-H210)/I209*100</f>
        <v>-4.18640947205989</v>
      </c>
    </row>
    <row r="210" spans="2:10">
      <c r="B210" s="55"/>
      <c r="C210" s="56"/>
      <c r="D210" s="72">
        <v>11.3</v>
      </c>
      <c r="E210" s="54">
        <v>0.3452</v>
      </c>
      <c r="F210" s="72">
        <v>1</v>
      </c>
      <c r="G210" s="66">
        <v>8.85</v>
      </c>
      <c r="H210" s="74">
        <f t="shared" si="105"/>
        <v>83.2236777500638</v>
      </c>
      <c r="I210" s="164"/>
      <c r="J210" s="74"/>
    </row>
    <row r="211" spans="2:10">
      <c r="B211" s="55" t="s">
        <v>1563</v>
      </c>
      <c r="C211" s="56"/>
      <c r="D211" s="72">
        <v>11.3</v>
      </c>
      <c r="E211" s="54">
        <v>0.3615</v>
      </c>
      <c r="F211" s="72">
        <v>1</v>
      </c>
      <c r="G211" s="66">
        <v>8.75</v>
      </c>
      <c r="H211" s="74">
        <f t="shared" si="105"/>
        <v>80.3793716656787</v>
      </c>
      <c r="I211" s="164">
        <f>(H211+H212)/2</f>
        <v>80.1925178917462</v>
      </c>
      <c r="J211" s="74">
        <f>(H211-H212)/I211*100</f>
        <v>0.466012986859377</v>
      </c>
    </row>
    <row r="212" spans="2:10">
      <c r="B212" s="55"/>
      <c r="C212" s="56"/>
      <c r="D212" s="72">
        <v>11.3</v>
      </c>
      <c r="E212" s="54">
        <v>0.3852</v>
      </c>
      <c r="F212" s="72">
        <v>1</v>
      </c>
      <c r="G212" s="66">
        <v>8.25</v>
      </c>
      <c r="H212" s="74">
        <f t="shared" si="105"/>
        <v>80.0056641178137</v>
      </c>
      <c r="I212" s="164"/>
      <c r="J212" s="74"/>
    </row>
    <row r="213" spans="2:10">
      <c r="B213" s="55" t="s">
        <v>1564</v>
      </c>
      <c r="C213" s="56"/>
      <c r="D213" s="72">
        <v>11.3</v>
      </c>
      <c r="E213" s="54">
        <v>0.3787</v>
      </c>
      <c r="F213" s="72">
        <v>1</v>
      </c>
      <c r="G213" s="66">
        <v>8.2</v>
      </c>
      <c r="H213" s="74">
        <f t="shared" si="105"/>
        <v>81.8750925824547</v>
      </c>
      <c r="I213" s="164">
        <f>(H213+H214)/2</f>
        <v>81.6283537696937</v>
      </c>
      <c r="J213" s="74">
        <f>(H213-H214)/I213*100</f>
        <v>0.604541930264174</v>
      </c>
    </row>
    <row r="214" spans="2:10">
      <c r="B214" s="55"/>
      <c r="C214" s="56"/>
      <c r="D214" s="72">
        <v>11.3</v>
      </c>
      <c r="E214" s="54">
        <v>0.3654</v>
      </c>
      <c r="F214" s="72">
        <v>1</v>
      </c>
      <c r="G214" s="66">
        <v>8.55</v>
      </c>
      <c r="H214" s="74">
        <f t="shared" si="105"/>
        <v>81.3816149569326</v>
      </c>
      <c r="I214" s="164"/>
      <c r="J214" s="74"/>
    </row>
    <row r="215" spans="2:10">
      <c r="B215" s="55" t="s">
        <v>1565</v>
      </c>
      <c r="C215" s="56"/>
      <c r="D215" s="72">
        <v>11.3</v>
      </c>
      <c r="E215" s="54">
        <v>0.3663</v>
      </c>
      <c r="F215" s="72">
        <v>1</v>
      </c>
      <c r="G215" s="66">
        <v>8.7</v>
      </c>
      <c r="H215" s="74">
        <f t="shared" si="105"/>
        <v>79.7819763337005</v>
      </c>
      <c r="I215" s="164">
        <f>(H215+H216)/2</f>
        <v>80.2774272186704</v>
      </c>
      <c r="J215" s="74">
        <f>(H215-H216)/I215*100</f>
        <v>-1.23434669529287</v>
      </c>
    </row>
    <row r="216" spans="2:10">
      <c r="B216" s="55"/>
      <c r="C216" s="56"/>
      <c r="D216" s="72">
        <v>11.3</v>
      </c>
      <c r="E216" s="54">
        <v>0.3517</v>
      </c>
      <c r="F216" s="72">
        <v>1</v>
      </c>
      <c r="G216" s="66">
        <v>8.95</v>
      </c>
      <c r="H216" s="74">
        <f t="shared" si="105"/>
        <v>80.7728781036403</v>
      </c>
      <c r="I216" s="164"/>
      <c r="J216" s="74"/>
    </row>
    <row r="217" spans="2:10">
      <c r="B217" s="55" t="s">
        <v>1566</v>
      </c>
      <c r="C217" s="56"/>
      <c r="D217" s="72">
        <v>11.3</v>
      </c>
      <c r="E217" s="54">
        <v>0.3662</v>
      </c>
      <c r="F217" s="72">
        <v>1</v>
      </c>
      <c r="G217" s="66">
        <v>8.6</v>
      </c>
      <c r="H217" s="74">
        <f t="shared" si="105"/>
        <v>80.7317135127583</v>
      </c>
      <c r="I217" s="164">
        <f>(H217+H218)/2</f>
        <v>81.1437236368924</v>
      </c>
      <c r="J217" s="74">
        <f>(H217-H218)/I217*100</f>
        <v>-1.01550706738027</v>
      </c>
    </row>
    <row r="218" spans="2:10">
      <c r="B218" s="55"/>
      <c r="C218" s="56"/>
      <c r="D218" s="72">
        <v>11.3</v>
      </c>
      <c r="E218" s="54">
        <v>0.3625</v>
      </c>
      <c r="F218" s="72">
        <v>1</v>
      </c>
      <c r="G218" s="66">
        <v>8.6</v>
      </c>
      <c r="H218" s="74">
        <f t="shared" si="105"/>
        <v>81.5557337610265</v>
      </c>
      <c r="I218" s="164"/>
      <c r="J218" s="74"/>
    </row>
    <row r="219" spans="2:10">
      <c r="B219" s="55" t="s">
        <v>1567</v>
      </c>
      <c r="C219" s="56"/>
      <c r="D219" s="72">
        <v>11.3</v>
      </c>
      <c r="E219" s="54">
        <v>0.3673</v>
      </c>
      <c r="F219" s="72">
        <v>1</v>
      </c>
      <c r="G219" s="66">
        <v>8.65</v>
      </c>
      <c r="H219" s="74">
        <f t="shared" si="105"/>
        <v>80.0246762423497</v>
      </c>
      <c r="I219" s="164">
        <f>(H219+H220)/2</f>
        <v>79.0354480903707</v>
      </c>
      <c r="J219" s="74">
        <f>(H219-H220)/I219*100</f>
        <v>2.50325183415878</v>
      </c>
    </row>
    <row r="220" spans="2:10">
      <c r="B220" s="55"/>
      <c r="C220" s="56"/>
      <c r="D220" s="72">
        <v>11.3</v>
      </c>
      <c r="E220" s="54">
        <v>0.3681</v>
      </c>
      <c r="F220" s="72">
        <v>1</v>
      </c>
      <c r="G220" s="66">
        <v>8.85</v>
      </c>
      <c r="H220" s="74">
        <f t="shared" si="105"/>
        <v>78.0462199383918</v>
      </c>
      <c r="I220" s="164"/>
      <c r="J220" s="74"/>
    </row>
    <row r="221" spans="2:10">
      <c r="B221" s="55" t="s">
        <v>1568</v>
      </c>
      <c r="C221" s="56"/>
      <c r="D221" s="72">
        <v>11.3</v>
      </c>
      <c r="E221" s="54">
        <v>0.3695</v>
      </c>
      <c r="F221" s="72">
        <v>1</v>
      </c>
      <c r="G221" s="66">
        <v>8.65</v>
      </c>
      <c r="H221" s="74">
        <f t="shared" si="105"/>
        <v>79.5482099697294</v>
      </c>
      <c r="I221" s="164">
        <f>(H221+H222)/2</f>
        <v>79.495205833498</v>
      </c>
      <c r="J221" s="74">
        <f>(H221-H222)/I221*100</f>
        <v>0.133351780590202</v>
      </c>
    </row>
    <row r="222" spans="2:10">
      <c r="B222" s="55"/>
      <c r="C222" s="56"/>
      <c r="D222" s="72">
        <v>11.3</v>
      </c>
      <c r="E222" s="54">
        <v>0.3596</v>
      </c>
      <c r="F222" s="72">
        <v>1</v>
      </c>
      <c r="G222" s="66">
        <v>8.9</v>
      </c>
      <c r="H222" s="74">
        <f t="shared" si="105"/>
        <v>79.4422016972666</v>
      </c>
      <c r="I222" s="164"/>
      <c r="J222" s="74"/>
    </row>
    <row r="223" spans="2:10">
      <c r="B223" s="55" t="s">
        <v>1569</v>
      </c>
      <c r="C223" s="56"/>
      <c r="D223" s="72">
        <v>11.3</v>
      </c>
      <c r="E223" s="54">
        <v>0.3723</v>
      </c>
      <c r="F223" s="72">
        <v>1</v>
      </c>
      <c r="G223" s="66">
        <v>8.5</v>
      </c>
      <c r="H223" s="74">
        <f t="shared" si="105"/>
        <v>80.3431767549888</v>
      </c>
      <c r="I223" s="164">
        <f>(H223+H224)/2</f>
        <v>80.4905242430314</v>
      </c>
      <c r="J223" s="74">
        <f>(H223-H224)/I223*100</f>
        <v>-0.366123812531347</v>
      </c>
    </row>
    <row r="224" spans="2:10">
      <c r="B224" s="55"/>
      <c r="C224" s="56"/>
      <c r="D224" s="72">
        <v>11.3</v>
      </c>
      <c r="E224" s="54">
        <v>0.3201</v>
      </c>
      <c r="F224" s="72">
        <v>1</v>
      </c>
      <c r="G224" s="66">
        <v>9.85</v>
      </c>
      <c r="H224" s="74">
        <f t="shared" si="105"/>
        <v>80.6378717310739</v>
      </c>
      <c r="I224" s="164"/>
      <c r="J224" s="74"/>
    </row>
    <row r="225" spans="2:10">
      <c r="B225" s="55" t="s">
        <v>1570</v>
      </c>
      <c r="C225" s="56"/>
      <c r="D225" s="72">
        <v>11.3</v>
      </c>
      <c r="E225" s="54">
        <v>0.3413</v>
      </c>
      <c r="F225" s="72">
        <v>1</v>
      </c>
      <c r="G225" s="66">
        <v>9</v>
      </c>
      <c r="H225" s="74">
        <f t="shared" si="105"/>
        <v>82.7717550542045</v>
      </c>
      <c r="I225" s="164">
        <f>(H225+H226)/2</f>
        <v>82.6566772797209</v>
      </c>
      <c r="J225" s="74">
        <f>(H225-H226)/I225*100</f>
        <v>0.278447617956242</v>
      </c>
    </row>
    <row r="226" spans="2:10">
      <c r="B226" s="55"/>
      <c r="C226" s="56"/>
      <c r="D226" s="72">
        <v>11.3</v>
      </c>
      <c r="E226" s="54">
        <v>0.3561</v>
      </c>
      <c r="F226" s="72">
        <v>1</v>
      </c>
      <c r="G226" s="66">
        <v>8.65</v>
      </c>
      <c r="H226" s="74">
        <f t="shared" si="105"/>
        <v>82.5415995052374</v>
      </c>
      <c r="I226" s="164"/>
      <c r="J226" s="74"/>
    </row>
    <row r="227" ht="12" customHeight="1" spans="2:10">
      <c r="B227" s="55" t="s">
        <v>1571</v>
      </c>
      <c r="C227" s="56" t="s">
        <v>1572</v>
      </c>
      <c r="D227" s="72">
        <v>11.3</v>
      </c>
      <c r="E227" s="54">
        <v>2.5995</v>
      </c>
      <c r="F227" s="72">
        <v>1</v>
      </c>
      <c r="G227" s="66">
        <v>9.4</v>
      </c>
      <c r="H227" s="74">
        <f t="shared" si="105"/>
        <v>10.4050287903157</v>
      </c>
      <c r="I227" s="164">
        <f>(H227+H228)/2</f>
        <v>10.4376367642128</v>
      </c>
      <c r="J227" s="74">
        <f>(H227-H228)/I227*100</f>
        <v>-0.624815264869131</v>
      </c>
    </row>
    <row r="228" spans="2:10">
      <c r="B228" s="55"/>
      <c r="C228" s="56"/>
      <c r="D228" s="72">
        <v>11.3</v>
      </c>
      <c r="E228" s="54">
        <v>2.6252</v>
      </c>
      <c r="F228" s="72">
        <v>1</v>
      </c>
      <c r="G228" s="66">
        <v>9.25</v>
      </c>
      <c r="H228" s="74">
        <f t="shared" si="105"/>
        <v>10.47024473811</v>
      </c>
      <c r="I228" s="164"/>
      <c r="J228" s="74"/>
    </row>
    <row r="229" spans="9:9">
      <c r="I229" s="165"/>
    </row>
    <row r="230" spans="2:10">
      <c r="B230" s="55" t="s">
        <v>1573</v>
      </c>
      <c r="C230" s="56"/>
      <c r="D230" s="72">
        <v>11.3</v>
      </c>
      <c r="E230" s="54">
        <v>0.3475</v>
      </c>
      <c r="F230" s="72">
        <v>1</v>
      </c>
      <c r="G230" s="66">
        <v>8.7</v>
      </c>
      <c r="H230" s="74">
        <f t="shared" ref="H230:H247" si="106">D230*100*F230*250*0.9/E230/G230/1000</f>
        <v>84.098238650459</v>
      </c>
      <c r="I230" s="164">
        <f>(H230+H231)/2</f>
        <v>84.036436430623</v>
      </c>
      <c r="J230" s="74">
        <f>(H230-H231)/I230*100</f>
        <v>0.147084342128115</v>
      </c>
    </row>
    <row r="231" spans="2:10">
      <c r="B231" s="55"/>
      <c r="C231" s="56"/>
      <c r="D231" s="72">
        <v>11.3</v>
      </c>
      <c r="E231" s="54">
        <v>0.3562</v>
      </c>
      <c r="F231" s="72">
        <v>1</v>
      </c>
      <c r="G231" s="66">
        <v>8.5</v>
      </c>
      <c r="H231" s="74">
        <f t="shared" si="106"/>
        <v>83.9746342107871</v>
      </c>
      <c r="I231" s="164"/>
      <c r="J231" s="74"/>
    </row>
    <row r="232" spans="2:10">
      <c r="B232" s="55" t="s">
        <v>1574</v>
      </c>
      <c r="C232" s="56"/>
      <c r="D232" s="72">
        <v>11.3</v>
      </c>
      <c r="E232" s="54">
        <v>0.8038</v>
      </c>
      <c r="F232" s="72">
        <v>2</v>
      </c>
      <c r="G232" s="66">
        <v>7.7</v>
      </c>
      <c r="H232" s="74">
        <f t="shared" si="106"/>
        <v>82.1584486675305</v>
      </c>
      <c r="I232" s="164">
        <f>(H232+H233)/2</f>
        <v>82.409397554739</v>
      </c>
      <c r="J232" s="74">
        <f>(H232-H233)/I232*100</f>
        <v>-0.609029782172161</v>
      </c>
    </row>
    <row r="233" spans="2:10">
      <c r="B233" s="55"/>
      <c r="C233" s="56"/>
      <c r="D233" s="72">
        <v>11.3</v>
      </c>
      <c r="E233" s="54">
        <v>0.3456</v>
      </c>
      <c r="F233" s="72">
        <v>1</v>
      </c>
      <c r="G233" s="66">
        <v>8.9</v>
      </c>
      <c r="H233" s="74">
        <f t="shared" si="106"/>
        <v>82.6603464419476</v>
      </c>
      <c r="I233" s="164"/>
      <c r="J233" s="74"/>
    </row>
    <row r="234" spans="2:10">
      <c r="B234" s="55" t="s">
        <v>1575</v>
      </c>
      <c r="C234" s="56"/>
      <c r="D234" s="72">
        <v>11.3</v>
      </c>
      <c r="E234" s="54">
        <v>0.3543</v>
      </c>
      <c r="F234" s="72">
        <v>1</v>
      </c>
      <c r="G234" s="148">
        <v>8.65</v>
      </c>
      <c r="H234" s="74">
        <f t="shared" si="106"/>
        <v>82.9609471741886</v>
      </c>
      <c r="I234" s="164">
        <f>(H234+H235)/2</f>
        <v>83.1687290586266</v>
      </c>
      <c r="J234" s="74">
        <f>(H234-H235)/I234*100</f>
        <v>-0.499663483594939</v>
      </c>
    </row>
    <row r="235" spans="2:10">
      <c r="B235" s="55"/>
      <c r="C235" s="56"/>
      <c r="D235" s="72">
        <v>11.3</v>
      </c>
      <c r="E235" s="54">
        <v>0.3652</v>
      </c>
      <c r="F235" s="72">
        <v>1</v>
      </c>
      <c r="G235" s="66">
        <v>8.35</v>
      </c>
      <c r="H235" s="74">
        <f t="shared" si="106"/>
        <v>83.3765109430646</v>
      </c>
      <c r="I235" s="164"/>
      <c r="J235" s="74"/>
    </row>
    <row r="236" spans="2:10">
      <c r="B236" s="55" t="s">
        <v>1576</v>
      </c>
      <c r="C236" s="56"/>
      <c r="D236" s="72">
        <v>11.3</v>
      </c>
      <c r="E236" s="54">
        <v>0.3506</v>
      </c>
      <c r="F236" s="72">
        <v>1</v>
      </c>
      <c r="G236" s="66">
        <v>8.7</v>
      </c>
      <c r="H236" s="74">
        <f t="shared" si="106"/>
        <v>83.3546432716329</v>
      </c>
      <c r="I236" s="164">
        <f>(H236+H237)/2</f>
        <v>81.6884633814825</v>
      </c>
      <c r="J236" s="74">
        <f>(H236-H237)/I236*100</f>
        <v>4.07935177423859</v>
      </c>
    </row>
    <row r="237" spans="2:10">
      <c r="B237" s="55"/>
      <c r="C237" s="56"/>
      <c r="D237" s="72">
        <v>11.3</v>
      </c>
      <c r="E237" s="54">
        <v>0.3652</v>
      </c>
      <c r="F237" s="72">
        <v>1</v>
      </c>
      <c r="G237" s="66">
        <v>8.7</v>
      </c>
      <c r="H237" s="74">
        <f t="shared" si="106"/>
        <v>80.0222834913321</v>
      </c>
      <c r="I237" s="164"/>
      <c r="J237" s="74"/>
    </row>
    <row r="238" spans="2:10">
      <c r="B238" s="55" t="s">
        <v>1577</v>
      </c>
      <c r="C238" s="56"/>
      <c r="D238" s="72">
        <v>11.3</v>
      </c>
      <c r="E238" s="54">
        <v>0.4822</v>
      </c>
      <c r="F238" s="72">
        <v>1</v>
      </c>
      <c r="G238" s="66">
        <v>6.7</v>
      </c>
      <c r="H238" s="74">
        <f t="shared" si="106"/>
        <v>78.6971405931768</v>
      </c>
      <c r="I238" s="164">
        <f>(H238+H239)/2</f>
        <v>79.1709554107694</v>
      </c>
      <c r="J238" s="74">
        <f>(H238-H239)/I238*100</f>
        <v>-1.19694101235553</v>
      </c>
    </row>
    <row r="239" spans="2:10">
      <c r="B239" s="55"/>
      <c r="C239" s="56"/>
      <c r="D239" s="72">
        <v>11.3</v>
      </c>
      <c r="E239" s="54">
        <v>0.3547</v>
      </c>
      <c r="F239" s="72">
        <v>1</v>
      </c>
      <c r="G239" s="66">
        <v>9</v>
      </c>
      <c r="H239" s="74">
        <f t="shared" si="106"/>
        <v>79.644770228362</v>
      </c>
      <c r="I239" s="164"/>
      <c r="J239" s="74"/>
    </row>
    <row r="240" spans="2:10">
      <c r="B240" s="55" t="s">
        <v>1578</v>
      </c>
      <c r="C240" s="56"/>
      <c r="D240" s="72">
        <v>11.3</v>
      </c>
      <c r="E240" s="54">
        <v>0.3715</v>
      </c>
      <c r="F240" s="72">
        <v>1</v>
      </c>
      <c r="G240" s="66">
        <v>8.3</v>
      </c>
      <c r="H240" s="74">
        <f t="shared" si="106"/>
        <v>82.4563394898571</v>
      </c>
      <c r="I240" s="164">
        <f>(H240+H241)/2</f>
        <v>82.6455987855103</v>
      </c>
      <c r="J240" s="74">
        <f>(H240-H241)/I240*100</f>
        <v>-0.4580021161063</v>
      </c>
    </row>
    <row r="241" spans="2:10">
      <c r="B241" s="55"/>
      <c r="C241" s="56"/>
      <c r="D241" s="72">
        <v>11.3</v>
      </c>
      <c r="E241" s="54">
        <v>0.3654</v>
      </c>
      <c r="F241" s="72">
        <v>1</v>
      </c>
      <c r="G241" s="66">
        <v>8.4</v>
      </c>
      <c r="H241" s="74">
        <f t="shared" si="106"/>
        <v>82.8348580811635</v>
      </c>
      <c r="I241" s="164"/>
      <c r="J241" s="74"/>
    </row>
    <row r="242" spans="2:10">
      <c r="B242" s="55" t="s">
        <v>1579</v>
      </c>
      <c r="C242" s="56"/>
      <c r="D242" s="72">
        <v>11.3</v>
      </c>
      <c r="E242" s="54">
        <v>0.3492</v>
      </c>
      <c r="F242" s="72">
        <v>1</v>
      </c>
      <c r="G242" s="66">
        <v>8.95</v>
      </c>
      <c r="H242" s="74">
        <f t="shared" si="106"/>
        <v>81.3511489949894</v>
      </c>
      <c r="I242" s="164">
        <f>(H242+H243)/2</f>
        <v>81.4141076218878</v>
      </c>
      <c r="J242" s="74">
        <f>(H242-H243)/I242*100</f>
        <v>-0.15466269603015</v>
      </c>
    </row>
    <row r="243" spans="2:10">
      <c r="B243" s="55"/>
      <c r="C243" s="56"/>
      <c r="D243" s="72">
        <v>11.3</v>
      </c>
      <c r="E243" s="54">
        <v>0.3526</v>
      </c>
      <c r="F243" s="72">
        <v>1</v>
      </c>
      <c r="G243" s="66">
        <v>8.85</v>
      </c>
      <c r="H243" s="74">
        <f t="shared" si="106"/>
        <v>81.4770662487863</v>
      </c>
      <c r="I243" s="164"/>
      <c r="J243" s="74"/>
    </row>
    <row r="244" spans="2:10">
      <c r="B244" s="55" t="s">
        <v>1580</v>
      </c>
      <c r="C244" s="56"/>
      <c r="D244" s="72">
        <v>11.3</v>
      </c>
      <c r="E244" s="54">
        <v>0.364</v>
      </c>
      <c r="F244" s="72">
        <v>1</v>
      </c>
      <c r="G244" s="66">
        <v>8.4</v>
      </c>
      <c r="H244" s="74">
        <f t="shared" si="106"/>
        <v>83.153453689168</v>
      </c>
      <c r="I244" s="164">
        <f>(H244+H245)/2</f>
        <v>84.5220406114074</v>
      </c>
      <c r="J244" s="74">
        <f>(H244-H245)/I244*100</f>
        <v>-3.23841429369068</v>
      </c>
    </row>
    <row r="245" spans="2:10">
      <c r="B245" s="55"/>
      <c r="C245" s="56"/>
      <c r="D245" s="72">
        <v>11.3</v>
      </c>
      <c r="E245" s="54">
        <v>0.3524</v>
      </c>
      <c r="F245" s="72">
        <v>1</v>
      </c>
      <c r="G245" s="66">
        <v>8.4</v>
      </c>
      <c r="H245" s="74">
        <f t="shared" si="106"/>
        <v>85.8906275336468</v>
      </c>
      <c r="I245" s="164"/>
      <c r="J245" s="74"/>
    </row>
    <row r="246" spans="2:10">
      <c r="B246" s="55" t="s">
        <v>1581</v>
      </c>
      <c r="C246" s="56"/>
      <c r="D246" s="72">
        <v>11.3</v>
      </c>
      <c r="E246" s="54">
        <v>0.3697</v>
      </c>
      <c r="F246" s="72">
        <v>1</v>
      </c>
      <c r="G246" s="66">
        <v>7.95</v>
      </c>
      <c r="H246" s="74">
        <f t="shared" si="106"/>
        <v>86.5056317973267</v>
      </c>
      <c r="I246" s="164">
        <f>(H246+H247)/2</f>
        <v>86.8475978990337</v>
      </c>
      <c r="J246" s="74">
        <f>(H246-H247)/I246*100</f>
        <v>-0.787508486082818</v>
      </c>
    </row>
    <row r="247" spans="2:10">
      <c r="B247" s="55"/>
      <c r="C247" s="56"/>
      <c r="D247" s="72">
        <v>11.3</v>
      </c>
      <c r="E247" s="54">
        <v>0.3668</v>
      </c>
      <c r="F247" s="72">
        <v>1</v>
      </c>
      <c r="G247" s="66">
        <v>7.95</v>
      </c>
      <c r="H247" s="74">
        <f t="shared" si="106"/>
        <v>87.1895640007407</v>
      </c>
      <c r="I247" s="164"/>
      <c r="J247" s="74"/>
    </row>
    <row r="249" spans="2:10">
      <c r="B249" s="55" t="s">
        <v>1582</v>
      </c>
      <c r="C249" s="56"/>
      <c r="D249" s="72">
        <v>11.3</v>
      </c>
      <c r="E249" s="54">
        <v>0.5137</v>
      </c>
      <c r="F249" s="72">
        <v>1</v>
      </c>
      <c r="G249" s="66">
        <v>6.9</v>
      </c>
      <c r="H249" s="74">
        <f t="shared" ref="H249:H260" si="107">D249*100*F249*250*0.9/E249/G249/1000</f>
        <v>71.7302435019593</v>
      </c>
      <c r="I249" s="164">
        <f>(H249+H250)/2</f>
        <v>72.7677134232585</v>
      </c>
      <c r="J249" s="74">
        <f>(H249-H250)/I249*100</f>
        <v>-2.85145670378473</v>
      </c>
    </row>
    <row r="250" spans="2:10">
      <c r="B250" s="55"/>
      <c r="C250" s="56"/>
      <c r="D250" s="72">
        <v>11.3</v>
      </c>
      <c r="E250" s="54">
        <v>0.5066</v>
      </c>
      <c r="F250" s="72">
        <v>1</v>
      </c>
      <c r="G250" s="66">
        <v>6.8</v>
      </c>
      <c r="H250" s="74">
        <f t="shared" si="107"/>
        <v>73.8051833445577</v>
      </c>
      <c r="I250" s="164"/>
      <c r="J250" s="74"/>
    </row>
    <row r="251" spans="2:10">
      <c r="B251" s="55" t="s">
        <v>1583</v>
      </c>
      <c r="C251" s="56"/>
      <c r="D251" s="72">
        <v>11.3</v>
      </c>
      <c r="E251" s="54">
        <v>0.5262</v>
      </c>
      <c r="F251" s="72">
        <v>1</v>
      </c>
      <c r="G251" s="66">
        <v>6.95</v>
      </c>
      <c r="H251" s="74">
        <f t="shared" si="107"/>
        <v>69.5224891922266</v>
      </c>
      <c r="I251" s="164">
        <f>(H251+H252)/2</f>
        <v>70.8530263164244</v>
      </c>
      <c r="J251" s="74">
        <f>(H251-H252)/I251*100</f>
        <v>-3.7557665307214</v>
      </c>
    </row>
    <row r="252" spans="2:10">
      <c r="B252" s="55"/>
      <c r="C252" s="56"/>
      <c r="D252" s="72">
        <v>11.3</v>
      </c>
      <c r="E252" s="54">
        <v>0.5142</v>
      </c>
      <c r="F252" s="72">
        <v>1</v>
      </c>
      <c r="G252" s="66">
        <v>6.85</v>
      </c>
      <c r="H252" s="74">
        <f t="shared" si="107"/>
        <v>72.1835634406221</v>
      </c>
      <c r="I252" s="164"/>
      <c r="J252" s="74"/>
    </row>
    <row r="253" spans="2:10">
      <c r="B253" s="55" t="s">
        <v>1584</v>
      </c>
      <c r="C253" s="56"/>
      <c r="D253" s="72">
        <v>11.3</v>
      </c>
      <c r="E253" s="54">
        <v>0.528</v>
      </c>
      <c r="F253" s="72">
        <v>1</v>
      </c>
      <c r="G253" s="66">
        <v>6.8</v>
      </c>
      <c r="H253" s="74">
        <f t="shared" si="107"/>
        <v>70.8138368983957</v>
      </c>
      <c r="I253" s="164">
        <f>(H253+H254)/2</f>
        <v>71.6789134731224</v>
      </c>
      <c r="J253" s="74">
        <f>(H253-H254)/I253*100</f>
        <v>-2.4137547091895</v>
      </c>
    </row>
    <row r="254" spans="2:10">
      <c r="B254" s="55"/>
      <c r="C254" s="56"/>
      <c r="D254" s="72">
        <v>11.3</v>
      </c>
      <c r="E254" s="54">
        <v>0.5231</v>
      </c>
      <c r="F254" s="72">
        <v>1</v>
      </c>
      <c r="G254" s="66">
        <v>6.7</v>
      </c>
      <c r="H254" s="74">
        <f t="shared" si="107"/>
        <v>72.5439900478491</v>
      </c>
      <c r="I254" s="164"/>
      <c r="J254" s="74"/>
    </row>
    <row r="255" spans="2:10">
      <c r="B255" s="55" t="s">
        <v>1585</v>
      </c>
      <c r="C255" s="56"/>
      <c r="D255" s="72">
        <v>11.3</v>
      </c>
      <c r="E255" s="54">
        <v>0.5109</v>
      </c>
      <c r="F255" s="72">
        <v>1</v>
      </c>
      <c r="G255" s="66">
        <v>7</v>
      </c>
      <c r="H255" s="74">
        <f t="shared" si="107"/>
        <v>71.0930291082963</v>
      </c>
      <c r="I255" s="164">
        <f>(H255+H256)/2</f>
        <v>71.636964247539</v>
      </c>
      <c r="J255" s="74">
        <f>(H255-H256)/I255*100</f>
        <v>-1.5185879104625</v>
      </c>
    </row>
    <row r="256" spans="2:10">
      <c r="B256" s="55"/>
      <c r="C256" s="56"/>
      <c r="D256" s="72">
        <v>11.3</v>
      </c>
      <c r="E256" s="54">
        <v>0.5032</v>
      </c>
      <c r="F256" s="72">
        <v>1</v>
      </c>
      <c r="G256" s="66">
        <v>7</v>
      </c>
      <c r="H256" s="74">
        <f t="shared" si="107"/>
        <v>72.1808993867817</v>
      </c>
      <c r="I256" s="164"/>
      <c r="J256" s="74"/>
    </row>
    <row r="257" spans="2:10">
      <c r="B257" s="55" t="s">
        <v>1586</v>
      </c>
      <c r="C257" s="56"/>
      <c r="D257" s="72">
        <v>11.3</v>
      </c>
      <c r="E257" s="54">
        <v>0.542</v>
      </c>
      <c r="F257" s="72">
        <v>1</v>
      </c>
      <c r="G257" s="66">
        <v>6.6</v>
      </c>
      <c r="H257" s="74">
        <f t="shared" si="107"/>
        <v>71.0751425696075</v>
      </c>
      <c r="I257" s="164">
        <f>(H257+H258)/2</f>
        <v>71.6678705729978</v>
      </c>
      <c r="J257" s="74">
        <f>(H257-H258)/I257*100</f>
        <v>-1.65409687395843</v>
      </c>
    </row>
    <row r="258" spans="2:10">
      <c r="B258" s="55"/>
      <c r="C258" s="56"/>
      <c r="D258" s="72">
        <v>11.3</v>
      </c>
      <c r="E258" s="54">
        <v>0.5291</v>
      </c>
      <c r="F258" s="72">
        <v>1</v>
      </c>
      <c r="G258" s="66">
        <v>6.65</v>
      </c>
      <c r="H258" s="74">
        <f t="shared" si="107"/>
        <v>72.260598576388</v>
      </c>
      <c r="I258" s="164"/>
      <c r="J258" s="74"/>
    </row>
    <row r="259" spans="2:10">
      <c r="B259" s="55" t="s">
        <v>1587</v>
      </c>
      <c r="C259" s="56"/>
      <c r="D259" s="72">
        <v>11.3</v>
      </c>
      <c r="E259" s="54">
        <v>0.5247</v>
      </c>
      <c r="F259" s="72">
        <v>1</v>
      </c>
      <c r="G259" s="66">
        <v>6.7</v>
      </c>
      <c r="H259" s="74">
        <f t="shared" si="107"/>
        <v>72.3227771946443</v>
      </c>
      <c r="I259" s="164">
        <f>(H259+H260)/2</f>
        <v>71.9124850345865</v>
      </c>
      <c r="J259" s="74">
        <f>(H259-H260)/I259*100</f>
        <v>1.14108741996723</v>
      </c>
    </row>
    <row r="260" spans="2:10">
      <c r="B260" s="55"/>
      <c r="C260" s="56"/>
      <c r="D260" s="72">
        <v>11.3</v>
      </c>
      <c r="E260" s="54">
        <v>0.5191</v>
      </c>
      <c r="F260" s="72">
        <v>1</v>
      </c>
      <c r="G260" s="66">
        <v>6.85</v>
      </c>
      <c r="H260" s="74">
        <f t="shared" si="107"/>
        <v>71.5021928745288</v>
      </c>
      <c r="I260" s="164"/>
      <c r="J260" s="74"/>
    </row>
    <row r="261" spans="2:10">
      <c r="B261" s="55" t="s">
        <v>1588</v>
      </c>
      <c r="C261" s="56"/>
      <c r="D261" s="72">
        <v>11.3</v>
      </c>
      <c r="E261" s="54">
        <v>0.3625</v>
      </c>
      <c r="F261" s="72">
        <v>1</v>
      </c>
      <c r="G261" s="66">
        <v>8.5</v>
      </c>
      <c r="H261" s="74">
        <f t="shared" ref="H261:H264" si="108">D261*100*F261*250*0.9/E261/G261/1000</f>
        <v>82.5152129817444</v>
      </c>
      <c r="I261" s="164">
        <f>(H261+H262)/2</f>
        <v>83.4016570935694</v>
      </c>
      <c r="J261" s="74">
        <f>(H261-H262)/I261*100</f>
        <v>-2.12572301970088</v>
      </c>
    </row>
    <row r="262" spans="2:10">
      <c r="B262" s="55"/>
      <c r="C262" s="56"/>
      <c r="D262" s="72">
        <v>11.3</v>
      </c>
      <c r="E262" s="54">
        <v>0.3528</v>
      </c>
      <c r="F262" s="72">
        <v>1</v>
      </c>
      <c r="G262" s="66">
        <v>8.55</v>
      </c>
      <c r="H262" s="74">
        <f t="shared" si="108"/>
        <v>84.2881012053944</v>
      </c>
      <c r="I262" s="164"/>
      <c r="J262" s="74"/>
    </row>
    <row r="263" spans="2:10">
      <c r="B263" s="55" t="s">
        <v>1589</v>
      </c>
      <c r="C263" s="56"/>
      <c r="D263" s="72">
        <v>11.3</v>
      </c>
      <c r="E263" s="54">
        <v>0.4045</v>
      </c>
      <c r="F263" s="72">
        <v>1</v>
      </c>
      <c r="G263" s="66">
        <v>7.5</v>
      </c>
      <c r="H263" s="74">
        <f t="shared" si="108"/>
        <v>83.8071693448702</v>
      </c>
      <c r="I263" s="164">
        <f>(H263+H264)/2</f>
        <v>82.8809822329704</v>
      </c>
      <c r="J263" s="74">
        <f>(H263-H264)/I263*100</f>
        <v>2.23498102205482</v>
      </c>
    </row>
    <row r="264" ht="17.25" customHeight="1" spans="2:10">
      <c r="B264" s="55"/>
      <c r="C264" s="56"/>
      <c r="D264" s="72">
        <v>11.3</v>
      </c>
      <c r="E264" s="54">
        <v>0.3952</v>
      </c>
      <c r="F264" s="72">
        <v>1</v>
      </c>
      <c r="G264" s="66">
        <v>7.85</v>
      </c>
      <c r="H264" s="74">
        <f t="shared" si="108"/>
        <v>81.9547951210707</v>
      </c>
      <c r="I264" s="164"/>
      <c r="J264" s="74"/>
    </row>
    <row r="265" spans="2:10">
      <c r="B265" s="55" t="s">
        <v>1590</v>
      </c>
      <c r="C265" s="56"/>
      <c r="D265" s="72">
        <v>11.3</v>
      </c>
      <c r="E265" s="54">
        <v>0.3645</v>
      </c>
      <c r="F265" s="72">
        <v>1</v>
      </c>
      <c r="G265" s="66">
        <v>8.55</v>
      </c>
      <c r="H265" s="74">
        <f t="shared" ref="H265:H266" si="109">D265*100*F265*250*0.9/E265/G265/1000</f>
        <v>81.5825572160855</v>
      </c>
      <c r="I265" s="164">
        <f>(H265+H266)/2</f>
        <v>82.9711964878486</v>
      </c>
      <c r="J265" s="74">
        <f>(H265-H266)/I265*100</f>
        <v>-3.34728033472803</v>
      </c>
    </row>
    <row r="266" spans="2:10">
      <c r="B266" s="55"/>
      <c r="C266" s="56"/>
      <c r="D266" s="72">
        <v>11.3</v>
      </c>
      <c r="E266" s="54">
        <v>0.3525</v>
      </c>
      <c r="F266" s="72">
        <v>1</v>
      </c>
      <c r="G266" s="66">
        <v>8.55</v>
      </c>
      <c r="H266" s="74">
        <f t="shared" si="109"/>
        <v>84.3598357596118</v>
      </c>
      <c r="I266" s="164"/>
      <c r="J266" s="74"/>
    </row>
    <row r="267" spans="2:10">
      <c r="B267" s="55" t="s">
        <v>1591</v>
      </c>
      <c r="C267" s="56"/>
      <c r="D267" s="72">
        <v>11.3</v>
      </c>
      <c r="E267" s="54">
        <v>0.3452</v>
      </c>
      <c r="F267" s="72">
        <v>1</v>
      </c>
      <c r="G267" s="66">
        <v>8.9</v>
      </c>
      <c r="H267" s="74">
        <f t="shared" ref="H267:H268" si="110">D267*100*F267*250*0.9/E267/G267/1000</f>
        <v>82.756128998659</v>
      </c>
      <c r="I267" s="164">
        <f>(H267+H268)/2</f>
        <v>82.600886621028</v>
      </c>
      <c r="J267" s="74">
        <f>(H267-H268)/I267*100</f>
        <v>0.375885499493984</v>
      </c>
    </row>
    <row r="268" spans="2:10">
      <c r="B268" s="55"/>
      <c r="C268" s="56"/>
      <c r="D268" s="72">
        <v>11.3</v>
      </c>
      <c r="E268" s="54">
        <v>0.3465</v>
      </c>
      <c r="F268" s="72">
        <v>1</v>
      </c>
      <c r="G268" s="66">
        <v>8.9</v>
      </c>
      <c r="H268" s="74">
        <f t="shared" si="110"/>
        <v>82.4456442433971</v>
      </c>
      <c r="I268" s="164"/>
      <c r="J268" s="74"/>
    </row>
    <row r="269" spans="2:10">
      <c r="B269" s="55" t="s">
        <v>1592</v>
      </c>
      <c r="C269" s="56"/>
      <c r="D269" s="72">
        <v>11.3</v>
      </c>
      <c r="E269" s="54">
        <v>0.3776</v>
      </c>
      <c r="F269" s="72">
        <v>1</v>
      </c>
      <c r="G269" s="66">
        <v>8.25</v>
      </c>
      <c r="H269" s="74">
        <f t="shared" ref="H269:H270" si="111">D269*100*F269*250*0.9/E269/G269/1000</f>
        <v>81.6159476117103</v>
      </c>
      <c r="I269" s="164">
        <f>(H269+H270)/2</f>
        <v>82.3290242026935</v>
      </c>
      <c r="J269" s="74">
        <f>(H269-H270)/I269*100</f>
        <v>-1.73226051903057</v>
      </c>
    </row>
    <row r="270" spans="2:10">
      <c r="B270" s="55"/>
      <c r="C270" s="56"/>
      <c r="D270" s="72">
        <v>11.3</v>
      </c>
      <c r="E270" s="54">
        <v>0.3602</v>
      </c>
      <c r="F270" s="72">
        <v>1</v>
      </c>
      <c r="G270" s="66">
        <v>8.5</v>
      </c>
      <c r="H270" s="74">
        <f t="shared" si="111"/>
        <v>83.0421007936767</v>
      </c>
      <c r="I270" s="164"/>
      <c r="J270" s="74"/>
    </row>
    <row r="271" spans="2:10">
      <c r="B271" s="55" t="s">
        <v>1593</v>
      </c>
      <c r="C271" s="56"/>
      <c r="D271" s="72">
        <v>11.3</v>
      </c>
      <c r="E271" s="54">
        <v>0.7506</v>
      </c>
      <c r="F271" s="72">
        <v>2</v>
      </c>
      <c r="G271" s="66">
        <v>9.15</v>
      </c>
      <c r="H271" s="74">
        <f t="shared" ref="H271:H272" si="112">D271*100*F271*250*0.9/E271/G271/1000</f>
        <v>74.0391293522559</v>
      </c>
      <c r="I271" s="164">
        <f>(H271+H272)/2</f>
        <v>74.0391293522559</v>
      </c>
      <c r="J271" s="74">
        <f>(H271-H272)/I271*100</f>
        <v>0</v>
      </c>
    </row>
    <row r="272" spans="2:10">
      <c r="B272" s="55"/>
      <c r="C272" s="56"/>
      <c r="D272" s="72">
        <v>11.3</v>
      </c>
      <c r="E272" s="54">
        <v>0.7506</v>
      </c>
      <c r="F272" s="72">
        <v>2</v>
      </c>
      <c r="G272" s="66">
        <v>9.15</v>
      </c>
      <c r="H272" s="74">
        <f t="shared" si="112"/>
        <v>74.0391293522559</v>
      </c>
      <c r="I272" s="164"/>
      <c r="J272" s="74"/>
    </row>
    <row r="274" spans="2:10">
      <c r="B274" s="55" t="s">
        <v>1594</v>
      </c>
      <c r="C274" s="56"/>
      <c r="D274" s="72">
        <v>11.3</v>
      </c>
      <c r="E274" s="54">
        <v>0.3646</v>
      </c>
      <c r="F274" s="72">
        <v>1</v>
      </c>
      <c r="G274" s="66">
        <v>8.05</v>
      </c>
      <c r="H274" s="74">
        <f t="shared" ref="H274:H285" si="113">D274*100*F274*250*0.9/E274/G274/1000</f>
        <v>86.6260310797505</v>
      </c>
      <c r="I274" s="164">
        <f>(H274+H275)/2</f>
        <v>86.3531287561101</v>
      </c>
      <c r="J274" s="74">
        <f>(H274-H275)/I274*100</f>
        <v>0.632061229445691</v>
      </c>
    </row>
    <row r="275" spans="2:10">
      <c r="B275" s="55"/>
      <c r="C275" s="56"/>
      <c r="D275" s="72">
        <v>11.3</v>
      </c>
      <c r="E275" s="54">
        <v>0.3602</v>
      </c>
      <c r="F275" s="72">
        <v>1</v>
      </c>
      <c r="G275" s="66">
        <v>8.2</v>
      </c>
      <c r="H275" s="74">
        <f t="shared" si="113"/>
        <v>86.0802264324698</v>
      </c>
      <c r="I275" s="164"/>
      <c r="J275" s="74"/>
    </row>
    <row r="276" spans="2:10">
      <c r="B276" s="55" t="s">
        <v>1595</v>
      </c>
      <c r="C276" s="56"/>
      <c r="D276" s="72">
        <v>11.3</v>
      </c>
      <c r="E276" s="54">
        <v>0.3585</v>
      </c>
      <c r="F276" s="72">
        <v>1</v>
      </c>
      <c r="G276" s="66">
        <v>8.6</v>
      </c>
      <c r="H276" s="74">
        <f t="shared" si="113"/>
        <v>82.4657001070351</v>
      </c>
      <c r="I276" s="164">
        <f>(H276+H277)/2</f>
        <v>82.3427610588469</v>
      </c>
      <c r="J276" s="74">
        <f>(H276-H277)/I276*100</f>
        <v>0.298603171930018</v>
      </c>
    </row>
    <row r="277" spans="2:10">
      <c r="B277" s="55"/>
      <c r="C277" s="56"/>
      <c r="D277" s="72">
        <v>11.3</v>
      </c>
      <c r="E277" s="54">
        <v>0.3514</v>
      </c>
      <c r="F277" s="72">
        <v>1</v>
      </c>
      <c r="G277" s="66">
        <v>8.8</v>
      </c>
      <c r="H277" s="74">
        <f t="shared" si="113"/>
        <v>82.2198220106587</v>
      </c>
      <c r="I277" s="164"/>
      <c r="J277" s="74"/>
    </row>
    <row r="278" spans="2:10">
      <c r="B278" s="55" t="s">
        <v>1596</v>
      </c>
      <c r="C278" s="56"/>
      <c r="D278" s="72">
        <v>11.3</v>
      </c>
      <c r="E278" s="54">
        <v>0.3988</v>
      </c>
      <c r="F278" s="72">
        <v>1</v>
      </c>
      <c r="G278" s="66">
        <v>7.4</v>
      </c>
      <c r="H278" s="74">
        <f t="shared" si="113"/>
        <v>86.1537314646643</v>
      </c>
      <c r="I278" s="164">
        <f>(H278+H279)/2</f>
        <v>86.140890122576</v>
      </c>
      <c r="J278" s="74">
        <f>(H278-H279)/I278*100</f>
        <v>0.0298147420347219</v>
      </c>
    </row>
    <row r="279" spans="2:10">
      <c r="B279" s="55"/>
      <c r="C279" s="56"/>
      <c r="D279" s="72">
        <v>11.3</v>
      </c>
      <c r="E279" s="54">
        <v>0.36</v>
      </c>
      <c r="F279" s="72">
        <v>1</v>
      </c>
      <c r="G279" s="66">
        <v>8.2</v>
      </c>
      <c r="H279" s="74">
        <f t="shared" si="113"/>
        <v>86.1280487804878</v>
      </c>
      <c r="I279" s="164"/>
      <c r="J279" s="74"/>
    </row>
    <row r="280" spans="2:10">
      <c r="B280" s="55" t="s">
        <v>1597</v>
      </c>
      <c r="C280" s="56"/>
      <c r="D280" s="72">
        <v>11.3</v>
      </c>
      <c r="E280" s="54">
        <v>0.4839</v>
      </c>
      <c r="F280" s="72">
        <v>1</v>
      </c>
      <c r="G280" s="66">
        <v>6.2</v>
      </c>
      <c r="H280" s="74">
        <f t="shared" si="113"/>
        <v>84.7449153050817</v>
      </c>
      <c r="I280" s="164">
        <f>(H280+H281)/2</f>
        <v>84.6875113265027</v>
      </c>
      <c r="J280" s="74">
        <f>(H280-H281)/I280*100</f>
        <v>0.135566573346647</v>
      </c>
    </row>
    <row r="281" spans="2:10">
      <c r="B281" s="55"/>
      <c r="C281" s="56"/>
      <c r="D281" s="72">
        <v>11.3</v>
      </c>
      <c r="E281" s="54">
        <v>0.4925</v>
      </c>
      <c r="F281" s="72">
        <v>1</v>
      </c>
      <c r="G281" s="66">
        <v>6.1</v>
      </c>
      <c r="H281" s="74">
        <f t="shared" si="113"/>
        <v>84.6301073479238</v>
      </c>
      <c r="I281" s="164"/>
      <c r="J281" s="74"/>
    </row>
    <row r="282" spans="2:10">
      <c r="B282" s="55" t="s">
        <v>1598</v>
      </c>
      <c r="C282" s="56"/>
      <c r="D282" s="72">
        <v>11.3</v>
      </c>
      <c r="E282" s="54">
        <v>0.3646</v>
      </c>
      <c r="F282" s="72">
        <v>1</v>
      </c>
      <c r="G282" s="66">
        <v>8.25</v>
      </c>
      <c r="H282" s="74">
        <f t="shared" si="113"/>
        <v>84.5260060838777</v>
      </c>
      <c r="I282" s="164">
        <f>(H282+H283)/2</f>
        <v>84.4159273855221</v>
      </c>
      <c r="J282" s="74">
        <f>(H282-H283)/I282*100</f>
        <v>0.260800779580187</v>
      </c>
    </row>
    <row r="283" spans="2:10">
      <c r="B283" s="55"/>
      <c r="C283" s="56"/>
      <c r="D283" s="72">
        <v>11.3</v>
      </c>
      <c r="E283" s="54">
        <v>0.3569</v>
      </c>
      <c r="F283" s="72">
        <v>1</v>
      </c>
      <c r="G283" s="66">
        <v>8.45</v>
      </c>
      <c r="H283" s="74">
        <f t="shared" si="113"/>
        <v>84.3058486871664</v>
      </c>
      <c r="I283" s="164"/>
      <c r="J283" s="74"/>
    </row>
    <row r="284" spans="2:10">
      <c r="B284" s="55" t="s">
        <v>1599</v>
      </c>
      <c r="C284" s="56"/>
      <c r="D284" s="72">
        <v>11.3</v>
      </c>
      <c r="E284" s="54">
        <v>0.3943</v>
      </c>
      <c r="F284" s="72">
        <v>1</v>
      </c>
      <c r="G284" s="66">
        <v>7.75</v>
      </c>
      <c r="H284" s="74">
        <f t="shared" si="113"/>
        <v>83.2017540271449</v>
      </c>
      <c r="I284" s="164">
        <f>(H284+H285)/2</f>
        <v>83.3434766293928</v>
      </c>
      <c r="J284" s="74">
        <f>(H284-H285)/I284*100</f>
        <v>-0.340092849445383</v>
      </c>
    </row>
    <row r="285" spans="2:10">
      <c r="B285" s="55"/>
      <c r="C285" s="56"/>
      <c r="D285" s="72">
        <v>11.3</v>
      </c>
      <c r="E285" s="54">
        <v>0.3855</v>
      </c>
      <c r="F285" s="72">
        <v>1</v>
      </c>
      <c r="G285" s="66">
        <v>7.9</v>
      </c>
      <c r="H285" s="74">
        <f t="shared" si="113"/>
        <v>83.4851992316406</v>
      </c>
      <c r="I285" s="164"/>
      <c r="J285" s="74"/>
    </row>
    <row r="286" spans="2:10">
      <c r="B286" s="55" t="s">
        <v>1600</v>
      </c>
      <c r="C286" s="56"/>
      <c r="D286" s="72">
        <v>11</v>
      </c>
      <c r="E286" s="54">
        <v>4.2513</v>
      </c>
      <c r="F286" s="72">
        <v>1</v>
      </c>
      <c r="G286" s="66">
        <v>5.7</v>
      </c>
      <c r="H286" s="74">
        <f t="shared" ref="H286:H289" si="114">D286*100*F286*250*0.9/E286/G286/1000</f>
        <v>10.2135941080561</v>
      </c>
      <c r="I286" s="164">
        <f>(H286+H287)/2</f>
        <v>10.3481635703999</v>
      </c>
      <c r="J286" s="74">
        <f>(H286-H287)/I286*100</f>
        <v>-2.6008375578576</v>
      </c>
    </row>
    <row r="287" spans="2:10">
      <c r="B287" s="55"/>
      <c r="C287" s="56"/>
      <c r="D287" s="72">
        <v>11</v>
      </c>
      <c r="E287" s="54">
        <v>4.2541</v>
      </c>
      <c r="F287" s="72">
        <v>1</v>
      </c>
      <c r="G287" s="66">
        <v>5.55</v>
      </c>
      <c r="H287" s="74">
        <f t="shared" si="114"/>
        <v>10.4827330327436</v>
      </c>
      <c r="I287" s="164"/>
      <c r="J287" s="74"/>
    </row>
    <row r="288" spans="2:10">
      <c r="B288" s="55" t="s">
        <v>1601</v>
      </c>
      <c r="C288" s="56"/>
      <c r="D288" s="72">
        <v>11</v>
      </c>
      <c r="E288" s="54">
        <v>4.2154</v>
      </c>
      <c r="F288" s="72">
        <v>1</v>
      </c>
      <c r="G288" s="66">
        <v>5.75</v>
      </c>
      <c r="H288" s="74">
        <f t="shared" si="114"/>
        <v>10.2110068465317</v>
      </c>
      <c r="I288" s="164">
        <f>(H288+H289)/2</f>
        <v>10.4061837093612</v>
      </c>
      <c r="J288" s="74">
        <f>(H288-H289)/I288*100</f>
        <v>-3.75117080921752</v>
      </c>
    </row>
    <row r="289" spans="2:10">
      <c r="B289" s="55"/>
      <c r="C289" s="56"/>
      <c r="D289" s="72">
        <v>11</v>
      </c>
      <c r="E289" s="54">
        <v>4.0958</v>
      </c>
      <c r="F289" s="72">
        <v>1</v>
      </c>
      <c r="G289" s="66">
        <v>5.7</v>
      </c>
      <c r="H289" s="74">
        <f t="shared" si="114"/>
        <v>10.6013605721908</v>
      </c>
      <c r="I289" s="164"/>
      <c r="J289" s="74"/>
    </row>
    <row r="290" spans="2:10">
      <c r="B290" s="55" t="s">
        <v>1602</v>
      </c>
      <c r="C290" s="56"/>
      <c r="D290" s="72">
        <v>11</v>
      </c>
      <c r="E290" s="54">
        <v>0.3638</v>
      </c>
      <c r="F290" s="72">
        <v>1</v>
      </c>
      <c r="G290" s="66">
        <v>8.3</v>
      </c>
      <c r="H290" s="74">
        <f t="shared" ref="H290:H297" si="115">D290*100*F290*250*0.9/E290/G290/1000</f>
        <v>81.9661272909119</v>
      </c>
      <c r="I290" s="164">
        <f>(H290+H291)/2</f>
        <v>82.2729772285863</v>
      </c>
      <c r="J290" s="74">
        <f>(H290-H291)/I290*100</f>
        <v>-0.745931283905966</v>
      </c>
    </row>
    <row r="291" spans="2:10">
      <c r="B291" s="55"/>
      <c r="C291" s="56"/>
      <c r="D291" s="72">
        <v>11</v>
      </c>
      <c r="E291" s="54">
        <v>0.3526</v>
      </c>
      <c r="F291" s="72">
        <v>1</v>
      </c>
      <c r="G291" s="66">
        <v>8.5</v>
      </c>
      <c r="H291" s="74">
        <f t="shared" si="115"/>
        <v>82.5798271662607</v>
      </c>
      <c r="I291" s="164"/>
      <c r="J291" s="74"/>
    </row>
    <row r="292" spans="2:10">
      <c r="B292" s="55" t="s">
        <v>1603</v>
      </c>
      <c r="C292" s="56"/>
      <c r="D292" s="72">
        <v>11.1</v>
      </c>
      <c r="E292" s="54">
        <v>0.3524</v>
      </c>
      <c r="F292" s="72">
        <v>1</v>
      </c>
      <c r="G292" s="66">
        <v>8.7</v>
      </c>
      <c r="H292" s="74">
        <f t="shared" si="115"/>
        <v>81.4611139379232</v>
      </c>
      <c r="I292" s="164">
        <f>(H292+H293)/2</f>
        <v>81.3704460574565</v>
      </c>
      <c r="J292" s="74">
        <f>(H292-H293)/I292*100</f>
        <v>0.222852116117714</v>
      </c>
    </row>
    <row r="293" spans="2:10">
      <c r="B293" s="55"/>
      <c r="C293" s="56"/>
      <c r="D293" s="72">
        <v>11.1</v>
      </c>
      <c r="E293" s="54">
        <v>0.3658</v>
      </c>
      <c r="F293" s="72">
        <v>1</v>
      </c>
      <c r="G293" s="66">
        <v>8.4</v>
      </c>
      <c r="H293" s="74">
        <f t="shared" si="115"/>
        <v>81.2797781769898</v>
      </c>
      <c r="I293" s="164"/>
      <c r="J293" s="74"/>
    </row>
    <row r="294" spans="2:11">
      <c r="B294" s="55" t="s">
        <v>1604</v>
      </c>
      <c r="C294" s="56"/>
      <c r="D294" s="72">
        <v>11.1</v>
      </c>
      <c r="E294" s="54">
        <v>0.3596</v>
      </c>
      <c r="F294" s="72">
        <v>1</v>
      </c>
      <c r="G294" s="66">
        <v>8.5</v>
      </c>
      <c r="H294" s="74">
        <f t="shared" si="115"/>
        <v>81.7084342079435</v>
      </c>
      <c r="I294" s="164">
        <f>(H294+H295)/2</f>
        <v>81.5492010703925</v>
      </c>
      <c r="J294" s="74">
        <f>(H294-H295)/I294*100</f>
        <v>0.390520410895416</v>
      </c>
      <c r="K294" s="58"/>
    </row>
    <row r="295" spans="2:10">
      <c r="B295" s="55"/>
      <c r="C295" s="56"/>
      <c r="D295" s="72">
        <v>11.1</v>
      </c>
      <c r="E295" s="54">
        <v>0.3487</v>
      </c>
      <c r="F295" s="72">
        <v>1</v>
      </c>
      <c r="G295" s="66">
        <v>8.8</v>
      </c>
      <c r="H295" s="74">
        <f t="shared" si="115"/>
        <v>81.3899679328414</v>
      </c>
      <c r="I295" s="164"/>
      <c r="J295" s="74"/>
    </row>
    <row r="296" spans="2:10">
      <c r="B296" s="55" t="s">
        <v>1605</v>
      </c>
      <c r="C296" s="56"/>
      <c r="D296" s="72">
        <v>11.1</v>
      </c>
      <c r="E296" s="54">
        <v>0.5153</v>
      </c>
      <c r="F296" s="72">
        <v>1</v>
      </c>
      <c r="G296" s="66">
        <v>5.65</v>
      </c>
      <c r="H296" s="74">
        <f t="shared" si="115"/>
        <v>85.7821459790585</v>
      </c>
      <c r="I296" s="164">
        <f>(H296+H297)/2</f>
        <v>85.3462124837734</v>
      </c>
      <c r="J296" s="74">
        <f>(H296-H297)/I296*100</f>
        <v>1.0215649472858</v>
      </c>
    </row>
    <row r="297" spans="2:10">
      <c r="B297" s="55"/>
      <c r="C297" s="56"/>
      <c r="D297" s="72">
        <v>11.1</v>
      </c>
      <c r="E297" s="54">
        <v>0.3587</v>
      </c>
      <c r="F297" s="72">
        <v>1</v>
      </c>
      <c r="G297" s="66">
        <v>8.2</v>
      </c>
      <c r="H297" s="74">
        <f t="shared" si="115"/>
        <v>84.9102789884882</v>
      </c>
      <c r="I297" s="164"/>
      <c r="J297" s="74"/>
    </row>
    <row r="298" spans="2:10">
      <c r="B298" s="55" t="s">
        <v>1606</v>
      </c>
      <c r="C298" s="56"/>
      <c r="D298" s="72">
        <v>11.1</v>
      </c>
      <c r="E298" s="54">
        <v>0.3626</v>
      </c>
      <c r="F298" s="72">
        <v>1</v>
      </c>
      <c r="G298" s="66">
        <v>8.45</v>
      </c>
      <c r="H298" s="74">
        <f t="shared" ref="H298:H301" si="116">D298*100*F298*250*0.9/E298/G298/1000</f>
        <v>81.5118946987079</v>
      </c>
      <c r="I298" s="164">
        <f>(H298+H299)/2</f>
        <v>82.1555266401157</v>
      </c>
      <c r="J298" s="74">
        <f>(H298-H299)/I298*100</f>
        <v>-1.56686218865664</v>
      </c>
    </row>
    <row r="299" spans="2:10">
      <c r="B299" s="55"/>
      <c r="C299" s="56"/>
      <c r="D299" s="72">
        <v>11.1</v>
      </c>
      <c r="E299" s="54">
        <v>0.3747</v>
      </c>
      <c r="F299" s="72">
        <v>1</v>
      </c>
      <c r="G299" s="66">
        <v>8.05</v>
      </c>
      <c r="H299" s="74">
        <f t="shared" si="116"/>
        <v>82.7991585815236</v>
      </c>
      <c r="I299" s="164"/>
      <c r="J299" s="74"/>
    </row>
    <row r="300" spans="2:10">
      <c r="B300" s="55" t="s">
        <v>1607</v>
      </c>
      <c r="C300" s="56"/>
      <c r="D300" s="72">
        <v>11.1</v>
      </c>
      <c r="E300" s="54">
        <v>0.3629</v>
      </c>
      <c r="F300" s="72">
        <v>1</v>
      </c>
      <c r="G300" s="66">
        <v>8.25</v>
      </c>
      <c r="H300" s="74">
        <f t="shared" si="116"/>
        <v>83.4189233197224</v>
      </c>
      <c r="I300" s="164">
        <f>(H300+H301)/2</f>
        <v>83.1754396343291</v>
      </c>
      <c r="J300" s="74">
        <f>(H300-H301)/I300*100</f>
        <v>0.5854701495147</v>
      </c>
    </row>
    <row r="301" spans="2:10">
      <c r="B301" s="55"/>
      <c r="C301" s="56"/>
      <c r="D301" s="72">
        <v>11.1</v>
      </c>
      <c r="E301" s="54">
        <v>0.3741</v>
      </c>
      <c r="F301" s="72">
        <v>1</v>
      </c>
      <c r="G301" s="66">
        <v>8.05</v>
      </c>
      <c r="H301" s="74">
        <f t="shared" si="116"/>
        <v>82.9319559489358</v>
      </c>
      <c r="I301" s="164"/>
      <c r="J301" s="74"/>
    </row>
    <row r="302" spans="2:10">
      <c r="B302" s="55" t="s">
        <v>1608</v>
      </c>
      <c r="C302" s="56"/>
      <c r="D302" s="72">
        <v>11.1</v>
      </c>
      <c r="E302" s="54">
        <v>0.4076</v>
      </c>
      <c r="F302" s="72">
        <v>1</v>
      </c>
      <c r="G302" s="66">
        <v>7.65</v>
      </c>
      <c r="H302" s="74">
        <f t="shared" ref="H302:H303" si="117">D302*100*F302*250*0.9/E302/G302/1000</f>
        <v>80.0958263580211</v>
      </c>
      <c r="I302" s="164">
        <f>(H302+H303)/2</f>
        <v>80.8771513274966</v>
      </c>
      <c r="J302" s="74">
        <f>(H302-H303)/I302*100</f>
        <v>-1.93212781768641</v>
      </c>
    </row>
    <row r="303" spans="2:10">
      <c r="B303" s="55"/>
      <c r="C303" s="56"/>
      <c r="D303" s="72">
        <v>11.1</v>
      </c>
      <c r="E303" s="54">
        <v>0.3998</v>
      </c>
      <c r="F303" s="72">
        <v>1</v>
      </c>
      <c r="G303" s="66">
        <v>7.65</v>
      </c>
      <c r="H303" s="74">
        <f t="shared" si="117"/>
        <v>81.658476296972</v>
      </c>
      <c r="I303" s="164"/>
      <c r="J303" s="74"/>
    </row>
    <row r="304" spans="2:10">
      <c r="B304" s="55" t="s">
        <v>1609</v>
      </c>
      <c r="C304" s="56"/>
      <c r="D304" s="72">
        <v>11.1</v>
      </c>
      <c r="E304" s="54">
        <v>0.3612</v>
      </c>
      <c r="F304" s="72">
        <v>1</v>
      </c>
      <c r="G304" s="66">
        <v>8.55</v>
      </c>
      <c r="H304" s="74">
        <f t="shared" ref="H304:H311" si="118">D304*100*F304*250*0.9/E304/G304/1000</f>
        <v>80.8707816051757</v>
      </c>
      <c r="I304" s="164">
        <f>(H304+H305)/2</f>
        <v>81.2668985029443</v>
      </c>
      <c r="J304" s="74">
        <f>(H304-H305)/I304*100</f>
        <v>-0.974854227405251</v>
      </c>
    </row>
    <row r="305" ht="15" customHeight="1" spans="2:10">
      <c r="B305" s="55"/>
      <c r="C305" s="56"/>
      <c r="D305" s="72">
        <v>11.1</v>
      </c>
      <c r="E305" s="54">
        <v>0.3598</v>
      </c>
      <c r="F305" s="72">
        <v>1</v>
      </c>
      <c r="G305" s="66">
        <v>8.5</v>
      </c>
      <c r="H305" s="74">
        <f t="shared" si="118"/>
        <v>81.6630154007128</v>
      </c>
      <c r="I305" s="164"/>
      <c r="J305" s="74"/>
    </row>
    <row r="306" spans="2:10">
      <c r="B306" s="55" t="s">
        <v>1610</v>
      </c>
      <c r="C306" s="56"/>
      <c r="D306" s="72">
        <v>11.1</v>
      </c>
      <c r="E306" s="54">
        <v>0.3375</v>
      </c>
      <c r="F306" s="72">
        <v>1</v>
      </c>
      <c r="G306" s="66">
        <v>8.55</v>
      </c>
      <c r="H306" s="74">
        <f t="shared" si="118"/>
        <v>86.5497076023392</v>
      </c>
      <c r="I306" s="164">
        <f>(H306+H307)/2</f>
        <v>85.4256854256854</v>
      </c>
      <c r="J306" s="74">
        <f>(H306-H307)/I306*100</f>
        <v>2.6315789473684</v>
      </c>
    </row>
    <row r="307" spans="2:10">
      <c r="B307" s="55"/>
      <c r="C307" s="56"/>
      <c r="D307" s="72">
        <v>11.1</v>
      </c>
      <c r="E307" s="54">
        <v>0.3465</v>
      </c>
      <c r="F307" s="72">
        <v>1</v>
      </c>
      <c r="G307" s="66">
        <v>8.55</v>
      </c>
      <c r="H307" s="74">
        <f t="shared" si="118"/>
        <v>84.3016632490317</v>
      </c>
      <c r="I307" s="164"/>
      <c r="J307" s="74"/>
    </row>
    <row r="308" spans="2:10">
      <c r="B308" s="55" t="s">
        <v>1611</v>
      </c>
      <c r="C308" s="56"/>
      <c r="D308" s="72">
        <v>11.1</v>
      </c>
      <c r="E308" s="54">
        <v>0.3706</v>
      </c>
      <c r="F308" s="72">
        <v>1</v>
      </c>
      <c r="G308" s="66">
        <v>8.3</v>
      </c>
      <c r="H308" s="74">
        <f t="shared" si="118"/>
        <v>81.1936358493878</v>
      </c>
      <c r="I308" s="164">
        <f>(H308+H309)/2</f>
        <v>81.760103076244</v>
      </c>
      <c r="J308" s="74">
        <f>(H308-H309)/I308*100</f>
        <v>-1.38568129330257</v>
      </c>
    </row>
    <row r="309" spans="2:10">
      <c r="B309" s="55"/>
      <c r="C309" s="56"/>
      <c r="D309" s="72">
        <v>11.1</v>
      </c>
      <c r="E309" s="54">
        <v>0.3569</v>
      </c>
      <c r="F309" s="72">
        <v>1</v>
      </c>
      <c r="G309" s="66">
        <v>8.5</v>
      </c>
      <c r="H309" s="74">
        <f t="shared" si="118"/>
        <v>82.3265703031002</v>
      </c>
      <c r="I309" s="164"/>
      <c r="J309" s="74"/>
    </row>
    <row r="310" spans="2:10">
      <c r="B310" s="55" t="s">
        <v>1612</v>
      </c>
      <c r="C310" s="56"/>
      <c r="D310" s="72">
        <v>11.1</v>
      </c>
      <c r="E310" s="54">
        <v>0.3556</v>
      </c>
      <c r="F310" s="72">
        <v>1</v>
      </c>
      <c r="G310" s="66">
        <v>8.5</v>
      </c>
      <c r="H310" s="74">
        <f t="shared" si="118"/>
        <v>82.6275392046582</v>
      </c>
      <c r="I310" s="164">
        <f>(H310+H311)/2</f>
        <v>82.4005330017961</v>
      </c>
      <c r="J310" s="74">
        <f>(H310-H311)/I310*100</f>
        <v>0.550982365264992</v>
      </c>
    </row>
    <row r="311" spans="2:10">
      <c r="B311" s="55"/>
      <c r="C311" s="56"/>
      <c r="D311" s="72">
        <v>11.1</v>
      </c>
      <c r="E311" s="54">
        <v>0.3684</v>
      </c>
      <c r="F311" s="72">
        <v>1</v>
      </c>
      <c r="G311" s="66">
        <v>8.25</v>
      </c>
      <c r="H311" s="74">
        <f t="shared" si="118"/>
        <v>82.173526798934</v>
      </c>
      <c r="I311" s="164"/>
      <c r="J311" s="74"/>
    </row>
    <row r="312" spans="2:10">
      <c r="B312" s="55" t="s">
        <v>1613</v>
      </c>
      <c r="C312" s="56"/>
      <c r="D312" s="72">
        <v>11.1</v>
      </c>
      <c r="E312" s="54">
        <v>0.3714</v>
      </c>
      <c r="F312" s="72">
        <v>1</v>
      </c>
      <c r="G312" s="66">
        <v>8.4</v>
      </c>
      <c r="H312" s="74">
        <f t="shared" ref="H312:H319" si="119">D312*100*F312*250*0.9/E312/G312/1000</f>
        <v>80.0542349411493</v>
      </c>
      <c r="I312" s="164">
        <f>(H312+H313)/2</f>
        <v>80.2511803988864</v>
      </c>
      <c r="J312" s="74">
        <f>(H312-H313)/I312*100</f>
        <v>-0.490822581694667</v>
      </c>
    </row>
    <row r="313" spans="2:10">
      <c r="B313" s="55"/>
      <c r="C313" s="56"/>
      <c r="D313" s="72">
        <v>11.1</v>
      </c>
      <c r="E313" s="54">
        <v>0.3589</v>
      </c>
      <c r="F313" s="72">
        <v>1</v>
      </c>
      <c r="G313" s="66">
        <v>8.65</v>
      </c>
      <c r="H313" s="74">
        <f t="shared" si="119"/>
        <v>80.4481258566236</v>
      </c>
      <c r="I313" s="164"/>
      <c r="J313" s="74"/>
    </row>
    <row r="314" spans="2:10">
      <c r="B314" s="55" t="s">
        <v>1614</v>
      </c>
      <c r="C314" s="56"/>
      <c r="D314" s="72">
        <v>11.1</v>
      </c>
      <c r="E314" s="54">
        <v>0.3787</v>
      </c>
      <c r="F314" s="72">
        <v>1</v>
      </c>
      <c r="G314" s="66">
        <v>8.1</v>
      </c>
      <c r="H314" s="74">
        <f t="shared" si="119"/>
        <v>81.4188891822903</v>
      </c>
      <c r="I314" s="164">
        <f>(H314+H315)/2</f>
        <v>81.012829429972</v>
      </c>
      <c r="J314" s="74">
        <f>(H314-H315)/I314*100</f>
        <v>1.0024578950655</v>
      </c>
    </row>
    <row r="315" spans="2:10">
      <c r="B315" s="55"/>
      <c r="C315" s="56"/>
      <c r="D315" s="72">
        <v>11.1</v>
      </c>
      <c r="E315" s="54">
        <v>0.3541</v>
      </c>
      <c r="F315" s="72">
        <v>1</v>
      </c>
      <c r="G315" s="66">
        <v>8.75</v>
      </c>
      <c r="H315" s="74">
        <f t="shared" si="119"/>
        <v>80.6067696776536</v>
      </c>
      <c r="I315" s="164"/>
      <c r="J315" s="74"/>
    </row>
    <row r="316" spans="2:10">
      <c r="B316" s="55" t="s">
        <v>1615</v>
      </c>
      <c r="C316" s="56"/>
      <c r="D316" s="72">
        <v>11.1</v>
      </c>
      <c r="E316" s="54">
        <v>0.3923</v>
      </c>
      <c r="F316" s="72">
        <v>1</v>
      </c>
      <c r="G316" s="66">
        <v>7.85</v>
      </c>
      <c r="H316" s="74">
        <f t="shared" si="119"/>
        <v>81.0993796181591</v>
      </c>
      <c r="I316" s="164">
        <f>(H316+H317)/2</f>
        <v>80.3646994698987</v>
      </c>
      <c r="J316" s="74">
        <f>(H316-H317)/I316*100</f>
        <v>1.82836532235298</v>
      </c>
    </row>
    <row r="317" spans="2:10">
      <c r="B317" s="55"/>
      <c r="C317" s="56"/>
      <c r="D317" s="72">
        <v>11.1</v>
      </c>
      <c r="E317" s="54">
        <v>0.4021</v>
      </c>
      <c r="F317" s="72">
        <v>1</v>
      </c>
      <c r="G317" s="66">
        <v>7.8</v>
      </c>
      <c r="H317" s="74">
        <f t="shared" si="119"/>
        <v>79.6300193216383</v>
      </c>
      <c r="I317" s="164"/>
      <c r="J317" s="74"/>
    </row>
    <row r="318" spans="2:10">
      <c r="B318" s="55" t="s">
        <v>1616</v>
      </c>
      <c r="C318" s="56"/>
      <c r="D318" s="72">
        <v>11.1</v>
      </c>
      <c r="E318" s="54">
        <v>0.3696</v>
      </c>
      <c r="F318" s="72">
        <v>1</v>
      </c>
      <c r="G318" s="66">
        <v>8.25</v>
      </c>
      <c r="H318" s="74">
        <f t="shared" si="119"/>
        <v>81.9067296340024</v>
      </c>
      <c r="I318" s="164">
        <f>(H318+H319)/2</f>
        <v>80.957401260318</v>
      </c>
      <c r="J318" s="74">
        <f>(H318-H319)/I318*100</f>
        <v>2.34525406919082</v>
      </c>
    </row>
    <row r="319" spans="2:10">
      <c r="B319" s="55"/>
      <c r="C319" s="56"/>
      <c r="D319" s="72">
        <v>11.1</v>
      </c>
      <c r="E319" s="54">
        <v>0.3588</v>
      </c>
      <c r="F319" s="72">
        <v>1</v>
      </c>
      <c r="G319" s="66">
        <v>8.7</v>
      </c>
      <c r="H319" s="74">
        <f t="shared" si="119"/>
        <v>80.0080728866336</v>
      </c>
      <c r="I319" s="164"/>
      <c r="J319" s="74"/>
    </row>
    <row r="320" spans="2:10">
      <c r="B320" s="55" t="s">
        <v>1617</v>
      </c>
      <c r="C320" s="56"/>
      <c r="D320" s="72">
        <v>11.1</v>
      </c>
      <c r="E320" s="54">
        <v>0.3936</v>
      </c>
      <c r="F320" s="72">
        <v>1</v>
      </c>
      <c r="G320" s="66">
        <v>7.9</v>
      </c>
      <c r="H320" s="74">
        <f t="shared" ref="H320:H329" si="120">D320*100*F320*250*0.9/E320/G320/1000</f>
        <v>80.3199289904291</v>
      </c>
      <c r="I320" s="164">
        <f>(H320+H321)/2</f>
        <v>80.6076667094327</v>
      </c>
      <c r="J320" s="74">
        <f>(H320-H321)/I320*100</f>
        <v>-0.713921468638457</v>
      </c>
    </row>
    <row r="321" spans="2:10">
      <c r="B321" s="55"/>
      <c r="C321" s="56"/>
      <c r="D321" s="72">
        <v>11.1</v>
      </c>
      <c r="E321" s="54">
        <v>0.3908</v>
      </c>
      <c r="F321" s="72">
        <v>1</v>
      </c>
      <c r="G321" s="66">
        <v>7.9</v>
      </c>
      <c r="H321" s="74">
        <f t="shared" si="120"/>
        <v>80.8954044284363</v>
      </c>
      <c r="I321" s="164"/>
      <c r="J321" s="74"/>
    </row>
    <row r="322" spans="2:10">
      <c r="B322" s="55" t="s">
        <v>1618</v>
      </c>
      <c r="C322" s="56"/>
      <c r="D322" s="72">
        <v>11.1</v>
      </c>
      <c r="E322" s="54">
        <v>0.3553</v>
      </c>
      <c r="F322" s="72">
        <v>1</v>
      </c>
      <c r="G322" s="66">
        <v>8.6</v>
      </c>
      <c r="H322" s="74">
        <f t="shared" si="120"/>
        <v>81.7357097506856</v>
      </c>
      <c r="I322" s="164">
        <f>(H322+H323)/2</f>
        <v>81.308876563713</v>
      </c>
      <c r="J322" s="74">
        <f>(H322-H323)/I322*100</f>
        <v>1.04990550850425</v>
      </c>
    </row>
    <row r="323" spans="2:10">
      <c r="B323" s="55"/>
      <c r="C323" s="56"/>
      <c r="D323" s="72">
        <v>11.1</v>
      </c>
      <c r="E323" s="54">
        <v>0.3698</v>
      </c>
      <c r="F323" s="72">
        <v>1</v>
      </c>
      <c r="G323" s="66">
        <v>8.35</v>
      </c>
      <c r="H323" s="74">
        <f t="shared" si="120"/>
        <v>80.8820433767403</v>
      </c>
      <c r="I323" s="164"/>
      <c r="J323" s="74"/>
    </row>
    <row r="324" spans="2:10">
      <c r="B324" s="55" t="s">
        <v>1619</v>
      </c>
      <c r="C324" s="56"/>
      <c r="D324" s="72">
        <v>11.1</v>
      </c>
      <c r="E324" s="54">
        <v>0.3642</v>
      </c>
      <c r="F324" s="72">
        <v>1</v>
      </c>
      <c r="G324" s="66">
        <v>8.25</v>
      </c>
      <c r="H324" s="74">
        <f t="shared" si="120"/>
        <v>83.1211621985922</v>
      </c>
      <c r="I324" s="164">
        <f>(H324+H325)/2</f>
        <v>82.9749888359552</v>
      </c>
      <c r="J324" s="74">
        <f>(H324-H325)/I324*100</f>
        <v>0.352331141438274</v>
      </c>
    </row>
    <row r="325" spans="2:10">
      <c r="B325" s="55"/>
      <c r="C325" s="56"/>
      <c r="D325" s="72">
        <v>11.1</v>
      </c>
      <c r="E325" s="54">
        <v>0.3369</v>
      </c>
      <c r="F325" s="72">
        <v>1</v>
      </c>
      <c r="G325" s="66">
        <v>8.95</v>
      </c>
      <c r="H325" s="74">
        <f t="shared" si="120"/>
        <v>82.8288154733182</v>
      </c>
      <c r="I325" s="164"/>
      <c r="J325" s="74"/>
    </row>
    <row r="326" spans="2:10">
      <c r="B326" s="55" t="s">
        <v>1620</v>
      </c>
      <c r="C326" s="56"/>
      <c r="D326" s="72">
        <v>11.1</v>
      </c>
      <c r="E326" s="54">
        <v>0.3721</v>
      </c>
      <c r="F326" s="72">
        <v>1</v>
      </c>
      <c r="G326" s="66">
        <v>8.05</v>
      </c>
      <c r="H326" s="74">
        <f t="shared" si="120"/>
        <v>83.3777068543319</v>
      </c>
      <c r="I326" s="164">
        <f>(H326+H327)/2</f>
        <v>83.4971129648059</v>
      </c>
      <c r="J326" s="74">
        <f>(H326-H327)/I326*100</f>
        <v>-0.286012548779698</v>
      </c>
    </row>
    <row r="327" spans="2:10">
      <c r="B327" s="55"/>
      <c r="C327" s="56"/>
      <c r="D327" s="72">
        <v>11.1</v>
      </c>
      <c r="E327" s="54">
        <v>0.3854</v>
      </c>
      <c r="F327" s="72">
        <v>1</v>
      </c>
      <c r="G327" s="66">
        <v>7.75</v>
      </c>
      <c r="H327" s="74">
        <f t="shared" si="120"/>
        <v>83.61651907528</v>
      </c>
      <c r="I327" s="164"/>
      <c r="J327" s="74"/>
    </row>
    <row r="328" spans="2:10">
      <c r="B328" s="55" t="s">
        <v>1621</v>
      </c>
      <c r="C328" s="56"/>
      <c r="D328" s="72">
        <v>11.1</v>
      </c>
      <c r="E328" s="54">
        <v>0.3565</v>
      </c>
      <c r="F328" s="72">
        <v>1</v>
      </c>
      <c r="G328" s="66">
        <v>8.65</v>
      </c>
      <c r="H328" s="74">
        <f t="shared" si="120"/>
        <v>80.9897121176499</v>
      </c>
      <c r="I328" s="164">
        <f>(H328+H329)/2</f>
        <v>81.0260541269596</v>
      </c>
      <c r="J328" s="74">
        <f>(H328-H329)/I328*100</f>
        <v>-0.0897045023387296</v>
      </c>
    </row>
    <row r="329" spans="2:10">
      <c r="B329" s="55"/>
      <c r="C329" s="56"/>
      <c r="D329" s="72">
        <v>11.1</v>
      </c>
      <c r="E329" s="54">
        <v>0.3712</v>
      </c>
      <c r="F329" s="72">
        <v>1</v>
      </c>
      <c r="G329" s="66">
        <v>8.3</v>
      </c>
      <c r="H329" s="74">
        <f t="shared" si="120"/>
        <v>81.0623961362692</v>
      </c>
      <c r="I329" s="164"/>
      <c r="J329" s="74"/>
    </row>
    <row r="330" spans="2:10">
      <c r="B330" s="55" t="s">
        <v>1622</v>
      </c>
      <c r="C330" s="56"/>
      <c r="D330" s="72">
        <v>11.1</v>
      </c>
      <c r="E330" s="54">
        <v>0.3593</v>
      </c>
      <c r="F330" s="72">
        <v>1</v>
      </c>
      <c r="G330" s="66">
        <v>8.65</v>
      </c>
      <c r="H330" s="74">
        <f t="shared" ref="H330:H331" si="121">D330*100*F330*250*0.9/E330/G330/1000</f>
        <v>80.3585649038191</v>
      </c>
      <c r="I330" s="164">
        <f>(H330+H331)/2</f>
        <v>80.1009576437254</v>
      </c>
      <c r="J330" s="74">
        <f>(H330-H331)/I330*100</f>
        <v>0.643206442648229</v>
      </c>
    </row>
    <row r="331" spans="2:10">
      <c r="B331" s="55"/>
      <c r="C331" s="56"/>
      <c r="D331" s="72">
        <v>11.1</v>
      </c>
      <c r="E331" s="54">
        <v>0.391</v>
      </c>
      <c r="F331" s="72">
        <v>1</v>
      </c>
      <c r="G331" s="66">
        <v>8</v>
      </c>
      <c r="H331" s="74">
        <f t="shared" si="121"/>
        <v>79.8433503836317</v>
      </c>
      <c r="I331" s="164"/>
      <c r="J331" s="74"/>
    </row>
    <row r="332" spans="2:10">
      <c r="B332" s="55" t="s">
        <v>1623</v>
      </c>
      <c r="C332" s="56"/>
      <c r="D332" s="72">
        <v>11.1</v>
      </c>
      <c r="E332" s="54">
        <v>0.3569</v>
      </c>
      <c r="F332" s="72">
        <v>1</v>
      </c>
      <c r="G332" s="66">
        <v>8.7</v>
      </c>
      <c r="H332" s="74">
        <f t="shared" ref="H332:H335" si="122">D332*100*F332*250*0.9/E332/G332/1000</f>
        <v>80.4340054685462</v>
      </c>
      <c r="I332" s="164">
        <f>(H332+H333)/2</f>
        <v>81.1816525787796</v>
      </c>
      <c r="J332" s="74">
        <f>(H332-H333)/I332*100</f>
        <v>-1.84191153169228</v>
      </c>
    </row>
    <row r="333" spans="2:10">
      <c r="B333" s="55"/>
      <c r="C333" s="56"/>
      <c r="D333" s="72">
        <v>11.1</v>
      </c>
      <c r="E333" s="54">
        <v>0.3629</v>
      </c>
      <c r="F333" s="72">
        <v>1</v>
      </c>
      <c r="G333" s="66">
        <v>8.4</v>
      </c>
      <c r="H333" s="74">
        <f t="shared" si="122"/>
        <v>81.9292996890131</v>
      </c>
      <c r="I333" s="164"/>
      <c r="J333" s="74"/>
    </row>
    <row r="334" spans="2:10">
      <c r="B334" s="55" t="s">
        <v>1624</v>
      </c>
      <c r="C334" s="56"/>
      <c r="D334" s="72">
        <v>11.1</v>
      </c>
      <c r="E334" s="54">
        <v>0.3559</v>
      </c>
      <c r="F334" s="72">
        <v>1</v>
      </c>
      <c r="G334" s="66">
        <v>8.4</v>
      </c>
      <c r="H334" s="74">
        <f t="shared" si="122"/>
        <v>83.5407217115562</v>
      </c>
      <c r="I334" s="164">
        <f>(H334+H335)/2</f>
        <v>83.645424779174</v>
      </c>
      <c r="J334" s="74">
        <f>(H334-H335)/I334*100</f>
        <v>-0.25034977799251</v>
      </c>
    </row>
    <row r="335" spans="2:10">
      <c r="B335" s="55"/>
      <c r="C335" s="56"/>
      <c r="D335" s="72">
        <v>11.1</v>
      </c>
      <c r="E335" s="54">
        <v>0.3659</v>
      </c>
      <c r="F335" s="72">
        <v>1</v>
      </c>
      <c r="G335" s="66">
        <v>8.15</v>
      </c>
      <c r="H335" s="74">
        <f t="shared" si="122"/>
        <v>83.7501278467918</v>
      </c>
      <c r="I335" s="164"/>
      <c r="J335" s="74"/>
    </row>
    <row r="336" spans="2:10">
      <c r="B336" s="55" t="s">
        <v>1625</v>
      </c>
      <c r="C336" s="56"/>
      <c r="D336" s="72">
        <v>11.1</v>
      </c>
      <c r="E336" s="54">
        <v>0.349</v>
      </c>
      <c r="F336" s="72">
        <v>1</v>
      </c>
      <c r="G336" s="66">
        <v>8.6</v>
      </c>
      <c r="H336" s="74">
        <f t="shared" ref="H336:H345" si="123">D336*100*F336*250*0.9/E336/G336/1000</f>
        <v>83.2111681215433</v>
      </c>
      <c r="I336" s="164">
        <f>(H336+H337)/2</f>
        <v>83.1590428558794</v>
      </c>
      <c r="J336" s="74">
        <f>(H336-H337)/I336*100</f>
        <v>0.125362832167816</v>
      </c>
    </row>
    <row r="337" spans="2:10">
      <c r="B337" s="55"/>
      <c r="C337" s="56"/>
      <c r="D337" s="72">
        <v>11.1</v>
      </c>
      <c r="E337" s="54">
        <v>0.3599</v>
      </c>
      <c r="F337" s="72">
        <v>1</v>
      </c>
      <c r="G337" s="66">
        <v>8.35</v>
      </c>
      <c r="H337" s="74">
        <f t="shared" si="123"/>
        <v>83.1069175902155</v>
      </c>
      <c r="I337" s="164"/>
      <c r="J337" s="74"/>
    </row>
    <row r="338" spans="2:10">
      <c r="B338" s="55" t="s">
        <v>1626</v>
      </c>
      <c r="C338" s="56"/>
      <c r="D338" s="72">
        <v>11.1</v>
      </c>
      <c r="E338" s="54">
        <v>0.3624</v>
      </c>
      <c r="F338" s="72">
        <v>1</v>
      </c>
      <c r="G338" s="66">
        <v>8.6</v>
      </c>
      <c r="H338" s="74">
        <f t="shared" si="123"/>
        <v>80.1343754812875</v>
      </c>
      <c r="I338" s="164">
        <f>(H338+H339)/2</f>
        <v>80.1266634306773</v>
      </c>
      <c r="J338" s="74">
        <f>(H338-H339)/I338*100</f>
        <v>0.019249648693914</v>
      </c>
    </row>
    <row r="339" spans="2:10">
      <c r="B339" s="55"/>
      <c r="C339" s="56"/>
      <c r="D339" s="72">
        <v>11.1</v>
      </c>
      <c r="E339" s="54">
        <v>0.3711</v>
      </c>
      <c r="F339" s="72">
        <v>1</v>
      </c>
      <c r="G339" s="66">
        <v>8.4</v>
      </c>
      <c r="H339" s="74">
        <f t="shared" si="123"/>
        <v>80.118951380067</v>
      </c>
      <c r="I339" s="164"/>
      <c r="J339" s="74"/>
    </row>
    <row r="340" spans="2:10">
      <c r="B340" s="55" t="s">
        <v>1627</v>
      </c>
      <c r="C340" s="56"/>
      <c r="D340" s="72">
        <v>11.1</v>
      </c>
      <c r="E340" s="54">
        <v>0.3778</v>
      </c>
      <c r="F340" s="72">
        <v>1</v>
      </c>
      <c r="G340" s="66">
        <v>8.05</v>
      </c>
      <c r="H340" s="74">
        <f t="shared" si="123"/>
        <v>82.1197583919981</v>
      </c>
      <c r="I340" s="164">
        <f>(H340+H341)/2</f>
        <v>82.3412120995768</v>
      </c>
      <c r="J340" s="74">
        <f>(H340-H341)/I340*100</f>
        <v>-0.537892756086334</v>
      </c>
    </row>
    <row r="341" spans="2:10">
      <c r="B341" s="55"/>
      <c r="C341" s="56"/>
      <c r="D341" s="72">
        <v>11.1</v>
      </c>
      <c r="E341" s="54">
        <v>0.3805</v>
      </c>
      <c r="F341" s="72">
        <v>1</v>
      </c>
      <c r="G341" s="66">
        <v>7.95</v>
      </c>
      <c r="H341" s="74">
        <f t="shared" si="123"/>
        <v>82.5626658071554</v>
      </c>
      <c r="I341" s="164"/>
      <c r="J341" s="74"/>
    </row>
    <row r="342" spans="2:10">
      <c r="B342" s="55" t="s">
        <v>1628</v>
      </c>
      <c r="C342" s="56"/>
      <c r="D342" s="72">
        <v>11.1</v>
      </c>
      <c r="E342" s="54">
        <v>0.354</v>
      </c>
      <c r="F342" s="72">
        <v>1</v>
      </c>
      <c r="G342" s="66">
        <v>8.8</v>
      </c>
      <c r="H342" s="74">
        <f t="shared" si="123"/>
        <v>80.1714175654854</v>
      </c>
      <c r="I342" s="164">
        <f>(H342+H343)/2</f>
        <v>79.8791493578714</v>
      </c>
      <c r="J342" s="74">
        <f>(H342-H343)/I342*100</f>
        <v>0.731775963974098</v>
      </c>
    </row>
    <row r="343" spans="2:10">
      <c r="B343" s="55"/>
      <c r="C343" s="56"/>
      <c r="D343" s="72">
        <v>11.1</v>
      </c>
      <c r="E343" s="54">
        <v>0.3566</v>
      </c>
      <c r="F343" s="72">
        <v>1</v>
      </c>
      <c r="G343" s="66">
        <v>8.8</v>
      </c>
      <c r="H343" s="74">
        <f t="shared" si="123"/>
        <v>79.5868811502575</v>
      </c>
      <c r="I343" s="164"/>
      <c r="J343" s="74"/>
    </row>
    <row r="344" spans="2:10">
      <c r="B344" s="55" t="s">
        <v>1629</v>
      </c>
      <c r="C344" s="56"/>
      <c r="D344" s="72">
        <v>11.1</v>
      </c>
      <c r="E344" s="54">
        <v>0.4892</v>
      </c>
      <c r="F344" s="72">
        <v>1</v>
      </c>
      <c r="G344" s="66">
        <v>6.2</v>
      </c>
      <c r="H344" s="74">
        <f t="shared" si="123"/>
        <v>82.343127687073</v>
      </c>
      <c r="I344" s="164">
        <f>(H344+H345)/2</f>
        <v>81.2456949689818</v>
      </c>
      <c r="J344" s="74">
        <f>(H344-H345)/I344*100</f>
        <v>2.70151598434903</v>
      </c>
    </row>
    <row r="345" spans="2:10">
      <c r="B345" s="55"/>
      <c r="C345" s="56"/>
      <c r="D345" s="72">
        <v>11.1</v>
      </c>
      <c r="E345" s="54">
        <v>0.4794</v>
      </c>
      <c r="F345" s="72">
        <v>1</v>
      </c>
      <c r="G345" s="66">
        <v>6.5</v>
      </c>
      <c r="H345" s="74">
        <f t="shared" si="123"/>
        <v>80.1482622508905</v>
      </c>
      <c r="I345" s="164"/>
      <c r="J345" s="74"/>
    </row>
    <row r="346" ht="24" customHeight="1" spans="2:10">
      <c r="B346" s="55" t="s">
        <v>1630</v>
      </c>
      <c r="C346" s="56"/>
      <c r="D346" s="72">
        <v>11.1</v>
      </c>
      <c r="E346" s="54">
        <v>0.3613</v>
      </c>
      <c r="F346" s="72">
        <v>1</v>
      </c>
      <c r="G346" s="66">
        <v>8.2</v>
      </c>
      <c r="H346" s="74">
        <f t="shared" ref="H346:H351" si="124">D346*100*F346*250*0.9/E346/G346/1000</f>
        <v>84.2992445977601</v>
      </c>
      <c r="I346" s="164">
        <f>(H346+H347)/2</f>
        <v>84.1597148135983</v>
      </c>
      <c r="J346" s="74">
        <f>(H346-H347)/I346*100</f>
        <v>0.331583310306712</v>
      </c>
    </row>
    <row r="347" spans="2:10">
      <c r="B347" s="55"/>
      <c r="C347" s="56"/>
      <c r="D347" s="72">
        <v>11.1</v>
      </c>
      <c r="E347" s="54">
        <v>0.3625</v>
      </c>
      <c r="F347" s="72">
        <v>1</v>
      </c>
      <c r="G347" s="66">
        <v>8.2</v>
      </c>
      <c r="H347" s="74">
        <f t="shared" si="124"/>
        <v>84.0201850294365</v>
      </c>
      <c r="I347" s="164"/>
      <c r="J347" s="74"/>
    </row>
    <row r="348" spans="2:10">
      <c r="B348" s="55" t="s">
        <v>1631</v>
      </c>
      <c r="C348" s="56"/>
      <c r="D348" s="72">
        <v>11.1</v>
      </c>
      <c r="E348" s="54">
        <v>0.3544</v>
      </c>
      <c r="F348" s="72">
        <v>1</v>
      </c>
      <c r="G348" s="66">
        <v>8.7</v>
      </c>
      <c r="H348" s="74">
        <f t="shared" si="124"/>
        <v>81.0014011053164</v>
      </c>
      <c r="I348" s="164">
        <f>(H348+H349)/2</f>
        <v>81.3303391919645</v>
      </c>
      <c r="J348" s="74">
        <f>(H348-H349)/I348*100</f>
        <v>-0.808893925480167</v>
      </c>
    </row>
    <row r="349" spans="2:10">
      <c r="B349" s="55"/>
      <c r="C349" s="56"/>
      <c r="D349" s="72">
        <v>11.1</v>
      </c>
      <c r="E349" s="54">
        <v>0.3641</v>
      </c>
      <c r="F349" s="72">
        <v>1</v>
      </c>
      <c r="G349" s="66">
        <v>8.4</v>
      </c>
      <c r="H349" s="74">
        <f t="shared" si="124"/>
        <v>81.6592772786126</v>
      </c>
      <c r="I349" s="164"/>
      <c r="J349" s="74"/>
    </row>
    <row r="350" spans="2:10">
      <c r="B350" s="55" t="s">
        <v>1632</v>
      </c>
      <c r="C350" s="56"/>
      <c r="D350" s="72">
        <v>11.1</v>
      </c>
      <c r="E350" s="54">
        <v>0.3706</v>
      </c>
      <c r="F350" s="72">
        <v>1</v>
      </c>
      <c r="G350" s="66">
        <v>8</v>
      </c>
      <c r="H350" s="74">
        <f t="shared" si="124"/>
        <v>84.2383971937399</v>
      </c>
      <c r="I350" s="164">
        <f>(H350+H351)/2</f>
        <v>84.1816480714051</v>
      </c>
      <c r="J350" s="74">
        <f>(H350-H351)/I350*100</f>
        <v>0.13482540110556</v>
      </c>
    </row>
    <row r="351" spans="2:10">
      <c r="B351" s="55"/>
      <c r="C351" s="56"/>
      <c r="D351" s="72">
        <v>11.1</v>
      </c>
      <c r="E351" s="54">
        <v>0.3711</v>
      </c>
      <c r="F351" s="72">
        <v>1</v>
      </c>
      <c r="G351" s="66">
        <v>8</v>
      </c>
      <c r="H351" s="74">
        <f t="shared" si="124"/>
        <v>84.1248989490703</v>
      </c>
      <c r="I351" s="164"/>
      <c r="J351" s="74"/>
    </row>
    <row r="352" spans="2:10">
      <c r="B352" s="55" t="s">
        <v>1633</v>
      </c>
      <c r="C352" s="56"/>
      <c r="D352" s="72">
        <v>10.8</v>
      </c>
      <c r="E352" s="54">
        <v>0.3679</v>
      </c>
      <c r="F352" s="72">
        <v>1</v>
      </c>
      <c r="G352" s="66">
        <v>8</v>
      </c>
      <c r="H352" s="74">
        <f t="shared" ref="H352:H355" si="125">D352*100*F352*250*0.9/E352/G352/1000</f>
        <v>82.5631965207937</v>
      </c>
      <c r="I352" s="164">
        <f>(H352+H353)/2</f>
        <v>82.0972392171289</v>
      </c>
      <c r="J352" s="74">
        <f>(H352-H353)/I352*100</f>
        <v>1.1351351351351</v>
      </c>
    </row>
    <row r="353" spans="2:10">
      <c r="B353" s="55"/>
      <c r="C353" s="56"/>
      <c r="D353" s="72">
        <v>10.8</v>
      </c>
      <c r="E353" s="54">
        <v>0.3721</v>
      </c>
      <c r="F353" s="72">
        <v>1</v>
      </c>
      <c r="G353" s="66">
        <v>8</v>
      </c>
      <c r="H353" s="74">
        <f t="shared" si="125"/>
        <v>81.6312819134641</v>
      </c>
      <c r="I353" s="164"/>
      <c r="J353" s="74"/>
    </row>
    <row r="354" spans="2:10">
      <c r="B354" s="55" t="s">
        <v>1634</v>
      </c>
      <c r="C354" s="56"/>
      <c r="D354" s="72">
        <v>10.8</v>
      </c>
      <c r="E354" s="54">
        <v>0.5247</v>
      </c>
      <c r="F354" s="72">
        <v>1</v>
      </c>
      <c r="G354" s="66">
        <v>9.6</v>
      </c>
      <c r="H354" s="74">
        <f t="shared" si="125"/>
        <v>48.2418524871355</v>
      </c>
      <c r="I354" s="164">
        <f>(H354+H355)/2</f>
        <v>48.9814820560271</v>
      </c>
      <c r="J354" s="74">
        <f>(H354-H355)/I354*100</f>
        <v>-3.02003752375465</v>
      </c>
    </row>
    <row r="355" spans="2:10">
      <c r="B355" s="55"/>
      <c r="C355" s="56"/>
      <c r="D355" s="72">
        <v>10.8</v>
      </c>
      <c r="E355" s="54">
        <v>0.4987</v>
      </c>
      <c r="F355" s="72">
        <v>1</v>
      </c>
      <c r="G355" s="66">
        <v>9.8</v>
      </c>
      <c r="H355" s="74">
        <f t="shared" si="125"/>
        <v>49.7211116249187</v>
      </c>
      <c r="I355" s="164"/>
      <c r="J355" s="74"/>
    </row>
    <row r="356" spans="2:10">
      <c r="B356" s="55" t="s">
        <v>1635</v>
      </c>
      <c r="C356" s="56"/>
      <c r="D356" s="72">
        <v>10.8</v>
      </c>
      <c r="E356" s="54">
        <v>0.8518</v>
      </c>
      <c r="F356" s="72">
        <v>1</v>
      </c>
      <c r="G356" s="66">
        <v>5.8</v>
      </c>
      <c r="H356" s="74">
        <f t="shared" ref="H356:H357" si="126">D356*100*F356*250*0.9/E356/G356/1000</f>
        <v>49.1859024702253</v>
      </c>
      <c r="I356" s="164">
        <f>(H356+H357)/2</f>
        <v>49.5217553911444</v>
      </c>
      <c r="J356" s="74">
        <f>(H356-H357)/I356*100</f>
        <v>-1.35638536342814</v>
      </c>
    </row>
    <row r="357" spans="2:10">
      <c r="B357" s="55"/>
      <c r="C357" s="56"/>
      <c r="D357" s="72">
        <v>10.8</v>
      </c>
      <c r="E357" s="54">
        <v>0.8056</v>
      </c>
      <c r="F357" s="72">
        <v>1</v>
      </c>
      <c r="G357" s="66">
        <v>6.05</v>
      </c>
      <c r="H357" s="74">
        <f t="shared" si="126"/>
        <v>49.8576083120635</v>
      </c>
      <c r="I357" s="164"/>
      <c r="J357" s="74"/>
    </row>
    <row r="358" ht="10.5" customHeight="1" spans="2:11">
      <c r="B358" s="55" t="s">
        <v>1636</v>
      </c>
      <c r="C358" s="56"/>
      <c r="D358" s="72">
        <v>10.8</v>
      </c>
      <c r="E358" s="54">
        <v>0.822</v>
      </c>
      <c r="F358" s="72">
        <v>2</v>
      </c>
      <c r="G358" s="66">
        <v>7.5</v>
      </c>
      <c r="H358" s="74">
        <f>D358*100*F358*200*0.9/E358/G358/1000</f>
        <v>63.0656934306569</v>
      </c>
      <c r="I358" s="164">
        <f>(H358+H359)/2</f>
        <v>62.5042889425958</v>
      </c>
      <c r="J358" s="74">
        <f>(H358-H359)/I358*100</f>
        <v>1.79637108927603</v>
      </c>
      <c r="K358" s="68" t="s">
        <v>1637</v>
      </c>
    </row>
    <row r="359" spans="2:10">
      <c r="B359" s="55"/>
      <c r="C359" s="56"/>
      <c r="D359" s="72">
        <v>10.8</v>
      </c>
      <c r="E359" s="54">
        <v>0.8369</v>
      </c>
      <c r="F359" s="72">
        <v>2</v>
      </c>
      <c r="G359" s="66">
        <v>7.5</v>
      </c>
      <c r="H359" s="74">
        <f>D359*100*F359*200*0.9/E359/G359/1000</f>
        <v>61.9428844545346</v>
      </c>
      <c r="I359" s="164"/>
      <c r="J359" s="74"/>
    </row>
    <row r="360" spans="2:10">
      <c r="B360" s="55" t="s">
        <v>1638</v>
      </c>
      <c r="C360" s="56"/>
      <c r="D360" s="72">
        <v>10.8</v>
      </c>
      <c r="E360" s="54">
        <v>0.4375</v>
      </c>
      <c r="F360" s="72">
        <v>1</v>
      </c>
      <c r="G360" s="66">
        <v>6.9</v>
      </c>
      <c r="H360" s="74">
        <f t="shared" ref="H360:H369" si="127">D360*100*F360*250*0.9/E360/G360/1000</f>
        <v>80.4968944099379</v>
      </c>
      <c r="I360" s="164">
        <f>(H360+H361)/2</f>
        <v>80.3162491809876</v>
      </c>
      <c r="J360" s="74">
        <f>(H360-H361)/I360*100</f>
        <v>0.449834823693494</v>
      </c>
    </row>
    <row r="361" spans="2:10">
      <c r="B361" s="55"/>
      <c r="C361" s="56"/>
      <c r="D361" s="72">
        <v>10.8</v>
      </c>
      <c r="E361" s="54">
        <v>0.3698</v>
      </c>
      <c r="F361" s="72">
        <v>1</v>
      </c>
      <c r="G361" s="66">
        <v>8.2</v>
      </c>
      <c r="H361" s="74">
        <f t="shared" si="127"/>
        <v>80.1356039520374</v>
      </c>
      <c r="I361" s="164"/>
      <c r="J361" s="74"/>
    </row>
    <row r="362" spans="2:10">
      <c r="B362" s="55" t="s">
        <v>1639</v>
      </c>
      <c r="C362" s="56"/>
      <c r="D362" s="72">
        <v>11</v>
      </c>
      <c r="E362" s="54">
        <v>0.3842</v>
      </c>
      <c r="F362" s="72">
        <v>1</v>
      </c>
      <c r="G362" s="66">
        <v>7.8</v>
      </c>
      <c r="H362" s="74">
        <f t="shared" si="127"/>
        <v>82.5891963320386</v>
      </c>
      <c r="I362" s="164">
        <f>(H362+H363)/2</f>
        <v>82.4458351971446</v>
      </c>
      <c r="J362" s="74">
        <f>(H362-H363)/I362*100</f>
        <v>0.347770471488832</v>
      </c>
    </row>
    <row r="363" spans="2:10">
      <c r="B363" s="55"/>
      <c r="C363" s="56"/>
      <c r="D363" s="72">
        <v>11</v>
      </c>
      <c r="E363" s="54">
        <v>0.3759</v>
      </c>
      <c r="F363" s="72">
        <v>1</v>
      </c>
      <c r="G363" s="66">
        <v>8</v>
      </c>
      <c r="H363" s="74">
        <f t="shared" si="127"/>
        <v>82.3024740622506</v>
      </c>
      <c r="I363" s="164"/>
      <c r="J363" s="74"/>
    </row>
    <row r="364" spans="2:10">
      <c r="B364" s="55" t="s">
        <v>1640</v>
      </c>
      <c r="C364" s="56"/>
      <c r="D364" s="72">
        <v>11</v>
      </c>
      <c r="E364" s="54">
        <v>0.3698</v>
      </c>
      <c r="F364" s="72">
        <v>1</v>
      </c>
      <c r="G364" s="66">
        <v>8</v>
      </c>
      <c r="H364" s="74">
        <f t="shared" si="127"/>
        <v>83.6600865332612</v>
      </c>
      <c r="I364" s="164">
        <f>(H364+H365)/2</f>
        <v>83.4872423880424</v>
      </c>
      <c r="J364" s="74">
        <f>(H364-H365)/I364*100</f>
        <v>0.414061215282316</v>
      </c>
    </row>
    <row r="365" spans="2:10">
      <c r="B365" s="55"/>
      <c r="C365" s="56"/>
      <c r="D365" s="72">
        <v>11</v>
      </c>
      <c r="E365" s="54">
        <v>0.3645</v>
      </c>
      <c r="F365" s="72">
        <v>1</v>
      </c>
      <c r="G365" s="66">
        <v>8.15</v>
      </c>
      <c r="H365" s="74">
        <f t="shared" si="127"/>
        <v>83.3143982428236</v>
      </c>
      <c r="I365" s="164"/>
      <c r="J365" s="74"/>
    </row>
    <row r="366" spans="2:10">
      <c r="B366" s="55" t="s">
        <v>1641</v>
      </c>
      <c r="C366" s="56"/>
      <c r="D366" s="72">
        <v>11</v>
      </c>
      <c r="E366" s="54">
        <v>0.4184</v>
      </c>
      <c r="F366" s="72">
        <v>1</v>
      </c>
      <c r="G366" s="66">
        <v>7.25</v>
      </c>
      <c r="H366" s="74">
        <f t="shared" si="127"/>
        <v>81.5916133711347</v>
      </c>
      <c r="I366" s="164">
        <f>(H366+H367)/2</f>
        <v>82.0926786352302</v>
      </c>
      <c r="J366" s="74">
        <f>(H366-H367)/I366*100</f>
        <v>-1.22073069712329</v>
      </c>
    </row>
    <row r="367" spans="2:10">
      <c r="B367" s="55"/>
      <c r="C367" s="56"/>
      <c r="D367" s="72">
        <v>11</v>
      </c>
      <c r="E367" s="54">
        <v>0.3969</v>
      </c>
      <c r="F367" s="72">
        <v>1</v>
      </c>
      <c r="G367" s="66">
        <v>7.55</v>
      </c>
      <c r="H367" s="74">
        <f t="shared" si="127"/>
        <v>82.5937438993257</v>
      </c>
      <c r="I367" s="164"/>
      <c r="J367" s="74"/>
    </row>
    <row r="368" spans="2:10">
      <c r="B368" s="55" t="s">
        <v>1642</v>
      </c>
      <c r="C368" s="56"/>
      <c r="D368" s="72">
        <v>11</v>
      </c>
      <c r="E368" s="54">
        <v>0.3852</v>
      </c>
      <c r="F368" s="72">
        <v>1</v>
      </c>
      <c r="G368" s="66">
        <v>7.7</v>
      </c>
      <c r="H368" s="74">
        <f t="shared" si="127"/>
        <v>83.4445927903872</v>
      </c>
      <c r="I368" s="164">
        <f>(H368+H369)/2</f>
        <v>83.7292619138396</v>
      </c>
      <c r="J368" s="74">
        <f>(H368-H369)/I368*100</f>
        <v>-0.679975236722724</v>
      </c>
    </row>
    <row r="369" spans="2:10">
      <c r="B369" s="55"/>
      <c r="C369" s="56"/>
      <c r="D369" s="72">
        <v>11</v>
      </c>
      <c r="E369" s="54">
        <v>0.3981</v>
      </c>
      <c r="F369" s="72">
        <v>1</v>
      </c>
      <c r="G369" s="66">
        <v>7.4</v>
      </c>
      <c r="H369" s="74">
        <f t="shared" si="127"/>
        <v>84.013931037292</v>
      </c>
      <c r="I369" s="164"/>
      <c r="J369" s="74"/>
    </row>
    <row r="370" spans="2:10">
      <c r="B370" s="55" t="s">
        <v>1643</v>
      </c>
      <c r="C370" s="56"/>
      <c r="D370" s="72">
        <v>10.9</v>
      </c>
      <c r="E370" s="54">
        <v>2.1007</v>
      </c>
      <c r="F370" s="72">
        <v>1</v>
      </c>
      <c r="G370" s="66">
        <v>11.2</v>
      </c>
      <c r="H370" s="74">
        <f t="shared" ref="H370:H373" si="128">D370*100*F370*250*0.9/E370/G370/1000</f>
        <v>10.4238213112636</v>
      </c>
      <c r="I370" s="164">
        <f>(H370+H371)/2</f>
        <v>10.3632519157643</v>
      </c>
      <c r="J370" s="74">
        <f>(H370-H371)/I370*100</f>
        <v>1.16892643335464</v>
      </c>
    </row>
    <row r="371" spans="2:10">
      <c r="B371" s="55"/>
      <c r="C371" s="56"/>
      <c r="D371" s="72">
        <v>10.9</v>
      </c>
      <c r="E371" s="54">
        <v>2.1254</v>
      </c>
      <c r="F371" s="72">
        <v>1</v>
      </c>
      <c r="G371" s="66">
        <v>11.2</v>
      </c>
      <c r="H371" s="74">
        <f t="shared" si="128"/>
        <v>10.3026825202651</v>
      </c>
      <c r="I371" s="164"/>
      <c r="J371" s="74"/>
    </row>
    <row r="372" spans="2:10">
      <c r="B372" s="55" t="s">
        <v>1644</v>
      </c>
      <c r="C372" s="56"/>
      <c r="D372" s="72">
        <v>10.8</v>
      </c>
      <c r="E372" s="54">
        <v>0.3855</v>
      </c>
      <c r="F372" s="72">
        <v>1</v>
      </c>
      <c r="G372" s="66">
        <v>7.8</v>
      </c>
      <c r="H372" s="74">
        <f t="shared" si="128"/>
        <v>80.8141275067345</v>
      </c>
      <c r="I372" s="164">
        <f>(H372+H373)/2</f>
        <v>80.890735339161</v>
      </c>
      <c r="J372" s="74">
        <f>(H372-H373)/I372*100</f>
        <v>-0.189410646609318</v>
      </c>
    </row>
    <row r="373" spans="2:10">
      <c r="B373" s="55"/>
      <c r="C373" s="56"/>
      <c r="D373" s="72">
        <v>10.8</v>
      </c>
      <c r="E373" s="54">
        <v>0.3799</v>
      </c>
      <c r="F373" s="72">
        <v>1</v>
      </c>
      <c r="G373" s="66">
        <v>7.9</v>
      </c>
      <c r="H373" s="74">
        <f t="shared" si="128"/>
        <v>80.9673431715874</v>
      </c>
      <c r="I373" s="164"/>
      <c r="J373" s="74"/>
    </row>
    <row r="374" ht="18.75" customHeight="1" spans="2:10">
      <c r="B374" s="55" t="s">
        <v>1645</v>
      </c>
      <c r="C374" s="56"/>
      <c r="D374" s="72">
        <v>10.8</v>
      </c>
      <c r="E374" s="54">
        <v>0.3778</v>
      </c>
      <c r="F374" s="72">
        <v>1</v>
      </c>
      <c r="G374" s="66">
        <v>7.95</v>
      </c>
      <c r="H374" s="74">
        <f t="shared" ref="H374:H383" si="129">D374*100*F374*250*0.9/E374/G374/1000</f>
        <v>80.9053407513209</v>
      </c>
      <c r="I374" s="164">
        <f>(H374+H375)/2</f>
        <v>80.766621491262</v>
      </c>
      <c r="J374" s="74">
        <f>(H374-H375)/I374*100</f>
        <v>0.34350640771568</v>
      </c>
    </row>
    <row r="375" ht="36.75" customHeight="1" spans="2:12">
      <c r="B375" s="55"/>
      <c r="C375" s="56"/>
      <c r="D375" s="72">
        <v>10.8</v>
      </c>
      <c r="E375" s="54">
        <v>0.3791</v>
      </c>
      <c r="F375" s="72">
        <v>1</v>
      </c>
      <c r="G375" s="66">
        <v>7.95</v>
      </c>
      <c r="H375" s="74">
        <f t="shared" si="129"/>
        <v>80.627902231203</v>
      </c>
      <c r="I375" s="164"/>
      <c r="J375" s="74"/>
      <c r="K375" s="47">
        <v>84.2</v>
      </c>
      <c r="L375" s="166"/>
    </row>
    <row r="376" ht="15.75" customHeight="1" spans="2:10">
      <c r="B376" s="55" t="s">
        <v>1646</v>
      </c>
      <c r="C376" s="56"/>
      <c r="D376" s="72">
        <v>10.8</v>
      </c>
      <c r="E376" s="54">
        <v>0.4443</v>
      </c>
      <c r="F376" s="72">
        <v>1</v>
      </c>
      <c r="G376" s="66">
        <v>6.7</v>
      </c>
      <c r="H376" s="74">
        <f t="shared" si="129"/>
        <v>81.6310076894394</v>
      </c>
      <c r="I376" s="164">
        <f>(H376+H377)/2</f>
        <v>81.6997475955714</v>
      </c>
      <c r="J376" s="74">
        <f>(H376-H377)/I376*100</f>
        <v>-0.168274463887798</v>
      </c>
    </row>
    <row r="377" ht="15.75" customHeight="1" spans="2:10">
      <c r="B377" s="55"/>
      <c r="C377" s="56"/>
      <c r="D377" s="72">
        <v>10.8</v>
      </c>
      <c r="E377" s="54">
        <v>0.3989</v>
      </c>
      <c r="F377" s="72">
        <v>1</v>
      </c>
      <c r="G377" s="66">
        <v>7.45</v>
      </c>
      <c r="H377" s="74">
        <f t="shared" si="129"/>
        <v>81.7684875017035</v>
      </c>
      <c r="I377" s="164"/>
      <c r="J377" s="74"/>
    </row>
    <row r="378" ht="15.75" customHeight="1" spans="2:10">
      <c r="B378" s="55" t="s">
        <v>1647</v>
      </c>
      <c r="C378" s="56"/>
      <c r="D378" s="72">
        <v>10.8</v>
      </c>
      <c r="E378" s="54">
        <v>0.3461</v>
      </c>
      <c r="F378" s="72">
        <v>1</v>
      </c>
      <c r="G378" s="66">
        <v>8.55</v>
      </c>
      <c r="H378" s="74">
        <f t="shared" si="129"/>
        <v>82.118037074773</v>
      </c>
      <c r="I378" s="164">
        <f>(H378+H379)/2</f>
        <v>82.1774395900181</v>
      </c>
      <c r="J378" s="74">
        <f>(H378-H379)/I378*100</f>
        <v>-0.144571345959248</v>
      </c>
    </row>
    <row r="379" ht="15.75" customHeight="1" spans="2:10">
      <c r="B379" s="55"/>
      <c r="C379" s="56"/>
      <c r="D379" s="72">
        <v>10.8</v>
      </c>
      <c r="E379" s="54">
        <v>0.3456</v>
      </c>
      <c r="F379" s="72">
        <v>1</v>
      </c>
      <c r="G379" s="66">
        <v>8.55</v>
      </c>
      <c r="H379" s="74">
        <f t="shared" si="129"/>
        <v>82.2368421052632</v>
      </c>
      <c r="I379" s="164"/>
      <c r="J379" s="74"/>
    </row>
    <row r="380" ht="15.75" customHeight="1" spans="2:10">
      <c r="B380" s="55" t="s">
        <v>1648</v>
      </c>
      <c r="C380" s="56"/>
      <c r="D380" s="72">
        <v>10.8</v>
      </c>
      <c r="E380" s="54">
        <v>0.3399</v>
      </c>
      <c r="F380" s="72">
        <v>1</v>
      </c>
      <c r="G380" s="66">
        <v>8.65</v>
      </c>
      <c r="H380" s="74">
        <f t="shared" si="129"/>
        <v>82.6492661051278</v>
      </c>
      <c r="I380" s="164">
        <f>(H380+H381)/2</f>
        <v>82.3876064173957</v>
      </c>
      <c r="J380" s="74">
        <f>(H380-H381)/I380*100</f>
        <v>0.635191867103016</v>
      </c>
    </row>
    <row r="381" ht="15.75" customHeight="1" spans="2:10">
      <c r="B381" s="55"/>
      <c r="C381" s="56"/>
      <c r="D381" s="72">
        <v>10.8</v>
      </c>
      <c r="E381" s="54">
        <v>0.3401</v>
      </c>
      <c r="F381" s="72">
        <v>1</v>
      </c>
      <c r="G381" s="66">
        <v>8.7</v>
      </c>
      <c r="H381" s="74">
        <f t="shared" si="129"/>
        <v>82.1259467296637</v>
      </c>
      <c r="I381" s="164"/>
      <c r="J381" s="74"/>
    </row>
    <row r="382" spans="2:12">
      <c r="B382" s="55" t="s">
        <v>1649</v>
      </c>
      <c r="C382" s="56"/>
      <c r="D382" s="72">
        <v>10.8</v>
      </c>
      <c r="E382" s="54">
        <v>0.4057</v>
      </c>
      <c r="F382" s="72">
        <v>1</v>
      </c>
      <c r="G382" s="66">
        <v>7.3</v>
      </c>
      <c r="H382" s="74">
        <f t="shared" si="129"/>
        <v>82.0499660657548</v>
      </c>
      <c r="I382" s="164">
        <f>(H382+H383)/2</f>
        <v>82.4665350957457</v>
      </c>
      <c r="J382" s="74">
        <f>(H382-H383)/I382*100</f>
        <v>-1.01027411787664</v>
      </c>
      <c r="K382" s="58" t="s">
        <v>1650</v>
      </c>
      <c r="L382" s="142">
        <v>97.3</v>
      </c>
    </row>
    <row r="383" ht="22.5" customHeight="1" spans="2:10">
      <c r="B383" s="55"/>
      <c r="C383" s="56"/>
      <c r="D383" s="72">
        <v>10.8</v>
      </c>
      <c r="E383" s="54">
        <v>0.4581</v>
      </c>
      <c r="F383" s="72">
        <v>1</v>
      </c>
      <c r="G383" s="66">
        <v>6.4</v>
      </c>
      <c r="H383" s="74">
        <f t="shared" si="129"/>
        <v>82.8831041257367</v>
      </c>
      <c r="I383" s="164"/>
      <c r="J383" s="74"/>
    </row>
    <row r="384" spans="2:12">
      <c r="B384" s="55" t="s">
        <v>1651</v>
      </c>
      <c r="C384" s="56"/>
      <c r="D384" s="72">
        <v>10.8</v>
      </c>
      <c r="E384" s="54">
        <v>1.0016</v>
      </c>
      <c r="F384" s="72">
        <v>2</v>
      </c>
      <c r="G384" s="66">
        <v>11.25</v>
      </c>
      <c r="H384" s="74">
        <f t="shared" ref="H384:H385" si="130">D384*100*F384*250*0.9/E384/G384/1000</f>
        <v>43.1309904153355</v>
      </c>
      <c r="I384" s="164">
        <f>(H384+H385)/2</f>
        <v>43.0620252430972</v>
      </c>
      <c r="J384" s="74">
        <f>(H384-H385)/I384*100</f>
        <v>0.320306218060782</v>
      </c>
      <c r="K384" s="58" t="s">
        <v>1652</v>
      </c>
      <c r="L384" s="142">
        <v>49.3</v>
      </c>
    </row>
    <row r="385" spans="2:10">
      <c r="B385" s="55"/>
      <c r="C385" s="56"/>
      <c r="D385" s="72">
        <v>10.8</v>
      </c>
      <c r="E385" s="54">
        <v>1.2155</v>
      </c>
      <c r="F385" s="72">
        <v>2</v>
      </c>
      <c r="G385" s="66">
        <v>9.3</v>
      </c>
      <c r="H385" s="74">
        <f t="shared" si="130"/>
        <v>42.9930600708589</v>
      </c>
      <c r="I385" s="164"/>
      <c r="J385" s="74"/>
    </row>
    <row r="386" spans="2:10">
      <c r="B386" s="55" t="s">
        <v>1653</v>
      </c>
      <c r="C386" s="56"/>
      <c r="D386" s="72">
        <v>10.8</v>
      </c>
      <c r="E386" s="54">
        <v>0.3528</v>
      </c>
      <c r="F386" s="72">
        <v>1</v>
      </c>
      <c r="G386" s="66">
        <v>8.3</v>
      </c>
      <c r="H386" s="74">
        <f t="shared" ref="H386:H399" si="131">D386*100*F386*250*0.9/E386/G386/1000</f>
        <v>82.9850012294074</v>
      </c>
      <c r="I386" s="164">
        <f>(H386+H387)/2</f>
        <v>82.8343586505061</v>
      </c>
      <c r="J386" s="74">
        <f>(H386-H387)/I386*100</f>
        <v>0.363720034428971</v>
      </c>
    </row>
    <row r="387" ht="30" customHeight="1" spans="2:10">
      <c r="B387" s="55"/>
      <c r="C387" s="56"/>
      <c r="D387" s="72">
        <v>10.8</v>
      </c>
      <c r="E387" s="54">
        <v>0.3478</v>
      </c>
      <c r="F387" s="72">
        <v>1</v>
      </c>
      <c r="G387" s="66">
        <v>8.45</v>
      </c>
      <c r="H387" s="74">
        <f t="shared" si="131"/>
        <v>82.6837160716048</v>
      </c>
      <c r="I387" s="164"/>
      <c r="J387" s="74"/>
    </row>
    <row r="388" s="141" customFormat="1" spans="2:15">
      <c r="B388" s="167" t="s">
        <v>1654</v>
      </c>
      <c r="C388" s="168"/>
      <c r="D388" s="169">
        <v>10.8</v>
      </c>
      <c r="E388" s="170">
        <v>1.0725</v>
      </c>
      <c r="F388" s="169">
        <v>2.5</v>
      </c>
      <c r="G388" s="171">
        <v>8</v>
      </c>
      <c r="H388" s="172">
        <f t="shared" si="131"/>
        <v>70.8041958041958</v>
      </c>
      <c r="I388" s="184">
        <f>(H388+H389)/2</f>
        <v>70.8041958041958</v>
      </c>
      <c r="J388" s="172">
        <f>(H388-H389)/I388*100</f>
        <v>0</v>
      </c>
      <c r="K388" s="185" t="s">
        <v>1655</v>
      </c>
      <c r="L388" s="186"/>
      <c r="M388" s="187"/>
      <c r="N388" s="188"/>
      <c r="O388" s="189"/>
    </row>
    <row r="389" s="141" customFormat="1" spans="2:15">
      <c r="B389" s="167"/>
      <c r="C389" s="168"/>
      <c r="D389" s="169">
        <v>10.8</v>
      </c>
      <c r="E389" s="170">
        <v>1.0725</v>
      </c>
      <c r="F389" s="169">
        <v>2.5</v>
      </c>
      <c r="G389" s="171">
        <v>8</v>
      </c>
      <c r="H389" s="172">
        <f t="shared" si="131"/>
        <v>70.8041958041958</v>
      </c>
      <c r="I389" s="184"/>
      <c r="J389" s="172"/>
      <c r="K389" s="185"/>
      <c r="L389" s="186"/>
      <c r="M389" s="187"/>
      <c r="N389" s="188"/>
      <c r="O389" s="189"/>
    </row>
    <row r="390" s="141" customFormat="1" spans="2:15">
      <c r="B390" s="167" t="s">
        <v>1656</v>
      </c>
      <c r="C390" s="168"/>
      <c r="D390" s="169">
        <v>10.8</v>
      </c>
      <c r="E390" s="170">
        <v>1.0167</v>
      </c>
      <c r="F390" s="169">
        <v>2</v>
      </c>
      <c r="G390" s="171">
        <v>8</v>
      </c>
      <c r="H390" s="172">
        <f t="shared" si="131"/>
        <v>59.7521392741222</v>
      </c>
      <c r="I390" s="184">
        <f>(H390+H391)/2</f>
        <v>59.7521392741222</v>
      </c>
      <c r="J390" s="172">
        <f>(H390-H391)/I390*100</f>
        <v>0</v>
      </c>
      <c r="K390" s="185" t="s">
        <v>1655</v>
      </c>
      <c r="L390" s="186"/>
      <c r="M390" s="187"/>
      <c r="N390" s="188"/>
      <c r="O390" s="189"/>
    </row>
    <row r="391" s="141" customFormat="1" spans="2:15">
      <c r="B391" s="167"/>
      <c r="C391" s="168"/>
      <c r="D391" s="169">
        <v>10.8</v>
      </c>
      <c r="E391" s="170">
        <v>1.0167</v>
      </c>
      <c r="F391" s="169">
        <v>2</v>
      </c>
      <c r="G391" s="171">
        <v>8</v>
      </c>
      <c r="H391" s="172">
        <f t="shared" si="131"/>
        <v>59.7521392741222</v>
      </c>
      <c r="I391" s="184"/>
      <c r="J391" s="172"/>
      <c r="K391" s="185"/>
      <c r="L391" s="186"/>
      <c r="M391" s="187"/>
      <c r="N391" s="188"/>
      <c r="O391" s="189"/>
    </row>
    <row r="392" s="65" customFormat="1" spans="2:15">
      <c r="B392" s="55" t="s">
        <v>1657</v>
      </c>
      <c r="C392" s="56"/>
      <c r="D392" s="72">
        <v>10.8</v>
      </c>
      <c r="E392" s="162">
        <v>1.7803</v>
      </c>
      <c r="F392" s="72">
        <v>2</v>
      </c>
      <c r="G392" s="66">
        <v>9.45</v>
      </c>
      <c r="H392" s="74">
        <f t="shared" si="131"/>
        <v>28.8875871642821</v>
      </c>
      <c r="I392" s="164">
        <f>(H392+H393)/2</f>
        <v>28.7089027102259</v>
      </c>
      <c r="J392" s="74">
        <f>(H392-H393)/I392*100</f>
        <v>1.24480169694938</v>
      </c>
      <c r="K392" s="58"/>
      <c r="L392" s="166"/>
      <c r="M392" s="190"/>
      <c r="N392" s="191"/>
      <c r="O392" s="192"/>
    </row>
    <row r="393" s="65" customFormat="1" spans="2:15">
      <c r="B393" s="55"/>
      <c r="C393" s="56"/>
      <c r="D393" s="72">
        <v>10.8</v>
      </c>
      <c r="E393" s="162">
        <v>1.8026</v>
      </c>
      <c r="F393" s="72">
        <v>2</v>
      </c>
      <c r="G393" s="66">
        <v>9.45</v>
      </c>
      <c r="H393" s="74">
        <f t="shared" si="131"/>
        <v>28.5302182561697</v>
      </c>
      <c r="I393" s="164"/>
      <c r="J393" s="74"/>
      <c r="K393" s="58"/>
      <c r="L393" s="166"/>
      <c r="M393" s="190"/>
      <c r="N393" s="191"/>
      <c r="O393" s="192"/>
    </row>
    <row r="394" s="141" customFormat="1" spans="2:15">
      <c r="B394" s="167" t="s">
        <v>1658</v>
      </c>
      <c r="C394" s="168"/>
      <c r="D394" s="169">
        <v>10.8</v>
      </c>
      <c r="E394" s="170">
        <v>1.5603</v>
      </c>
      <c r="F394" s="169">
        <v>2</v>
      </c>
      <c r="G394" s="171">
        <v>7.6</v>
      </c>
      <c r="H394" s="172">
        <f t="shared" si="131"/>
        <v>40.9840212914521</v>
      </c>
      <c r="I394" s="184">
        <f>(H394+H395)/2</f>
        <v>40.9840212914521</v>
      </c>
      <c r="J394" s="172">
        <f>(H394-H395)/I394*100</f>
        <v>0</v>
      </c>
      <c r="K394" s="185"/>
      <c r="L394" s="186"/>
      <c r="M394" s="187"/>
      <c r="N394" s="188"/>
      <c r="O394" s="189"/>
    </row>
    <row r="395" s="141" customFormat="1" spans="2:15">
      <c r="B395" s="167"/>
      <c r="C395" s="168"/>
      <c r="D395" s="169">
        <v>10.8</v>
      </c>
      <c r="E395" s="170">
        <v>1.5603</v>
      </c>
      <c r="F395" s="169">
        <v>2</v>
      </c>
      <c r="G395" s="171">
        <v>7.6</v>
      </c>
      <c r="H395" s="172">
        <f t="shared" si="131"/>
        <v>40.9840212914521</v>
      </c>
      <c r="I395" s="184"/>
      <c r="J395" s="172"/>
      <c r="K395" s="185"/>
      <c r="L395" s="186"/>
      <c r="M395" s="187"/>
      <c r="N395" s="188"/>
      <c r="O395" s="189"/>
    </row>
    <row r="396" s="141" customFormat="1" spans="2:15">
      <c r="B396" s="55" t="s">
        <v>1659</v>
      </c>
      <c r="C396" s="56"/>
      <c r="D396" s="72">
        <v>10.8</v>
      </c>
      <c r="E396" s="162">
        <v>0.671</v>
      </c>
      <c r="F396" s="72">
        <v>2</v>
      </c>
      <c r="G396" s="66">
        <v>11.05</v>
      </c>
      <c r="H396" s="74">
        <f t="shared" si="131"/>
        <v>65.5467965014735</v>
      </c>
      <c r="I396" s="164">
        <f>(H396+H397)/2</f>
        <v>65.3604479158143</v>
      </c>
      <c r="J396" s="74">
        <f>(H396-H397)/I396*100</f>
        <v>0.570218202602294</v>
      </c>
      <c r="K396" s="185"/>
      <c r="L396" s="186"/>
      <c r="M396" s="187"/>
      <c r="N396" s="188"/>
      <c r="O396" s="189"/>
    </row>
    <row r="397" spans="2:10">
      <c r="B397" s="55"/>
      <c r="C397" s="56"/>
      <c r="D397" s="72">
        <v>10.8</v>
      </c>
      <c r="E397" s="54">
        <v>0.681</v>
      </c>
      <c r="F397" s="72">
        <v>2</v>
      </c>
      <c r="G397" s="66">
        <v>10.95</v>
      </c>
      <c r="H397" s="74">
        <f t="shared" si="131"/>
        <v>65.1740993301551</v>
      </c>
      <c r="I397" s="164"/>
      <c r="J397" s="74"/>
    </row>
    <row r="398" spans="2:10">
      <c r="B398" s="55" t="s">
        <v>1660</v>
      </c>
      <c r="C398" s="56"/>
      <c r="D398" s="72">
        <v>10.8</v>
      </c>
      <c r="E398" s="54">
        <v>0.3569</v>
      </c>
      <c r="F398" s="72">
        <v>1</v>
      </c>
      <c r="G398" s="66">
        <v>8.3</v>
      </c>
      <c r="H398" s="74">
        <f t="shared" si="131"/>
        <v>82.0316851603669</v>
      </c>
      <c r="I398" s="164">
        <f>(H398+H399)/2</f>
        <v>81.5915839641001</v>
      </c>
      <c r="J398" s="74">
        <f>(H398-H399)/I398*100</f>
        <v>1.07879066659727</v>
      </c>
    </row>
    <row r="399" spans="2:10">
      <c r="B399" s="55"/>
      <c r="C399" s="56"/>
      <c r="D399" s="72">
        <v>10.8</v>
      </c>
      <c r="E399" s="54">
        <v>0.3743</v>
      </c>
      <c r="F399" s="72">
        <v>1</v>
      </c>
      <c r="G399" s="66">
        <v>8</v>
      </c>
      <c r="H399" s="74">
        <f t="shared" si="131"/>
        <v>81.1514827678333</v>
      </c>
      <c r="I399" s="164"/>
      <c r="J399" s="74"/>
    </row>
    <row r="400" spans="2:10">
      <c r="B400" s="55" t="s">
        <v>1661</v>
      </c>
      <c r="C400" s="56"/>
      <c r="D400" s="72">
        <v>10.8</v>
      </c>
      <c r="E400" s="54">
        <v>0.4521</v>
      </c>
      <c r="F400" s="72">
        <v>1</v>
      </c>
      <c r="G400" s="66">
        <v>6.6</v>
      </c>
      <c r="H400" s="74">
        <f t="shared" ref="H400:H403" si="132">D400*100*F400*250*0.9/E400/G400/1000</f>
        <v>81.4381371780177</v>
      </c>
      <c r="I400" s="164">
        <f>(H400+H401)/2</f>
        <v>81.5127833351813</v>
      </c>
      <c r="J400" s="74">
        <f>(H400-H401)/I400*100</f>
        <v>-0.183152026245091</v>
      </c>
    </row>
    <row r="401" spans="2:10">
      <c r="B401" s="55"/>
      <c r="C401" s="56"/>
      <c r="D401" s="72">
        <v>10.8</v>
      </c>
      <c r="E401" s="54">
        <v>0.438</v>
      </c>
      <c r="F401" s="72">
        <v>1</v>
      </c>
      <c r="G401" s="66">
        <v>6.8</v>
      </c>
      <c r="H401" s="74">
        <f t="shared" si="132"/>
        <v>81.5874294923449</v>
      </c>
      <c r="I401" s="164"/>
      <c r="J401" s="74"/>
    </row>
    <row r="402" spans="2:10">
      <c r="B402" s="55" t="s">
        <v>1662</v>
      </c>
      <c r="C402" s="56"/>
      <c r="D402" s="72">
        <v>11</v>
      </c>
      <c r="E402" s="54">
        <v>0.3325</v>
      </c>
      <c r="F402" s="72">
        <v>1</v>
      </c>
      <c r="G402" s="66">
        <v>9.05</v>
      </c>
      <c r="H402" s="74">
        <f t="shared" si="132"/>
        <v>82.2498234536618</v>
      </c>
      <c r="I402" s="164">
        <f>(H402+H403)/2</f>
        <v>82.324167976217</v>
      </c>
      <c r="J402" s="74">
        <f>(H402-H403)/I402*100</f>
        <v>-0.180614087898863</v>
      </c>
    </row>
    <row r="403" spans="2:10">
      <c r="B403" s="55"/>
      <c r="C403" s="56"/>
      <c r="D403" s="72">
        <v>11</v>
      </c>
      <c r="E403" s="54">
        <v>0.3319</v>
      </c>
      <c r="F403" s="72">
        <v>1</v>
      </c>
      <c r="G403" s="66">
        <v>9.05</v>
      </c>
      <c r="H403" s="74">
        <f t="shared" si="132"/>
        <v>82.3985124987723</v>
      </c>
      <c r="I403" s="164"/>
      <c r="J403" s="74"/>
    </row>
    <row r="404" spans="2:10">
      <c r="B404" s="55" t="s">
        <v>1663</v>
      </c>
      <c r="C404" s="56"/>
      <c r="D404" s="72">
        <v>11</v>
      </c>
      <c r="E404" s="54">
        <v>0.3387</v>
      </c>
      <c r="F404" s="72">
        <v>1</v>
      </c>
      <c r="G404" s="66">
        <v>9</v>
      </c>
      <c r="H404" s="74">
        <f t="shared" ref="H404:H405" si="133">D404*100*F404*250*0.9/E404/G404/1000</f>
        <v>81.1927959846472</v>
      </c>
      <c r="I404" s="164">
        <f>(H404+H405)/2</f>
        <v>82.149737369779</v>
      </c>
      <c r="J404" s="74">
        <f>(H404-H405)/I404*100</f>
        <v>-2.32974910394265</v>
      </c>
    </row>
    <row r="405" spans="2:10">
      <c r="B405" s="55"/>
      <c r="C405" s="56"/>
      <c r="D405" s="72">
        <v>11</v>
      </c>
      <c r="E405" s="54">
        <v>0.3309</v>
      </c>
      <c r="F405" s="72">
        <v>1</v>
      </c>
      <c r="G405" s="66">
        <v>9</v>
      </c>
      <c r="H405" s="74">
        <f t="shared" si="133"/>
        <v>83.1066787549108</v>
      </c>
      <c r="I405" s="164"/>
      <c r="J405" s="74"/>
    </row>
    <row r="406" spans="2:10">
      <c r="B406" s="55" t="s">
        <v>1664</v>
      </c>
      <c r="C406" s="56"/>
      <c r="D406" s="72">
        <v>11</v>
      </c>
      <c r="E406" s="54">
        <v>0.3629</v>
      </c>
      <c r="F406" s="72">
        <v>1</v>
      </c>
      <c r="G406" s="66">
        <v>8.3</v>
      </c>
      <c r="H406" s="74">
        <f t="shared" ref="H406:H407" si="134">D406*100*F406*250*0.9/E406/G406/1000</f>
        <v>82.1694050935071</v>
      </c>
      <c r="I406" s="164">
        <f>(H406+H407)/2</f>
        <v>82.1533161699179</v>
      </c>
      <c r="J406" s="74">
        <f>(H406-H407)/I406*100</f>
        <v>0.039168044186841</v>
      </c>
    </row>
    <row r="407" spans="2:10">
      <c r="B407" s="55"/>
      <c r="C407" s="56"/>
      <c r="D407" s="72">
        <v>11</v>
      </c>
      <c r="E407" s="54">
        <v>0.3545</v>
      </c>
      <c r="F407" s="72">
        <v>1</v>
      </c>
      <c r="G407" s="66">
        <v>8.5</v>
      </c>
      <c r="H407" s="74">
        <f t="shared" si="134"/>
        <v>82.1372272463287</v>
      </c>
      <c r="I407" s="164"/>
      <c r="J407" s="74"/>
    </row>
    <row r="408" spans="2:10">
      <c r="B408" s="55" t="s">
        <v>1665</v>
      </c>
      <c r="C408" s="56"/>
      <c r="D408" s="72">
        <v>11</v>
      </c>
      <c r="E408" s="54">
        <v>0.3482</v>
      </c>
      <c r="F408" s="72">
        <v>1</v>
      </c>
      <c r="G408" s="66">
        <v>8.7</v>
      </c>
      <c r="H408" s="74">
        <f t="shared" ref="H408:H409" si="135">D408*100*F408*250*0.9/E408/G408/1000</f>
        <v>81.7009645665392</v>
      </c>
      <c r="I408" s="164">
        <f>(H408+H409)/2</f>
        <v>82.1917776438576</v>
      </c>
      <c r="J408" s="74">
        <f>(H408-H409)/I408*100</f>
        <v>-1.19431186765437</v>
      </c>
    </row>
    <row r="409" spans="2:10">
      <c r="B409" s="55"/>
      <c r="C409" s="56"/>
      <c r="D409" s="72">
        <v>11</v>
      </c>
      <c r="E409" s="54">
        <v>0.3421</v>
      </c>
      <c r="F409" s="72">
        <v>1</v>
      </c>
      <c r="G409" s="66">
        <v>8.75</v>
      </c>
      <c r="H409" s="74">
        <f t="shared" si="135"/>
        <v>82.6825907211759</v>
      </c>
      <c r="I409" s="164"/>
      <c r="J409" s="74"/>
    </row>
    <row r="410" spans="2:10">
      <c r="B410" s="55" t="s">
        <v>1666</v>
      </c>
      <c r="C410" s="56"/>
      <c r="D410" s="72">
        <v>11</v>
      </c>
      <c r="E410" s="54">
        <v>1.547</v>
      </c>
      <c r="F410" s="72">
        <v>1</v>
      </c>
      <c r="G410" s="66">
        <v>10.4</v>
      </c>
      <c r="H410" s="74">
        <f t="shared" ref="H410:H417" si="136">D410*100*F410*250*0.9/E410/G410/1000</f>
        <v>15.3833722838248</v>
      </c>
      <c r="I410" s="164">
        <f>(H410+H411)/2</f>
        <v>15.4900516045114</v>
      </c>
      <c r="J410" s="74">
        <f>(H410-H411)/I410*100</f>
        <v>-1.3773914175416</v>
      </c>
    </row>
    <row r="411" spans="2:10">
      <c r="B411" s="55"/>
      <c r="C411" s="56"/>
      <c r="D411" s="72">
        <v>11</v>
      </c>
      <c r="E411" s="54">
        <v>1.6029</v>
      </c>
      <c r="F411" s="72">
        <v>1</v>
      </c>
      <c r="G411" s="66">
        <v>9.9</v>
      </c>
      <c r="H411" s="74">
        <f t="shared" si="136"/>
        <v>15.5967309251981</v>
      </c>
      <c r="I411" s="164"/>
      <c r="J411" s="74"/>
    </row>
    <row r="412" ht="18" customHeight="1" spans="2:10">
      <c r="B412" s="55" t="s">
        <v>1667</v>
      </c>
      <c r="C412" s="56"/>
      <c r="D412" s="72">
        <v>11</v>
      </c>
      <c r="E412" s="54">
        <v>0.4071</v>
      </c>
      <c r="F412" s="72">
        <v>1</v>
      </c>
      <c r="G412" s="66">
        <v>7.35</v>
      </c>
      <c r="H412" s="74">
        <f t="shared" si="136"/>
        <v>82.7154738092732</v>
      </c>
      <c r="I412" s="164">
        <f>(H412+H413)/2</f>
        <v>83.1877801712672</v>
      </c>
      <c r="J412" s="74">
        <f>(H412-H413)/I412*100</f>
        <v>-1.1355186086746</v>
      </c>
    </row>
    <row r="413" spans="2:10">
      <c r="B413" s="55"/>
      <c r="C413" s="56"/>
      <c r="D413" s="72">
        <v>11</v>
      </c>
      <c r="E413" s="54">
        <v>0.3698</v>
      </c>
      <c r="F413" s="72">
        <v>1</v>
      </c>
      <c r="G413" s="66">
        <v>8</v>
      </c>
      <c r="H413" s="74">
        <f t="shared" si="136"/>
        <v>83.6600865332612</v>
      </c>
      <c r="I413" s="164"/>
      <c r="J413" s="74"/>
    </row>
    <row r="414" spans="2:10">
      <c r="B414" s="55" t="s">
        <v>1668</v>
      </c>
      <c r="C414" s="56"/>
      <c r="D414" s="72">
        <v>11</v>
      </c>
      <c r="E414" s="54">
        <v>0.3882</v>
      </c>
      <c r="F414" s="72">
        <v>1</v>
      </c>
      <c r="G414" s="66">
        <v>7.9</v>
      </c>
      <c r="H414" s="74">
        <f t="shared" si="136"/>
        <v>80.7035392170289</v>
      </c>
      <c r="I414" s="164">
        <f>(H414+H415)/2</f>
        <v>80.9874929243895</v>
      </c>
      <c r="J414" s="74">
        <f>(H414-H415)/I414*100</f>
        <v>-0.701228540623313</v>
      </c>
    </row>
    <row r="415" spans="2:10">
      <c r="B415" s="55"/>
      <c r="C415" s="56"/>
      <c r="D415" s="72">
        <v>11</v>
      </c>
      <c r="E415" s="54">
        <v>0.3955</v>
      </c>
      <c r="F415" s="72">
        <v>1</v>
      </c>
      <c r="G415" s="66">
        <v>7.7</v>
      </c>
      <c r="H415" s="74">
        <f t="shared" si="136"/>
        <v>81.27144663175</v>
      </c>
      <c r="I415" s="164"/>
      <c r="J415" s="74"/>
    </row>
    <row r="416" spans="2:10">
      <c r="B416" s="55" t="s">
        <v>1669</v>
      </c>
      <c r="C416" s="56"/>
      <c r="D416" s="72">
        <v>11</v>
      </c>
      <c r="E416" s="54">
        <v>0.3901</v>
      </c>
      <c r="F416" s="72">
        <v>1</v>
      </c>
      <c r="G416" s="66">
        <v>7.8</v>
      </c>
      <c r="H416" s="74">
        <f t="shared" si="136"/>
        <v>81.3400903121487</v>
      </c>
      <c r="I416" s="164">
        <f>(H416+H417)/2</f>
        <v>81.3189828638356</v>
      </c>
      <c r="J416" s="74">
        <f>(H416-H417)/I416*100</f>
        <v>0.0519127209165459</v>
      </c>
    </row>
    <row r="417" ht="11.25" customHeight="1" spans="2:10">
      <c r="B417" s="55"/>
      <c r="C417" s="56"/>
      <c r="D417" s="72">
        <v>11</v>
      </c>
      <c r="E417" s="54">
        <v>0.3256</v>
      </c>
      <c r="F417" s="72">
        <v>1</v>
      </c>
      <c r="G417" s="66">
        <v>9.35</v>
      </c>
      <c r="H417" s="74">
        <f t="shared" si="136"/>
        <v>81.2978754155225</v>
      </c>
      <c r="I417" s="164"/>
      <c r="J417" s="74"/>
    </row>
    <row r="418" spans="2:10">
      <c r="B418" s="55" t="s">
        <v>1670</v>
      </c>
      <c r="C418" s="56"/>
      <c r="D418" s="72">
        <v>11</v>
      </c>
      <c r="E418" s="54">
        <v>0.3726</v>
      </c>
      <c r="F418" s="72">
        <v>1</v>
      </c>
      <c r="G418" s="66">
        <v>8.12</v>
      </c>
      <c r="H418" s="74">
        <f t="shared" ref="H418:H419" si="137">D418*100*F418*250*0.9/E418/G418/1000</f>
        <v>81.8043359272745</v>
      </c>
      <c r="I418" s="164">
        <f>(H418+H419)/2</f>
        <v>81.6946127084166</v>
      </c>
      <c r="J418" s="74">
        <f>(H418-H419)/I418*100</f>
        <v>0.26861800361172</v>
      </c>
    </row>
    <row r="419" spans="2:10">
      <c r="B419" s="55"/>
      <c r="C419" s="56"/>
      <c r="D419" s="72">
        <v>11</v>
      </c>
      <c r="E419" s="54">
        <v>0.3569</v>
      </c>
      <c r="F419" s="72">
        <v>1</v>
      </c>
      <c r="G419" s="66">
        <v>8.5</v>
      </c>
      <c r="H419" s="74">
        <f t="shared" si="137"/>
        <v>81.5848894895588</v>
      </c>
      <c r="I419" s="164"/>
      <c r="J419" s="74"/>
    </row>
    <row r="420" ht="15" customHeight="1" spans="2:10">
      <c r="B420" s="55" t="s">
        <v>1671</v>
      </c>
      <c r="C420" s="56"/>
      <c r="D420" s="72">
        <v>11</v>
      </c>
      <c r="E420" s="54">
        <v>0.8308</v>
      </c>
      <c r="F420" s="72">
        <v>2</v>
      </c>
      <c r="G420" s="66">
        <v>8.5</v>
      </c>
      <c r="H420" s="74">
        <f t="shared" ref="H420:H427" si="138">D420*100*F420*250*0.9/E420/G420/1000</f>
        <v>70.0954430881645</v>
      </c>
      <c r="I420" s="164">
        <f>(H420+H421)/2</f>
        <v>70.0699022585347</v>
      </c>
      <c r="J420" s="74">
        <f>(H420-H421)/I420*100</f>
        <v>0.0729009997345921</v>
      </c>
    </row>
    <row r="421" ht="24.75" customHeight="1" spans="2:10">
      <c r="B421" s="55"/>
      <c r="C421" s="56"/>
      <c r="D421" s="72">
        <v>11</v>
      </c>
      <c r="E421" s="54">
        <v>0.8566</v>
      </c>
      <c r="F421" s="72">
        <v>2</v>
      </c>
      <c r="G421" s="66">
        <v>8.25</v>
      </c>
      <c r="H421" s="74">
        <f t="shared" si="138"/>
        <v>70.044361428905</v>
      </c>
      <c r="I421" s="164"/>
      <c r="J421" s="74"/>
    </row>
    <row r="422" spans="2:10">
      <c r="B422" s="55" t="s">
        <v>425</v>
      </c>
      <c r="C422" s="56"/>
      <c r="D422" s="72">
        <v>11</v>
      </c>
      <c r="E422" s="54">
        <v>1.9294</v>
      </c>
      <c r="F422" s="72">
        <v>1</v>
      </c>
      <c r="G422" s="66">
        <v>6.45</v>
      </c>
      <c r="H422" s="74">
        <f t="shared" si="138"/>
        <v>19.8880963114211</v>
      </c>
      <c r="I422" s="164">
        <f>(H422+H423)/2</f>
        <v>20.4326695906387</v>
      </c>
      <c r="J422" s="74">
        <f>(H422-H423)/I422*100</f>
        <v>-5.33041731822581</v>
      </c>
    </row>
    <row r="423" spans="2:10">
      <c r="B423" s="55"/>
      <c r="C423" s="56"/>
      <c r="D423" s="72">
        <v>11</v>
      </c>
      <c r="E423" s="54">
        <v>1.6855</v>
      </c>
      <c r="F423" s="72">
        <v>1</v>
      </c>
      <c r="G423" s="66">
        <v>7</v>
      </c>
      <c r="H423" s="74">
        <f t="shared" si="138"/>
        <v>20.9772428698563</v>
      </c>
      <c r="I423" s="164"/>
      <c r="J423" s="74"/>
    </row>
    <row r="424" spans="2:10">
      <c r="B424" s="55" t="s">
        <v>426</v>
      </c>
      <c r="C424" s="56"/>
      <c r="D424" s="72">
        <v>11</v>
      </c>
      <c r="E424" s="54">
        <v>1.5633</v>
      </c>
      <c r="F424" s="72">
        <v>1</v>
      </c>
      <c r="G424" s="66">
        <v>7.1</v>
      </c>
      <c r="H424" s="74">
        <f t="shared" si="138"/>
        <v>22.2984423524451</v>
      </c>
      <c r="I424" s="164">
        <f>(H424+H425)/2</f>
        <v>22.5915299798656</v>
      </c>
      <c r="J424" s="74">
        <f>(H424-H425)/I424*100</f>
        <v>-2.59466824674286</v>
      </c>
    </row>
    <row r="425" spans="2:10">
      <c r="B425" s="55"/>
      <c r="C425" s="56"/>
      <c r="D425" s="72">
        <v>11</v>
      </c>
      <c r="E425" s="54">
        <v>1.3955</v>
      </c>
      <c r="F425" s="72">
        <v>1</v>
      </c>
      <c r="G425" s="66">
        <v>7.75</v>
      </c>
      <c r="H425" s="74">
        <f t="shared" si="138"/>
        <v>22.8846176072861</v>
      </c>
      <c r="I425" s="164"/>
      <c r="J425" s="74"/>
    </row>
    <row r="426" spans="2:10">
      <c r="B426" s="55" t="s">
        <v>427</v>
      </c>
      <c r="C426" s="56"/>
      <c r="D426" s="72">
        <v>11</v>
      </c>
      <c r="E426" s="54">
        <v>2.1465</v>
      </c>
      <c r="F426" s="72">
        <v>1</v>
      </c>
      <c r="G426" s="66">
        <v>6.7</v>
      </c>
      <c r="H426" s="74">
        <f t="shared" si="138"/>
        <v>17.2095497355987</v>
      </c>
      <c r="I426" s="164">
        <f>(H426+H427)/2</f>
        <v>17.3281579755231</v>
      </c>
      <c r="J426" s="74">
        <f>(H426-H427)/I426*100</f>
        <v>-1.36896535790946</v>
      </c>
    </row>
    <row r="427" spans="2:10">
      <c r="B427" s="55"/>
      <c r="C427" s="56"/>
      <c r="D427" s="72">
        <v>11</v>
      </c>
      <c r="E427" s="54">
        <v>2.0122</v>
      </c>
      <c r="F427" s="72">
        <v>1</v>
      </c>
      <c r="G427" s="66">
        <v>7.05</v>
      </c>
      <c r="H427" s="74">
        <f t="shared" si="138"/>
        <v>17.4467662154475</v>
      </c>
      <c r="I427" s="164"/>
      <c r="J427" s="74"/>
    </row>
    <row r="428" spans="2:10">
      <c r="B428" s="55" t="s">
        <v>428</v>
      </c>
      <c r="C428" s="56"/>
      <c r="D428" s="72">
        <v>11</v>
      </c>
      <c r="E428" s="54">
        <v>2.28</v>
      </c>
      <c r="F428" s="72">
        <v>1</v>
      </c>
      <c r="G428" s="66">
        <v>6.6</v>
      </c>
      <c r="H428" s="74">
        <f t="shared" ref="H428:H435" si="139">D428*100*F428*250*0.9/E428/G428/1000</f>
        <v>16.4473684210526</v>
      </c>
      <c r="I428" s="164">
        <f>(H428+H429)/2</f>
        <v>16.7021506186711</v>
      </c>
      <c r="J428" s="74">
        <f>(H428-H429)/I428*100</f>
        <v>-3.05089091142161</v>
      </c>
    </row>
    <row r="429" spans="2:10">
      <c r="B429" s="55"/>
      <c r="C429" s="56"/>
      <c r="D429" s="72">
        <v>11</v>
      </c>
      <c r="E429" s="54">
        <v>1.9205</v>
      </c>
      <c r="F429" s="72">
        <v>1</v>
      </c>
      <c r="G429" s="66">
        <v>7.6</v>
      </c>
      <c r="H429" s="74">
        <f t="shared" si="139"/>
        <v>16.9569328162896</v>
      </c>
      <c r="I429" s="164"/>
      <c r="J429" s="74"/>
    </row>
    <row r="430" spans="1:11">
      <c r="A430">
        <v>11.28</v>
      </c>
      <c r="B430" s="173" t="s">
        <v>1672</v>
      </c>
      <c r="C430" s="174"/>
      <c r="D430" s="175">
        <v>11</v>
      </c>
      <c r="E430" s="176">
        <v>0.4502</v>
      </c>
      <c r="F430" s="175">
        <v>1</v>
      </c>
      <c r="G430" s="177">
        <v>7.8</v>
      </c>
      <c r="H430" s="178">
        <f t="shared" si="139"/>
        <v>70.4814954037522</v>
      </c>
      <c r="I430" s="193">
        <f>(H430+H431)/2</f>
        <v>70.4814954037522</v>
      </c>
      <c r="J430" s="178">
        <f>(H430-H431)/I430*100</f>
        <v>0</v>
      </c>
      <c r="K430" s="175" t="s">
        <v>1655</v>
      </c>
    </row>
    <row r="431" spans="2:11">
      <c r="B431" s="173"/>
      <c r="C431" s="174"/>
      <c r="D431" s="175">
        <v>11</v>
      </c>
      <c r="E431" s="176">
        <v>0.4502</v>
      </c>
      <c r="F431" s="175">
        <v>1</v>
      </c>
      <c r="G431" s="177">
        <v>7.8</v>
      </c>
      <c r="H431" s="178">
        <f t="shared" si="139"/>
        <v>70.4814954037522</v>
      </c>
      <c r="I431" s="193"/>
      <c r="J431" s="178"/>
      <c r="K431" s="194"/>
    </row>
    <row r="432" spans="2:11">
      <c r="B432" s="173" t="s">
        <v>1673</v>
      </c>
      <c r="C432" s="174"/>
      <c r="D432" s="175">
        <v>11</v>
      </c>
      <c r="E432" s="176">
        <v>0.4947</v>
      </c>
      <c r="F432" s="175">
        <v>1</v>
      </c>
      <c r="G432" s="177">
        <v>6.85</v>
      </c>
      <c r="H432" s="178">
        <f t="shared" si="139"/>
        <v>73.0369655575376</v>
      </c>
      <c r="I432" s="193">
        <f>(H432+H433)/2</f>
        <v>73.0369655575376</v>
      </c>
      <c r="J432" s="178">
        <f>(H432-H433)/I432*100</f>
        <v>0</v>
      </c>
      <c r="K432" s="194"/>
    </row>
    <row r="433" spans="2:11">
      <c r="B433" s="173"/>
      <c r="C433" s="174"/>
      <c r="D433" s="175">
        <v>11</v>
      </c>
      <c r="E433" s="176">
        <v>0.4947</v>
      </c>
      <c r="F433" s="175">
        <v>1</v>
      </c>
      <c r="G433" s="177">
        <v>6.85</v>
      </c>
      <c r="H433" s="178">
        <f t="shared" si="139"/>
        <v>73.0369655575376</v>
      </c>
      <c r="I433" s="193"/>
      <c r="J433" s="178"/>
      <c r="K433" s="194"/>
    </row>
    <row r="434" spans="2:11">
      <c r="B434" s="173" t="s">
        <v>1674</v>
      </c>
      <c r="C434" s="174"/>
      <c r="D434" s="175">
        <v>11</v>
      </c>
      <c r="E434" s="176">
        <v>0.4229</v>
      </c>
      <c r="F434" s="175">
        <v>1</v>
      </c>
      <c r="G434" s="177">
        <v>8.3</v>
      </c>
      <c r="H434" s="178">
        <f t="shared" si="139"/>
        <v>70.5114143022789</v>
      </c>
      <c r="I434" s="193">
        <f>(H434+H435)/2</f>
        <v>70.5114143022789</v>
      </c>
      <c r="J434" s="178">
        <f>(H434-H435)/I434*100</f>
        <v>0</v>
      </c>
      <c r="K434" s="194"/>
    </row>
    <row r="435" spans="2:11">
      <c r="B435" s="173"/>
      <c r="C435" s="174"/>
      <c r="D435" s="175">
        <v>11</v>
      </c>
      <c r="E435" s="176">
        <v>0.4229</v>
      </c>
      <c r="F435" s="175">
        <v>1</v>
      </c>
      <c r="G435" s="177">
        <v>8.3</v>
      </c>
      <c r="H435" s="178">
        <f t="shared" si="139"/>
        <v>70.5114143022789</v>
      </c>
      <c r="I435" s="193"/>
      <c r="J435" s="178"/>
      <c r="K435" s="194"/>
    </row>
    <row r="436" spans="2:11">
      <c r="B436" s="173" t="s">
        <v>1675</v>
      </c>
      <c r="C436" s="174"/>
      <c r="D436" s="175">
        <v>11</v>
      </c>
      <c r="E436" s="176">
        <v>0.4684</v>
      </c>
      <c r="F436" s="175">
        <v>1</v>
      </c>
      <c r="G436" s="177">
        <v>8.1</v>
      </c>
      <c r="H436" s="178">
        <f t="shared" ref="H436:H445" si="140">D436*100*F436*250*0.9/E436/G436/1000</f>
        <v>65.2338931587437</v>
      </c>
      <c r="I436" s="193">
        <f>(H436+H437)/2</f>
        <v>65.2338931587437</v>
      </c>
      <c r="J436" s="178">
        <f>(H436-H437)/I436*100</f>
        <v>0</v>
      </c>
      <c r="K436" s="194"/>
    </row>
    <row r="437" spans="2:11">
      <c r="B437" s="173"/>
      <c r="C437" s="174"/>
      <c r="D437" s="175">
        <v>11</v>
      </c>
      <c r="E437" s="176">
        <v>0.4684</v>
      </c>
      <c r="F437" s="175">
        <v>1</v>
      </c>
      <c r="G437" s="177">
        <v>8.1</v>
      </c>
      <c r="H437" s="178">
        <f t="shared" si="140"/>
        <v>65.2338931587437</v>
      </c>
      <c r="I437" s="193"/>
      <c r="J437" s="178"/>
      <c r="K437" s="194"/>
    </row>
    <row r="438" spans="2:11">
      <c r="B438" s="173" t="s">
        <v>1676</v>
      </c>
      <c r="C438" s="174"/>
      <c r="D438" s="175">
        <v>11</v>
      </c>
      <c r="E438" s="176">
        <v>0.4591</v>
      </c>
      <c r="F438" s="175">
        <v>1</v>
      </c>
      <c r="G438" s="177">
        <v>8.05</v>
      </c>
      <c r="H438" s="178">
        <f t="shared" si="140"/>
        <v>66.9687249290064</v>
      </c>
      <c r="I438" s="193">
        <f>(H438+H439)/2</f>
        <v>66.9687249290064</v>
      </c>
      <c r="J438" s="178">
        <f>(H438-H439)/I438*100</f>
        <v>0</v>
      </c>
      <c r="K438" s="194"/>
    </row>
    <row r="439" spans="2:11">
      <c r="B439" s="173"/>
      <c r="C439" s="174"/>
      <c r="D439" s="175">
        <v>11</v>
      </c>
      <c r="E439" s="176">
        <v>0.4591</v>
      </c>
      <c r="F439" s="175">
        <v>1</v>
      </c>
      <c r="G439" s="177">
        <v>8.05</v>
      </c>
      <c r="H439" s="178">
        <f t="shared" si="140"/>
        <v>66.9687249290064</v>
      </c>
      <c r="I439" s="193"/>
      <c r="J439" s="178"/>
      <c r="K439" s="194"/>
    </row>
    <row r="440" spans="2:11">
      <c r="B440" s="173" t="s">
        <v>1677</v>
      </c>
      <c r="C440" s="174"/>
      <c r="D440" s="175">
        <v>11</v>
      </c>
      <c r="E440" s="176">
        <v>0.5179</v>
      </c>
      <c r="F440" s="175">
        <v>1</v>
      </c>
      <c r="G440" s="177">
        <v>6.75</v>
      </c>
      <c r="H440" s="178">
        <f t="shared" si="140"/>
        <v>70.798738495205</v>
      </c>
      <c r="I440" s="193">
        <f>(H440+H441)/2</f>
        <v>70.798738495205</v>
      </c>
      <c r="J440" s="178">
        <f>(H440-H441)/I440*100</f>
        <v>0</v>
      </c>
      <c r="K440" s="194"/>
    </row>
    <row r="441" spans="2:11">
      <c r="B441" s="173"/>
      <c r="C441" s="174"/>
      <c r="D441" s="175">
        <v>11</v>
      </c>
      <c r="E441" s="176">
        <v>0.5179</v>
      </c>
      <c r="F441" s="175">
        <v>1</v>
      </c>
      <c r="G441" s="177">
        <v>6.75</v>
      </c>
      <c r="H441" s="178">
        <f t="shared" si="140"/>
        <v>70.798738495205</v>
      </c>
      <c r="I441" s="193"/>
      <c r="J441" s="178"/>
      <c r="K441" s="194"/>
    </row>
    <row r="442" spans="2:11">
      <c r="B442" s="173" t="s">
        <v>1678</v>
      </c>
      <c r="C442" s="174"/>
      <c r="D442" s="175">
        <v>11</v>
      </c>
      <c r="E442" s="176">
        <v>0.4284</v>
      </c>
      <c r="F442" s="175">
        <v>1</v>
      </c>
      <c r="G442" s="177">
        <v>8.1</v>
      </c>
      <c r="H442" s="178">
        <f t="shared" si="140"/>
        <v>71.324826226787</v>
      </c>
      <c r="I442" s="193">
        <f>(H442+H443)/2</f>
        <v>71.324826226787</v>
      </c>
      <c r="J442" s="178">
        <f>(H442-H443)/I442*100</f>
        <v>0</v>
      </c>
      <c r="K442" s="194"/>
    </row>
    <row r="443" spans="2:11">
      <c r="B443" s="173"/>
      <c r="C443" s="174"/>
      <c r="D443" s="175">
        <v>11</v>
      </c>
      <c r="E443" s="176">
        <v>0.4284</v>
      </c>
      <c r="F443" s="175">
        <v>1</v>
      </c>
      <c r="G443" s="177">
        <v>8.1</v>
      </c>
      <c r="H443" s="178">
        <f t="shared" si="140"/>
        <v>71.324826226787</v>
      </c>
      <c r="I443" s="193"/>
      <c r="J443" s="178"/>
      <c r="K443" s="194"/>
    </row>
    <row r="444" spans="2:11">
      <c r="B444" s="173" t="s">
        <v>1679</v>
      </c>
      <c r="C444" s="174"/>
      <c r="D444" s="175">
        <v>11</v>
      </c>
      <c r="E444" s="176">
        <v>0.5715</v>
      </c>
      <c r="F444" s="175">
        <v>1</v>
      </c>
      <c r="G444" s="177">
        <v>5.96</v>
      </c>
      <c r="H444" s="178">
        <f t="shared" si="140"/>
        <v>72.6628970036464</v>
      </c>
      <c r="I444" s="193">
        <f>(H444+H445)/2</f>
        <v>72.7239582616326</v>
      </c>
      <c r="J444" s="178">
        <f>(H444-H445)/I444*100</f>
        <v>-0.167926112510464</v>
      </c>
      <c r="K444" s="194"/>
    </row>
    <row r="445" spans="2:11">
      <c r="B445" s="173"/>
      <c r="C445" s="174"/>
      <c r="D445" s="175">
        <v>11</v>
      </c>
      <c r="E445" s="176">
        <v>0.5715</v>
      </c>
      <c r="F445" s="175">
        <v>1</v>
      </c>
      <c r="G445" s="177">
        <v>5.95</v>
      </c>
      <c r="H445" s="178">
        <f t="shared" si="140"/>
        <v>72.7850195196189</v>
      </c>
      <c r="I445" s="193"/>
      <c r="J445" s="178"/>
      <c r="K445" s="194"/>
    </row>
    <row r="446" spans="2:11">
      <c r="B446" s="173" t="s">
        <v>1680</v>
      </c>
      <c r="C446" s="174"/>
      <c r="D446" s="175">
        <v>11</v>
      </c>
      <c r="E446" s="176">
        <v>0.4632</v>
      </c>
      <c r="F446" s="175">
        <v>1</v>
      </c>
      <c r="G446" s="177">
        <v>7.6</v>
      </c>
      <c r="H446" s="178">
        <f t="shared" ref="H446:H447" si="141">D446*100*F446*250*0.9/E446/G446/1000</f>
        <v>70.3061085355877</v>
      </c>
      <c r="I446" s="193">
        <f>(H446+H447)/2</f>
        <v>70.3061085355877</v>
      </c>
      <c r="J446" s="178">
        <f>(H446-H447)/I446*100</f>
        <v>0</v>
      </c>
      <c r="K446" s="194"/>
    </row>
    <row r="447" spans="2:11">
      <c r="B447" s="173"/>
      <c r="C447" s="174"/>
      <c r="D447" s="175">
        <v>11</v>
      </c>
      <c r="E447" s="176">
        <v>0.4632</v>
      </c>
      <c r="F447" s="175">
        <v>1</v>
      </c>
      <c r="G447" s="177">
        <v>7.6</v>
      </c>
      <c r="H447" s="178">
        <f t="shared" si="141"/>
        <v>70.3061085355877</v>
      </c>
      <c r="I447" s="193"/>
      <c r="J447" s="178"/>
      <c r="K447" s="194"/>
    </row>
    <row r="448" spans="2:11">
      <c r="B448" s="179" t="s">
        <v>1681</v>
      </c>
      <c r="C448" s="180"/>
      <c r="D448" s="67">
        <v>11</v>
      </c>
      <c r="E448" s="181">
        <v>1.4279</v>
      </c>
      <c r="F448" s="67">
        <v>1</v>
      </c>
      <c r="G448" s="182">
        <v>8.65</v>
      </c>
      <c r="H448" s="183">
        <f t="shared" ref="H448:H449" si="142">D448*100*F448*250*0.9/E448/G448/1000</f>
        <v>20.0383197443839</v>
      </c>
      <c r="I448" s="195">
        <f>(H448+H449)/2</f>
        <v>20.0925347417468</v>
      </c>
      <c r="J448" s="183">
        <f>(H448-H449)/I448*100</f>
        <v>-0.539653140430171</v>
      </c>
      <c r="K448" s="196"/>
    </row>
    <row r="449" spans="2:11">
      <c r="B449" s="179"/>
      <c r="C449" s="180"/>
      <c r="D449" s="67">
        <v>11</v>
      </c>
      <c r="E449" s="181">
        <v>1.3069</v>
      </c>
      <c r="F449" s="67">
        <v>1</v>
      </c>
      <c r="G449" s="182">
        <v>9.4</v>
      </c>
      <c r="H449" s="183">
        <f t="shared" si="142"/>
        <v>20.1467497391098</v>
      </c>
      <c r="I449" s="195"/>
      <c r="J449" s="183"/>
      <c r="K449" s="196"/>
    </row>
    <row r="450" spans="1:14">
      <c r="A450">
        <v>1230</v>
      </c>
      <c r="B450" s="179" t="s">
        <v>1682</v>
      </c>
      <c r="C450" s="180"/>
      <c r="D450" s="67">
        <v>11.1</v>
      </c>
      <c r="E450" s="181">
        <v>0.5917</v>
      </c>
      <c r="F450" s="67">
        <v>1</v>
      </c>
      <c r="G450" s="182">
        <v>6</v>
      </c>
      <c r="H450" s="197">
        <f t="shared" ref="H450:H451" si="143">D450*100*F450*250*0.9/E450/G450/1000</f>
        <v>70.3481494000338</v>
      </c>
      <c r="I450" s="195">
        <f>(H450+H451)/2</f>
        <v>70.6822070931015</v>
      </c>
      <c r="J450" s="183">
        <f>(H450-H451)/I450*100</f>
        <v>-0.945238432149442</v>
      </c>
      <c r="K450" s="196"/>
      <c r="L450" s="198">
        <v>9.31</v>
      </c>
      <c r="M450" s="199">
        <f>N450/(100-L450)*100</f>
        <v>77.957878487154</v>
      </c>
      <c r="N450" s="143">
        <v>70.7</v>
      </c>
    </row>
    <row r="451" spans="2:14">
      <c r="B451" s="179"/>
      <c r="C451" s="180"/>
      <c r="D451" s="67">
        <v>11.1</v>
      </c>
      <c r="E451" s="181">
        <v>0.5024</v>
      </c>
      <c r="F451" s="67">
        <v>1</v>
      </c>
      <c r="G451" s="182">
        <v>7</v>
      </c>
      <c r="H451" s="197">
        <f t="shared" si="143"/>
        <v>71.0162647861693</v>
      </c>
      <c r="I451" s="195"/>
      <c r="J451" s="183"/>
      <c r="K451" s="196"/>
      <c r="L451" s="198"/>
      <c r="M451" s="200"/>
      <c r="N451" s="143"/>
    </row>
    <row r="452" spans="2:14">
      <c r="B452" s="179" t="s">
        <v>1683</v>
      </c>
      <c r="C452" s="180"/>
      <c r="D452" s="67">
        <v>11.1</v>
      </c>
      <c r="E452" s="181">
        <v>0.5482</v>
      </c>
      <c r="F452" s="67">
        <v>1</v>
      </c>
      <c r="G452" s="182">
        <v>6.65</v>
      </c>
      <c r="H452" s="183">
        <f t="shared" ref="H452:H495" si="144">D452*100*F452*250*0.9/E452/G452/1000</f>
        <v>68.5085570548041</v>
      </c>
      <c r="I452" s="195">
        <f t="shared" ref="I452" si="145">(H452+H453)/2</f>
        <v>68.5723822718198</v>
      </c>
      <c r="J452" s="183">
        <f t="shared" ref="J452" si="146">(H452-H453)/I452*100</f>
        <v>-0.186154293904158</v>
      </c>
      <c r="K452" s="196"/>
      <c r="L452" s="198">
        <v>10.4</v>
      </c>
      <c r="M452" s="199">
        <f t="shared" ref="M452" si="147">I452/(100-L452)*100</f>
        <v>76.531676642656</v>
      </c>
      <c r="N452" s="143">
        <v>68.6</v>
      </c>
    </row>
    <row r="453" spans="2:14">
      <c r="B453" s="179"/>
      <c r="C453" s="180"/>
      <c r="D453" s="67">
        <v>11.1</v>
      </c>
      <c r="E453" s="181">
        <v>0.5125</v>
      </c>
      <c r="F453" s="67">
        <v>1</v>
      </c>
      <c r="G453" s="182">
        <v>7.1</v>
      </c>
      <c r="H453" s="183">
        <f t="shared" si="144"/>
        <v>68.6362074888355</v>
      </c>
      <c r="I453" s="195"/>
      <c r="J453" s="183"/>
      <c r="K453" s="196"/>
      <c r="L453" s="198"/>
      <c r="M453" s="200"/>
      <c r="N453" s="143"/>
    </row>
    <row r="454" spans="2:14">
      <c r="B454" s="179" t="s">
        <v>1684</v>
      </c>
      <c r="C454" s="180"/>
      <c r="D454" s="67">
        <v>11.1</v>
      </c>
      <c r="E454" s="181">
        <v>0.534</v>
      </c>
      <c r="F454" s="67">
        <v>1</v>
      </c>
      <c r="G454" s="182">
        <v>6.6</v>
      </c>
      <c r="H454" s="183">
        <f t="shared" si="144"/>
        <v>70.8631256384065</v>
      </c>
      <c r="I454" s="195">
        <f t="shared" ref="I454" si="148">(H454+H455)/2</f>
        <v>70.6244720997038</v>
      </c>
      <c r="J454" s="183">
        <f t="shared" ref="J454" si="149">(H454-H455)/I454*100</f>
        <v>0.675838081637833</v>
      </c>
      <c r="K454" s="196"/>
      <c r="L454" s="198">
        <v>8.49</v>
      </c>
      <c r="M454" s="199">
        <f t="shared" ref="M454" si="150">I454/(100-L454)*100</f>
        <v>77.1767807886611</v>
      </c>
      <c r="N454" s="143">
        <v>70.6</v>
      </c>
    </row>
    <row r="455" spans="2:14">
      <c r="B455" s="179"/>
      <c r="C455" s="180"/>
      <c r="D455" s="67">
        <v>11.1</v>
      </c>
      <c r="E455" s="181">
        <v>0.5069</v>
      </c>
      <c r="F455" s="67">
        <v>1</v>
      </c>
      <c r="G455" s="182">
        <v>7</v>
      </c>
      <c r="H455" s="183">
        <f t="shared" si="144"/>
        <v>70.385818561001</v>
      </c>
      <c r="I455" s="195"/>
      <c r="J455" s="183"/>
      <c r="K455" s="196"/>
      <c r="L455" s="198"/>
      <c r="M455" s="200"/>
      <c r="N455" s="143"/>
    </row>
    <row r="456" spans="2:14">
      <c r="B456" s="179" t="s">
        <v>1685</v>
      </c>
      <c r="C456" s="180"/>
      <c r="D456" s="67">
        <v>11.1</v>
      </c>
      <c r="E456" s="181">
        <v>0.4234</v>
      </c>
      <c r="F456" s="67">
        <v>1</v>
      </c>
      <c r="G456" s="182">
        <v>8.3</v>
      </c>
      <c r="H456" s="183">
        <f t="shared" si="144"/>
        <v>71.0684020920716</v>
      </c>
      <c r="I456" s="195">
        <f t="shared" ref="I456" si="151">(H456+H457)/2</f>
        <v>71.3383940431801</v>
      </c>
      <c r="J456" s="183">
        <f t="shared" ref="J456" si="152">(H456-H457)/I456*100</f>
        <v>-0.756933078546819</v>
      </c>
      <c r="K456" s="196"/>
      <c r="L456" s="198">
        <v>9.32</v>
      </c>
      <c r="M456" s="199">
        <f t="shared" ref="M456" si="153">I456/(100-L456)*100</f>
        <v>78.6704830648214</v>
      </c>
      <c r="N456" s="143">
        <v>71.3</v>
      </c>
    </row>
    <row r="457" spans="2:14">
      <c r="B457" s="179"/>
      <c r="C457" s="180"/>
      <c r="D457" s="67">
        <v>11.1</v>
      </c>
      <c r="E457" s="181">
        <v>0.5129</v>
      </c>
      <c r="F457" s="67">
        <v>1</v>
      </c>
      <c r="G457" s="182">
        <v>6.8</v>
      </c>
      <c r="H457" s="183">
        <f t="shared" si="144"/>
        <v>71.6083859942885</v>
      </c>
      <c r="I457" s="195"/>
      <c r="J457" s="183"/>
      <c r="K457" s="196"/>
      <c r="L457" s="198"/>
      <c r="M457" s="200"/>
      <c r="N457" s="143"/>
    </row>
    <row r="458" spans="2:14">
      <c r="B458" s="179" t="s">
        <v>1686</v>
      </c>
      <c r="C458" s="180"/>
      <c r="D458" s="67">
        <v>11.1</v>
      </c>
      <c r="E458" s="181">
        <v>0.4704</v>
      </c>
      <c r="F458" s="67">
        <v>1</v>
      </c>
      <c r="G458" s="182">
        <v>7.5</v>
      </c>
      <c r="H458" s="183">
        <f t="shared" si="144"/>
        <v>70.7908163265306</v>
      </c>
      <c r="I458" s="195">
        <f t="shared" ref="I458" si="154">(H458+H459)/2</f>
        <v>70.6088105463561</v>
      </c>
      <c r="J458" s="183">
        <f t="shared" ref="J458" si="155">(H458-H459)/I458*100</f>
        <v>0.515532774921972</v>
      </c>
      <c r="K458" s="196"/>
      <c r="L458" s="198">
        <v>11.7</v>
      </c>
      <c r="M458" s="199">
        <f t="shared" ref="M458" si="156">I458/(100-L458)*100</f>
        <v>79.9646778554429</v>
      </c>
      <c r="N458" s="143">
        <v>70.6</v>
      </c>
    </row>
    <row r="459" spans="2:14">
      <c r="B459" s="179"/>
      <c r="C459" s="180"/>
      <c r="D459" s="67">
        <v>11.1</v>
      </c>
      <c r="E459" s="181">
        <v>0.4697</v>
      </c>
      <c r="F459" s="67">
        <v>1</v>
      </c>
      <c r="G459" s="182">
        <v>7.55</v>
      </c>
      <c r="H459" s="183">
        <f t="shared" si="144"/>
        <v>70.4268047661816</v>
      </c>
      <c r="I459" s="195"/>
      <c r="J459" s="183"/>
      <c r="K459" s="196"/>
      <c r="L459" s="198"/>
      <c r="M459" s="200"/>
      <c r="N459" s="143"/>
    </row>
    <row r="460" spans="2:14">
      <c r="B460" s="179" t="s">
        <v>1687</v>
      </c>
      <c r="C460" s="180"/>
      <c r="D460" s="67">
        <v>11.1</v>
      </c>
      <c r="E460" s="181">
        <v>0.4456</v>
      </c>
      <c r="F460" s="67">
        <v>1</v>
      </c>
      <c r="G460" s="182">
        <v>8.2</v>
      </c>
      <c r="H460" s="183">
        <f t="shared" si="144"/>
        <v>68.3512501642072</v>
      </c>
      <c r="I460" s="195">
        <f t="shared" ref="I460" si="157">(H460+H461)/2</f>
        <v>68.419383051747</v>
      </c>
      <c r="J460" s="183">
        <f t="shared" ref="J460" si="158">(H460-H461)/I460*100</f>
        <v>-0.19916253114481</v>
      </c>
      <c r="K460" s="196"/>
      <c r="L460" s="198">
        <v>12.3</v>
      </c>
      <c r="M460" s="199">
        <f t="shared" ref="M460" si="159">I460/(100-L460)*100</f>
        <v>78.0152600361995</v>
      </c>
      <c r="N460" s="143">
        <v>68.4</v>
      </c>
    </row>
    <row r="461" spans="2:14">
      <c r="B461" s="179"/>
      <c r="C461" s="180"/>
      <c r="D461" s="67">
        <v>11.1</v>
      </c>
      <c r="E461" s="181">
        <v>0.453</v>
      </c>
      <c r="F461" s="67">
        <v>1</v>
      </c>
      <c r="G461" s="182">
        <v>8.05</v>
      </c>
      <c r="H461" s="183">
        <f t="shared" si="144"/>
        <v>68.4875159392867</v>
      </c>
      <c r="I461" s="195"/>
      <c r="J461" s="183"/>
      <c r="K461" s="196"/>
      <c r="L461" s="198"/>
      <c r="M461" s="200"/>
      <c r="N461" s="143"/>
    </row>
    <row r="462" spans="2:14">
      <c r="B462" s="179" t="s">
        <v>1688</v>
      </c>
      <c r="C462" s="180"/>
      <c r="D462" s="67">
        <v>11.1</v>
      </c>
      <c r="E462" s="181">
        <v>0.5165</v>
      </c>
      <c r="F462" s="67">
        <v>1</v>
      </c>
      <c r="G462" s="182">
        <v>6.9</v>
      </c>
      <c r="H462" s="183">
        <f t="shared" si="144"/>
        <v>70.0787070162886</v>
      </c>
      <c r="I462" s="195">
        <f t="shared" ref="I462" si="160">(H462+H463)/2</f>
        <v>70.1002520779123</v>
      </c>
      <c r="J462" s="183">
        <f t="shared" ref="J462" si="161">(H462-H463)/I462*100</f>
        <v>-0.0614692843038813</v>
      </c>
      <c r="K462" s="196"/>
      <c r="L462" s="198">
        <v>10.4</v>
      </c>
      <c r="M462" s="199">
        <f t="shared" ref="M462" si="162">I462/(100-L462)*100</f>
        <v>78.2368884798129</v>
      </c>
      <c r="N462" s="143">
        <v>70.1</v>
      </c>
    </row>
    <row r="463" spans="2:14">
      <c r="B463" s="179"/>
      <c r="C463" s="180"/>
      <c r="D463" s="67">
        <v>11.1</v>
      </c>
      <c r="E463" s="181">
        <v>0.5052</v>
      </c>
      <c r="F463" s="67">
        <v>1</v>
      </c>
      <c r="G463" s="182">
        <v>7.05</v>
      </c>
      <c r="H463" s="183">
        <f t="shared" si="144"/>
        <v>70.1217971395361</v>
      </c>
      <c r="I463" s="195"/>
      <c r="J463" s="183"/>
      <c r="K463" s="196"/>
      <c r="L463" s="198"/>
      <c r="M463" s="200"/>
      <c r="N463" s="143"/>
    </row>
    <row r="464" spans="2:14">
      <c r="B464" s="179" t="s">
        <v>1689</v>
      </c>
      <c r="C464" s="180"/>
      <c r="D464" s="67">
        <v>11.1</v>
      </c>
      <c r="E464" s="181">
        <v>0.4192</v>
      </c>
      <c r="F464" s="67">
        <v>1</v>
      </c>
      <c r="G464" s="182">
        <v>8.4</v>
      </c>
      <c r="H464" s="183">
        <f t="shared" si="144"/>
        <v>70.925913304253</v>
      </c>
      <c r="I464" s="195">
        <f t="shared" ref="I464" si="163">(H464+H465)/2</f>
        <v>70.5852906595461</v>
      </c>
      <c r="J464" s="183">
        <f t="shared" ref="J464" si="164">(H464-H465)/I464*100</f>
        <v>0.965137754691071</v>
      </c>
      <c r="K464" s="196"/>
      <c r="L464" s="198">
        <v>9.44</v>
      </c>
      <c r="M464" s="199">
        <f t="shared" ref="M464" si="165">I464/(100-L464)*100</f>
        <v>77.9431213113363</v>
      </c>
      <c r="N464" s="143">
        <v>70.6</v>
      </c>
    </row>
    <row r="465" spans="2:14">
      <c r="B465" s="179"/>
      <c r="C465" s="180"/>
      <c r="D465" s="67">
        <v>11.1</v>
      </c>
      <c r="E465" s="181">
        <v>0.4258</v>
      </c>
      <c r="F465" s="67">
        <v>1</v>
      </c>
      <c r="G465" s="182">
        <v>8.35</v>
      </c>
      <c r="H465" s="183">
        <f t="shared" si="144"/>
        <v>70.2446680148393</v>
      </c>
      <c r="I465" s="195"/>
      <c r="J465" s="183"/>
      <c r="K465" s="196"/>
      <c r="L465" s="198"/>
      <c r="M465" s="200"/>
      <c r="N465" s="143"/>
    </row>
    <row r="466" spans="2:14">
      <c r="B466" s="179" t="s">
        <v>1690</v>
      </c>
      <c r="C466" s="180"/>
      <c r="D466" s="67">
        <v>11.1</v>
      </c>
      <c r="E466" s="181">
        <v>0.4492</v>
      </c>
      <c r="F466" s="67">
        <v>1</v>
      </c>
      <c r="G466" s="182">
        <v>8.2</v>
      </c>
      <c r="H466" s="183">
        <f t="shared" si="144"/>
        <v>67.8034663249571</v>
      </c>
      <c r="I466" s="195">
        <f t="shared" ref="I466" si="166">(H466+H467)/2</f>
        <v>67.6583932602816</v>
      </c>
      <c r="J466" s="183">
        <f t="shared" ref="J466" si="167">(H466-H467)/I466*100</f>
        <v>0.428839816273426</v>
      </c>
      <c r="K466" s="196"/>
      <c r="L466" s="198">
        <v>8.33</v>
      </c>
      <c r="M466" s="199">
        <f t="shared" ref="M466" si="168">I466/(100-L466)*100</f>
        <v>73.8064724122195</v>
      </c>
      <c r="N466" s="143">
        <v>67.7</v>
      </c>
    </row>
    <row r="467" spans="2:14">
      <c r="B467" s="179"/>
      <c r="C467" s="180"/>
      <c r="D467" s="67">
        <v>11.1</v>
      </c>
      <c r="E467" s="181">
        <v>0.4567</v>
      </c>
      <c r="F467" s="67">
        <v>1</v>
      </c>
      <c r="G467" s="182">
        <v>8.1</v>
      </c>
      <c r="H467" s="183">
        <f t="shared" si="144"/>
        <v>67.5133201956062</v>
      </c>
      <c r="I467" s="195"/>
      <c r="J467" s="183"/>
      <c r="K467" s="196"/>
      <c r="L467" s="198"/>
      <c r="M467" s="200"/>
      <c r="N467" s="143"/>
    </row>
    <row r="468" spans="2:14">
      <c r="B468" s="179" t="s">
        <v>1691</v>
      </c>
      <c r="C468" s="180"/>
      <c r="D468" s="67">
        <v>11.1</v>
      </c>
      <c r="E468" s="181">
        <v>0.4435</v>
      </c>
      <c r="F468" s="67">
        <v>1</v>
      </c>
      <c r="G468" s="182">
        <v>8</v>
      </c>
      <c r="H468" s="183">
        <f t="shared" si="144"/>
        <v>70.3917700112739</v>
      </c>
      <c r="I468" s="195">
        <f t="shared" ref="I468" si="169">(H468+H469)/2</f>
        <v>70.5128111108906</v>
      </c>
      <c r="J468" s="183">
        <f t="shared" ref="J468" si="170">(H468-H469)/I468*100</f>
        <v>-0.34331661923475</v>
      </c>
      <c r="K468" s="196"/>
      <c r="L468" s="198">
        <v>8.42</v>
      </c>
      <c r="M468" s="199">
        <f t="shared" ref="M468" si="171">I468/(100-L468)*100</f>
        <v>76.9958627548489</v>
      </c>
      <c r="N468" s="143">
        <v>70.5</v>
      </c>
    </row>
    <row r="469" spans="2:14">
      <c r="B469" s="179"/>
      <c r="C469" s="180"/>
      <c r="D469" s="67">
        <v>11.1</v>
      </c>
      <c r="E469" s="181">
        <v>0.4592</v>
      </c>
      <c r="F469" s="67">
        <v>1</v>
      </c>
      <c r="G469" s="182">
        <v>7.7</v>
      </c>
      <c r="H469" s="183">
        <f t="shared" si="144"/>
        <v>70.6338522105072</v>
      </c>
      <c r="I469" s="195"/>
      <c r="J469" s="183"/>
      <c r="K469" s="196"/>
      <c r="L469" s="198"/>
      <c r="M469" s="200"/>
      <c r="N469" s="143"/>
    </row>
    <row r="470" spans="1:14">
      <c r="A470">
        <v>12.31</v>
      </c>
      <c r="B470" s="179" t="s">
        <v>1692</v>
      </c>
      <c r="C470" s="180"/>
      <c r="D470" s="67">
        <v>11.1</v>
      </c>
      <c r="E470" s="181">
        <v>0.4473</v>
      </c>
      <c r="F470" s="67">
        <v>1</v>
      </c>
      <c r="G470" s="182">
        <v>7.8</v>
      </c>
      <c r="H470" s="183">
        <f t="shared" si="144"/>
        <v>71.5833462312336</v>
      </c>
      <c r="I470" s="195">
        <f t="shared" ref="I470" si="172">(H470+H471)/2</f>
        <v>70.5460753398985</v>
      </c>
      <c r="J470" s="183">
        <f t="shared" ref="J470" si="173">(H470-H471)/I470*100</f>
        <v>2.94069056666118</v>
      </c>
      <c r="K470" s="196"/>
      <c r="L470" s="198">
        <v>9.69</v>
      </c>
      <c r="M470" s="199">
        <f t="shared" ref="M470" si="174">I470/(100-L470)*100</f>
        <v>78.1154637801999</v>
      </c>
      <c r="N470" s="143">
        <v>70.5</v>
      </c>
    </row>
    <row r="471" spans="2:14">
      <c r="B471" s="179"/>
      <c r="C471" s="180"/>
      <c r="D471" s="67">
        <v>11.1</v>
      </c>
      <c r="E471" s="181">
        <v>0.4329</v>
      </c>
      <c r="F471" s="67">
        <v>1</v>
      </c>
      <c r="G471" s="182">
        <v>8.3</v>
      </c>
      <c r="H471" s="183">
        <f t="shared" si="144"/>
        <v>69.5088044485635</v>
      </c>
      <c r="I471" s="195"/>
      <c r="J471" s="183"/>
      <c r="K471" s="196"/>
      <c r="L471" s="198"/>
      <c r="M471" s="200"/>
      <c r="N471" s="143"/>
    </row>
    <row r="472" spans="2:14">
      <c r="B472" s="179" t="s">
        <v>1693</v>
      </c>
      <c r="C472" s="180"/>
      <c r="D472" s="67">
        <v>11.1</v>
      </c>
      <c r="E472" s="181">
        <v>0.4874</v>
      </c>
      <c r="F472" s="67">
        <v>1</v>
      </c>
      <c r="G472" s="182">
        <v>7.35</v>
      </c>
      <c r="H472" s="183">
        <f t="shared" si="144"/>
        <v>69.7160275681877</v>
      </c>
      <c r="I472" s="195">
        <f t="shared" ref="I472" si="175">(H472+H473)/2</f>
        <v>69.4591071647904</v>
      </c>
      <c r="J472" s="183">
        <f t="shared" ref="J472" si="176">(H472-H473)/I472*100</f>
        <v>0.739774563435697</v>
      </c>
      <c r="K472" s="196"/>
      <c r="L472" s="198">
        <v>11.2</v>
      </c>
      <c r="M472" s="199" t="e">
        <f>I472/(100-O518L472)*100</f>
        <v>#NAME?</v>
      </c>
      <c r="N472" s="143">
        <v>69.5</v>
      </c>
    </row>
    <row r="473" spans="2:14">
      <c r="B473" s="179"/>
      <c r="C473" s="180"/>
      <c r="D473" s="67">
        <v>11.1</v>
      </c>
      <c r="E473" s="181">
        <v>0.4687</v>
      </c>
      <c r="F473" s="67">
        <v>1</v>
      </c>
      <c r="G473" s="182">
        <v>7.7</v>
      </c>
      <c r="H473" s="183">
        <f t="shared" si="144"/>
        <v>69.2021867613931</v>
      </c>
      <c r="I473" s="195"/>
      <c r="J473" s="183"/>
      <c r="K473" s="196"/>
      <c r="L473" s="198"/>
      <c r="M473" s="200"/>
      <c r="N473" s="143"/>
    </row>
    <row r="474" spans="2:14">
      <c r="B474" s="179" t="s">
        <v>1694</v>
      </c>
      <c r="C474" s="180"/>
      <c r="D474" s="67">
        <v>11.1</v>
      </c>
      <c r="E474" s="181">
        <v>0.4453</v>
      </c>
      <c r="F474" s="67">
        <v>1</v>
      </c>
      <c r="G474" s="182">
        <v>7.65</v>
      </c>
      <c r="H474" s="183">
        <f t="shared" si="144"/>
        <v>73.3147514563876</v>
      </c>
      <c r="I474" s="195">
        <f t="shared" ref="I474" si="177">(H474+H475)/2</f>
        <v>73.8204528160966</v>
      </c>
      <c r="J474" s="183">
        <f t="shared" ref="J474" si="178">(H474-H475)/I474*100</f>
        <v>-1.37008468633693</v>
      </c>
      <c r="K474" s="196"/>
      <c r="L474" s="198">
        <v>9.77</v>
      </c>
      <c r="M474" s="199">
        <f t="shared" ref="M474" si="179">I474/(100-L474)*100</f>
        <v>81.813646033577</v>
      </c>
      <c r="N474" s="143">
        <v>73.8</v>
      </c>
    </row>
    <row r="475" spans="2:14">
      <c r="B475" s="179"/>
      <c r="C475" s="180"/>
      <c r="D475" s="67">
        <v>11.1</v>
      </c>
      <c r="E475" s="181">
        <v>0.4603</v>
      </c>
      <c r="F475" s="67">
        <v>1</v>
      </c>
      <c r="G475" s="182">
        <v>7.3</v>
      </c>
      <c r="H475" s="183">
        <f t="shared" si="144"/>
        <v>74.3261541758055</v>
      </c>
      <c r="I475" s="195"/>
      <c r="J475" s="183"/>
      <c r="K475" s="196"/>
      <c r="L475" s="198"/>
      <c r="M475" s="200"/>
      <c r="N475" s="143"/>
    </row>
    <row r="476" spans="2:14">
      <c r="B476" s="179" t="s">
        <v>1695</v>
      </c>
      <c r="C476" s="180"/>
      <c r="D476" s="67">
        <v>11.1</v>
      </c>
      <c r="E476" s="181">
        <v>0.428</v>
      </c>
      <c r="F476" s="67">
        <v>1</v>
      </c>
      <c r="G476" s="182">
        <v>7.9</v>
      </c>
      <c r="H476" s="183">
        <f t="shared" si="144"/>
        <v>73.8643085295161</v>
      </c>
      <c r="I476" s="195">
        <f t="shared" ref="I476" si="180">(H476+H477)/2</f>
        <v>73.111971214441</v>
      </c>
      <c r="J476" s="183">
        <f t="shared" ref="J476" si="181">(H476-H477)/I476*100</f>
        <v>2.05804139206843</v>
      </c>
      <c r="K476" s="196"/>
      <c r="L476" s="198">
        <v>9.78</v>
      </c>
      <c r="M476" s="199">
        <f t="shared" ref="M476" si="182">I476/(100-L476)*100</f>
        <v>81.0374320709831</v>
      </c>
      <c r="N476" s="143">
        <v>73.1</v>
      </c>
    </row>
    <row r="477" spans="2:14">
      <c r="B477" s="179"/>
      <c r="C477" s="180"/>
      <c r="D477" s="67">
        <v>11.1</v>
      </c>
      <c r="E477" s="181">
        <v>0.4369</v>
      </c>
      <c r="F477" s="67">
        <v>1</v>
      </c>
      <c r="G477" s="182">
        <v>7.9</v>
      </c>
      <c r="H477" s="183">
        <f t="shared" si="144"/>
        <v>72.3596338993658</v>
      </c>
      <c r="I477" s="195"/>
      <c r="J477" s="183"/>
      <c r="K477" s="196"/>
      <c r="L477" s="198"/>
      <c r="M477" s="200"/>
      <c r="N477" s="143"/>
    </row>
    <row r="478" spans="2:14">
      <c r="B478" s="179" t="s">
        <v>1696</v>
      </c>
      <c r="C478" s="180"/>
      <c r="D478" s="67">
        <v>11.1</v>
      </c>
      <c r="E478" s="181">
        <v>0.4455</v>
      </c>
      <c r="F478" s="67">
        <v>1</v>
      </c>
      <c r="G478" s="182">
        <v>8.1</v>
      </c>
      <c r="H478" s="183">
        <f t="shared" si="144"/>
        <v>69.2106247661803</v>
      </c>
      <c r="I478" s="195">
        <f t="shared" ref="I478" si="183">(H478+H479)/2</f>
        <v>69.6032244195693</v>
      </c>
      <c r="J478" s="183">
        <f t="shared" ref="J478" si="184">(H478-H479)/I478*100</f>
        <v>-1.12810766070935</v>
      </c>
      <c r="K478" s="196"/>
      <c r="L478" s="198">
        <v>10.4</v>
      </c>
      <c r="M478" s="199">
        <f t="shared" ref="M478" si="185">I478/(100-L478)*100</f>
        <v>77.6821701111264</v>
      </c>
      <c r="N478" s="143">
        <v>69.9</v>
      </c>
    </row>
    <row r="479" spans="2:14">
      <c r="B479" s="179"/>
      <c r="C479" s="180"/>
      <c r="D479" s="67">
        <v>11.1</v>
      </c>
      <c r="E479" s="181">
        <v>0.4378</v>
      </c>
      <c r="F479" s="67">
        <v>1</v>
      </c>
      <c r="G479" s="182">
        <v>8.15</v>
      </c>
      <c r="H479" s="183">
        <f t="shared" si="144"/>
        <v>69.9958240729582</v>
      </c>
      <c r="I479" s="195"/>
      <c r="J479" s="183"/>
      <c r="K479" s="196"/>
      <c r="L479" s="198"/>
      <c r="M479" s="200"/>
      <c r="N479" s="143"/>
    </row>
    <row r="480" spans="2:14">
      <c r="B480" s="179" t="s">
        <v>1697</v>
      </c>
      <c r="C480" s="180"/>
      <c r="D480" s="67">
        <v>11.1</v>
      </c>
      <c r="E480" s="181">
        <v>0.4071</v>
      </c>
      <c r="F480" s="67">
        <v>1</v>
      </c>
      <c r="G480" s="182">
        <v>9</v>
      </c>
      <c r="H480" s="183">
        <f t="shared" si="144"/>
        <v>68.1650700073692</v>
      </c>
      <c r="I480" s="195">
        <f t="shared" ref="I480" si="186">(H480+H481)/2</f>
        <v>68.273693354952</v>
      </c>
      <c r="J480" s="183">
        <f t="shared" ref="J480" si="187">(H480-H481)/I480*100</f>
        <v>-0.318199711323991</v>
      </c>
      <c r="K480" s="196"/>
      <c r="L480" s="198">
        <v>10.6</v>
      </c>
      <c r="M480" s="199">
        <f t="shared" ref="M480" si="188">I480/(100-L480)*100</f>
        <v>76.3687845133692</v>
      </c>
      <c r="N480" s="143">
        <v>68.3</v>
      </c>
    </row>
    <row r="481" spans="2:14">
      <c r="B481" s="179"/>
      <c r="C481" s="180"/>
      <c r="D481" s="67">
        <v>11.1</v>
      </c>
      <c r="E481" s="181">
        <v>0.4198</v>
      </c>
      <c r="F481" s="67">
        <v>1</v>
      </c>
      <c r="G481" s="182">
        <v>8.7</v>
      </c>
      <c r="H481" s="183">
        <f t="shared" si="144"/>
        <v>68.3823167025349</v>
      </c>
      <c r="I481" s="195"/>
      <c r="J481" s="183"/>
      <c r="K481" s="196"/>
      <c r="L481" s="198"/>
      <c r="M481" s="200"/>
      <c r="N481" s="143"/>
    </row>
    <row r="482" spans="2:14">
      <c r="B482" s="179" t="s">
        <v>1698</v>
      </c>
      <c r="C482" s="180"/>
      <c r="D482" s="67">
        <v>11.1</v>
      </c>
      <c r="E482" s="181">
        <v>0.4014</v>
      </c>
      <c r="F482" s="67">
        <v>1</v>
      </c>
      <c r="G482" s="182">
        <v>8.7</v>
      </c>
      <c r="H482" s="183">
        <f t="shared" si="144"/>
        <v>71.5169321169012</v>
      </c>
      <c r="I482" s="195">
        <f t="shared" ref="I482" si="189">(H482+H483)/2</f>
        <v>71.0013349338115</v>
      </c>
      <c r="J482" s="183">
        <f t="shared" ref="J482" si="190">(H482-H483)/I482*100</f>
        <v>1.45235912414987</v>
      </c>
      <c r="K482" s="196"/>
      <c r="L482" s="198">
        <v>10.6</v>
      </c>
      <c r="M482" s="199">
        <f t="shared" ref="M482" si="191">I482/(100-L482)*100</f>
        <v>79.4198377335699</v>
      </c>
      <c r="N482" s="143">
        <v>71</v>
      </c>
    </row>
    <row r="483" spans="2:14">
      <c r="B483" s="179"/>
      <c r="C483" s="180"/>
      <c r="D483" s="67">
        <v>11.1</v>
      </c>
      <c r="E483" s="181">
        <v>0.4269</v>
      </c>
      <c r="F483" s="67">
        <v>1</v>
      </c>
      <c r="G483" s="182">
        <v>8.3</v>
      </c>
      <c r="H483" s="183">
        <f t="shared" si="144"/>
        <v>70.4857377507218</v>
      </c>
      <c r="I483" s="195"/>
      <c r="J483" s="183"/>
      <c r="K483" s="196"/>
      <c r="L483" s="198"/>
      <c r="M483" s="200"/>
      <c r="N483" s="143"/>
    </row>
    <row r="484" spans="2:14">
      <c r="B484" s="179" t="s">
        <v>1699</v>
      </c>
      <c r="C484" s="180"/>
      <c r="D484" s="67">
        <v>11.1</v>
      </c>
      <c r="E484" s="181">
        <v>0.456</v>
      </c>
      <c r="F484" s="67">
        <v>1</v>
      </c>
      <c r="G484" s="182">
        <v>7.5</v>
      </c>
      <c r="H484" s="183">
        <f t="shared" si="144"/>
        <v>73.0263157894737</v>
      </c>
      <c r="I484" s="195">
        <f t="shared" ref="I484" si="192">(H484+H485)/2</f>
        <v>73.2127108875689</v>
      </c>
      <c r="J484" s="183">
        <f t="shared" ref="J484" si="193">(H484-H485)/I484*100</f>
        <v>-0.509187805875454</v>
      </c>
      <c r="K484" s="196"/>
      <c r="L484" s="198">
        <v>10.4</v>
      </c>
      <c r="M484" s="199">
        <f t="shared" ref="M484" si="194">I484/(100-L484)*100</f>
        <v>81.710614829876</v>
      </c>
      <c r="N484" s="143">
        <v>73.2</v>
      </c>
    </row>
    <row r="485" spans="2:14">
      <c r="B485" s="179"/>
      <c r="C485" s="180"/>
      <c r="D485" s="67">
        <v>11.1</v>
      </c>
      <c r="E485" s="181">
        <v>0.4419</v>
      </c>
      <c r="F485" s="67">
        <v>1</v>
      </c>
      <c r="G485" s="182">
        <v>7.7</v>
      </c>
      <c r="H485" s="183">
        <f t="shared" si="144"/>
        <v>73.399105985664</v>
      </c>
      <c r="I485" s="195"/>
      <c r="J485" s="183"/>
      <c r="K485" s="196"/>
      <c r="L485" s="198"/>
      <c r="M485" s="200"/>
      <c r="N485" s="143"/>
    </row>
    <row r="486" spans="2:12">
      <c r="B486" s="179" t="s">
        <v>1700</v>
      </c>
      <c r="C486" s="180"/>
      <c r="D486" s="67">
        <v>11.1</v>
      </c>
      <c r="E486" s="181">
        <v>0.833</v>
      </c>
      <c r="F486" s="67">
        <v>2</v>
      </c>
      <c r="G486" s="182">
        <v>9.2</v>
      </c>
      <c r="H486" s="183">
        <f t="shared" si="144"/>
        <v>65.1782452111279</v>
      </c>
      <c r="I486" s="195">
        <f t="shared" ref="I486" si="195">(H486+H487)/2</f>
        <v>65.2095946783256</v>
      </c>
      <c r="J486" s="183">
        <f t="shared" ref="J486" si="196">(H486-H487)/I486*100</f>
        <v>-0.0961498606218536</v>
      </c>
      <c r="K486" s="196"/>
      <c r="L486" s="198"/>
    </row>
    <row r="487" ht="15.95" customHeight="1" spans="2:12">
      <c r="B487" s="179"/>
      <c r="C487" s="180"/>
      <c r="D487" s="67">
        <v>11.1</v>
      </c>
      <c r="E487" s="181">
        <v>0.8017</v>
      </c>
      <c r="F487" s="67">
        <v>2</v>
      </c>
      <c r="G487" s="182">
        <v>9.55</v>
      </c>
      <c r="H487" s="183">
        <f t="shared" si="144"/>
        <v>65.2409441455232</v>
      </c>
      <c r="I487" s="195"/>
      <c r="J487" s="183"/>
      <c r="K487" s="196"/>
      <c r="L487" s="198"/>
    </row>
    <row r="488" spans="2:13">
      <c r="B488" s="179" t="s">
        <v>1701</v>
      </c>
      <c r="C488" s="180"/>
      <c r="D488" s="67">
        <v>11.1</v>
      </c>
      <c r="E488" s="181">
        <v>1.9937</v>
      </c>
      <c r="F488" s="67">
        <v>1</v>
      </c>
      <c r="G488" s="182">
        <v>14</v>
      </c>
      <c r="H488" s="197">
        <f t="shared" si="144"/>
        <v>8.94782851697132</v>
      </c>
      <c r="I488" s="182">
        <f t="shared" ref="I488:I492" si="197">(H488+H489)/2</f>
        <v>8.8529426138997</v>
      </c>
      <c r="J488" s="183">
        <f t="shared" ref="J488:J492" si="198">(H488-H489)/I488*100</f>
        <v>2.14360144891582</v>
      </c>
      <c r="K488" s="196"/>
      <c r="L488" s="198">
        <v>10.4</v>
      </c>
      <c r="M488" s="201">
        <f t="shared" ref="M488:M492" si="199">I488/(100-L488)*100</f>
        <v>9.88051631015591</v>
      </c>
    </row>
    <row r="489" spans="2:13">
      <c r="B489" s="179"/>
      <c r="C489" s="180"/>
      <c r="D489" s="67">
        <v>11.1</v>
      </c>
      <c r="E489" s="181">
        <v>2.0369</v>
      </c>
      <c r="F489" s="67">
        <v>1</v>
      </c>
      <c r="G489" s="182">
        <v>14</v>
      </c>
      <c r="H489" s="197">
        <f t="shared" si="144"/>
        <v>8.75805671082808</v>
      </c>
      <c r="I489" s="182"/>
      <c r="J489" s="183"/>
      <c r="K489" s="196"/>
      <c r="L489" s="198"/>
      <c r="M489" s="202"/>
    </row>
    <row r="490" spans="2:13">
      <c r="B490" s="179" t="s">
        <v>1702</v>
      </c>
      <c r="C490" s="180"/>
      <c r="D490" s="67">
        <v>11.1</v>
      </c>
      <c r="E490" s="181">
        <v>2.6364</v>
      </c>
      <c r="F490" s="67">
        <v>1</v>
      </c>
      <c r="G490" s="182">
        <v>9.6</v>
      </c>
      <c r="H490" s="197">
        <f t="shared" si="144"/>
        <v>9.86785958124716</v>
      </c>
      <c r="I490" s="182">
        <f t="shared" si="197"/>
        <v>9.79874537953799</v>
      </c>
      <c r="J490" s="183">
        <f t="shared" si="198"/>
        <v>1.41067451050395</v>
      </c>
      <c r="K490" s="196"/>
      <c r="L490" s="198">
        <v>10.6</v>
      </c>
      <c r="M490" s="201">
        <f t="shared" si="199"/>
        <v>10.9605653014966</v>
      </c>
    </row>
    <row r="491" spans="2:13">
      <c r="B491" s="179"/>
      <c r="C491" s="180"/>
      <c r="D491" s="67">
        <v>11.1</v>
      </c>
      <c r="E491" s="181">
        <v>2.5798</v>
      </c>
      <c r="F491" s="67">
        <v>1</v>
      </c>
      <c r="G491" s="182">
        <v>9.95</v>
      </c>
      <c r="H491" s="197">
        <f t="shared" si="144"/>
        <v>9.72963117782883</v>
      </c>
      <c r="I491" s="182"/>
      <c r="J491" s="183"/>
      <c r="K491" s="196"/>
      <c r="L491" s="198"/>
      <c r="M491" s="202"/>
    </row>
    <row r="492" spans="2:13">
      <c r="B492" s="179" t="s">
        <v>1703</v>
      </c>
      <c r="C492" s="180"/>
      <c r="D492" s="67">
        <v>11.1</v>
      </c>
      <c r="E492" s="181">
        <v>2.3804</v>
      </c>
      <c r="F492" s="67">
        <v>1</v>
      </c>
      <c r="G492" s="182">
        <v>8</v>
      </c>
      <c r="H492" s="183">
        <f t="shared" si="144"/>
        <v>13.1149176608973</v>
      </c>
      <c r="I492" s="195">
        <f t="shared" si="197"/>
        <v>13.0981171074389</v>
      </c>
      <c r="J492" s="183">
        <f t="shared" si="198"/>
        <v>0.256533871557116</v>
      </c>
      <c r="K492" s="196"/>
      <c r="L492" s="198">
        <v>10.6</v>
      </c>
      <c r="M492" s="201">
        <f t="shared" si="199"/>
        <v>14.6511377040704</v>
      </c>
    </row>
    <row r="493" spans="2:13">
      <c r="B493" s="179"/>
      <c r="C493" s="180"/>
      <c r="D493" s="67">
        <v>11.1</v>
      </c>
      <c r="E493" s="181">
        <v>2.5627</v>
      </c>
      <c r="F493" s="67">
        <v>1</v>
      </c>
      <c r="G493" s="182">
        <v>7.45</v>
      </c>
      <c r="H493" s="183">
        <f t="shared" si="144"/>
        <v>13.0813165539805</v>
      </c>
      <c r="I493" s="195"/>
      <c r="J493" s="183"/>
      <c r="K493" s="196"/>
      <c r="L493" s="198"/>
      <c r="M493" s="202"/>
    </row>
    <row r="494" spans="2:13">
      <c r="B494" s="179" t="s">
        <v>1704</v>
      </c>
      <c r="C494" s="180"/>
      <c r="D494" s="67">
        <v>11.1</v>
      </c>
      <c r="E494" s="181">
        <v>1.5227</v>
      </c>
      <c r="F494" s="67">
        <v>1</v>
      </c>
      <c r="G494" s="182">
        <v>12.8</v>
      </c>
      <c r="H494" s="183">
        <f t="shared" si="144"/>
        <v>12.8138955473829</v>
      </c>
      <c r="I494" s="195">
        <f>(H494+H495)/2</f>
        <v>12.8257546851852</v>
      </c>
      <c r="J494" s="183">
        <f>(H494-H495)/I494*100</f>
        <v>-0.184926939479701</v>
      </c>
      <c r="K494" s="196"/>
      <c r="L494" s="198">
        <v>10.4</v>
      </c>
      <c r="M494" s="201">
        <f>I494/(100-L494)*100</f>
        <v>14.3144583540013</v>
      </c>
    </row>
    <row r="495" spans="2:13">
      <c r="B495" s="179"/>
      <c r="C495" s="180"/>
      <c r="D495" s="67">
        <v>11.1</v>
      </c>
      <c r="E495" s="181">
        <v>1.6917</v>
      </c>
      <c r="F495" s="67">
        <v>1</v>
      </c>
      <c r="G495" s="182">
        <v>11.5</v>
      </c>
      <c r="H495" s="183">
        <f t="shared" si="144"/>
        <v>12.8376138229874</v>
      </c>
      <c r="I495" s="195"/>
      <c r="J495" s="183"/>
      <c r="K495" s="196"/>
      <c r="L495" s="198"/>
      <c r="M495" s="202"/>
    </row>
    <row r="496" ht="18.75" customHeight="1" spans="2:13">
      <c r="B496" s="179" t="s">
        <v>1705</v>
      </c>
      <c r="C496" s="180"/>
      <c r="D496" s="67">
        <v>11.1</v>
      </c>
      <c r="E496" s="181">
        <v>0.4598</v>
      </c>
      <c r="F496" s="67">
        <v>1</v>
      </c>
      <c r="G496" s="182">
        <v>6.85</v>
      </c>
      <c r="H496" s="183">
        <f t="shared" ref="H496:H517" si="200">D496*100*F496*250*0.9/E496/G496/1000</f>
        <v>79.295028304912</v>
      </c>
      <c r="I496" s="195">
        <f t="shared" ref="I496:I500" si="201">(H496+H497)/2</f>
        <v>79.0035718337027</v>
      </c>
      <c r="J496" s="183">
        <f t="shared" ref="J496:J500" si="202">(H496-H497)/I496*100</f>
        <v>0.737831124453058</v>
      </c>
      <c r="K496" s="196"/>
      <c r="L496" s="198">
        <v>10.4</v>
      </c>
      <c r="M496" s="201">
        <f t="shared" ref="M496:M500" si="203">I496/(100-L496)*100</f>
        <v>88.173629278686</v>
      </c>
    </row>
    <row r="497" spans="2:13">
      <c r="B497" s="179"/>
      <c r="C497" s="180"/>
      <c r="D497" s="67">
        <v>11.1</v>
      </c>
      <c r="E497" s="181">
        <v>0.4259</v>
      </c>
      <c r="F497" s="67">
        <v>1</v>
      </c>
      <c r="G497" s="182">
        <v>7.45</v>
      </c>
      <c r="H497" s="183">
        <f t="shared" si="200"/>
        <v>78.7121153624933</v>
      </c>
      <c r="I497" s="195"/>
      <c r="J497" s="183"/>
      <c r="K497" s="196"/>
      <c r="L497" s="198"/>
      <c r="M497" s="202"/>
    </row>
    <row r="498" spans="2:13">
      <c r="B498" s="179" t="s">
        <v>1199</v>
      </c>
      <c r="C498" s="180"/>
      <c r="D498" s="67">
        <v>11.1</v>
      </c>
      <c r="E498" s="181">
        <v>2.0945</v>
      </c>
      <c r="F498" s="67">
        <v>2</v>
      </c>
      <c r="G498" s="182">
        <v>10</v>
      </c>
      <c r="H498" s="183">
        <f t="shared" si="200"/>
        <v>23.8481737884937</v>
      </c>
      <c r="I498" s="195">
        <f t="shared" si="201"/>
        <v>23.7819492267204</v>
      </c>
      <c r="J498" s="183">
        <f t="shared" si="202"/>
        <v>0.556931319144009</v>
      </c>
      <c r="K498" s="196"/>
      <c r="L498" s="198">
        <v>10.4</v>
      </c>
      <c r="M498" s="201">
        <f t="shared" si="203"/>
        <v>26.542354047679</v>
      </c>
    </row>
    <row r="499" spans="2:13">
      <c r="B499" s="179"/>
      <c r="C499" s="180"/>
      <c r="D499" s="67">
        <v>11.1</v>
      </c>
      <c r="E499" s="181">
        <v>2.0155</v>
      </c>
      <c r="F499" s="67">
        <v>2</v>
      </c>
      <c r="G499" s="182">
        <v>10.45</v>
      </c>
      <c r="H499" s="183">
        <f t="shared" si="200"/>
        <v>23.7157246649471</v>
      </c>
      <c r="I499" s="195"/>
      <c r="J499" s="183"/>
      <c r="K499" s="196"/>
      <c r="L499" s="198"/>
      <c r="M499" s="202"/>
    </row>
    <row r="500" spans="1:13">
      <c r="A500">
        <v>1.8</v>
      </c>
      <c r="B500" s="179" t="s">
        <v>1706</v>
      </c>
      <c r="C500" s="180"/>
      <c r="D500" s="67">
        <v>11.1</v>
      </c>
      <c r="E500" s="181">
        <v>0.4401</v>
      </c>
      <c r="F500" s="67">
        <v>1</v>
      </c>
      <c r="G500" s="182">
        <v>6.6</v>
      </c>
      <c r="H500" s="183">
        <f t="shared" si="200"/>
        <v>85.9825246328314</v>
      </c>
      <c r="I500" s="195">
        <f t="shared" si="201"/>
        <v>85.0579626701297</v>
      </c>
      <c r="J500" s="183">
        <f t="shared" si="202"/>
        <v>2.17395746071961</v>
      </c>
      <c r="K500" s="196"/>
      <c r="L500" s="198"/>
      <c r="M500" s="201">
        <f t="shared" si="203"/>
        <v>85.0579626701297</v>
      </c>
    </row>
    <row r="501" spans="2:13">
      <c r="B501" s="179"/>
      <c r="C501" s="180"/>
      <c r="D501" s="67">
        <v>11.1</v>
      </c>
      <c r="E501" s="181">
        <v>0.3958</v>
      </c>
      <c r="F501" s="67">
        <v>1</v>
      </c>
      <c r="G501" s="182">
        <v>7.5</v>
      </c>
      <c r="H501" s="183">
        <f t="shared" si="200"/>
        <v>84.133400707428</v>
      </c>
      <c r="I501" s="195"/>
      <c r="J501" s="183"/>
      <c r="K501" s="196"/>
      <c r="L501" s="198"/>
      <c r="M501" s="202"/>
    </row>
    <row r="502" spans="2:13">
      <c r="B502" s="179" t="s">
        <v>1707</v>
      </c>
      <c r="C502" s="180"/>
      <c r="D502" s="67">
        <v>11.1</v>
      </c>
      <c r="E502" s="181">
        <v>0.358</v>
      </c>
      <c r="F502" s="67">
        <v>1</v>
      </c>
      <c r="G502" s="182">
        <v>8.4</v>
      </c>
      <c r="H502" s="183">
        <f t="shared" si="200"/>
        <v>83.0506783719074</v>
      </c>
      <c r="I502" s="195">
        <f t="shared" ref="I502:I506" si="204">(H502+H503)/2</f>
        <v>82.5586390025977</v>
      </c>
      <c r="J502" s="183">
        <f t="shared" ref="J502:J506" si="205">(H502-H503)/I502*100</f>
        <v>1.19197548616136</v>
      </c>
      <c r="K502" s="196"/>
      <c r="L502" s="198"/>
      <c r="M502" s="201">
        <f>I502/(100-L502)*100</f>
        <v>82.5586390025977</v>
      </c>
    </row>
    <row r="503" spans="2:13">
      <c r="B503" s="179"/>
      <c r="C503" s="180"/>
      <c r="D503" s="67">
        <v>11.1</v>
      </c>
      <c r="E503" s="181">
        <v>0.3498</v>
      </c>
      <c r="F503" s="67">
        <v>1</v>
      </c>
      <c r="G503" s="182">
        <v>8.7</v>
      </c>
      <c r="H503" s="183">
        <f t="shared" si="200"/>
        <v>82.066599633288</v>
      </c>
      <c r="I503" s="195"/>
      <c r="J503" s="183"/>
      <c r="K503" s="196"/>
      <c r="L503" s="198"/>
      <c r="M503" s="202"/>
    </row>
    <row r="504" spans="2:13">
      <c r="B504" s="179" t="s">
        <v>1708</v>
      </c>
      <c r="C504" s="180"/>
      <c r="D504" s="67">
        <v>11.1</v>
      </c>
      <c r="E504" s="181">
        <v>0.3387</v>
      </c>
      <c r="F504" s="67">
        <v>1</v>
      </c>
      <c r="G504" s="182">
        <v>9</v>
      </c>
      <c r="H504" s="183">
        <f t="shared" si="200"/>
        <v>81.9309123117803</v>
      </c>
      <c r="I504" s="195">
        <f t="shared" si="204"/>
        <v>81.5092873247213</v>
      </c>
      <c r="J504" s="183">
        <f t="shared" si="205"/>
        <v>1.03454465349279</v>
      </c>
      <c r="K504" s="196"/>
      <c r="L504" s="198"/>
      <c r="M504" s="201">
        <f>I504/(100-L504)*100</f>
        <v>81.5092873247213</v>
      </c>
    </row>
    <row r="505" spans="2:13">
      <c r="B505" s="179"/>
      <c r="C505" s="180"/>
      <c r="D505" s="67">
        <v>11.1</v>
      </c>
      <c r="E505" s="181">
        <v>0.385</v>
      </c>
      <c r="F505" s="67">
        <v>1</v>
      </c>
      <c r="G505" s="182">
        <v>8</v>
      </c>
      <c r="H505" s="183">
        <f t="shared" si="200"/>
        <v>81.0876623376623</v>
      </c>
      <c r="I505" s="195"/>
      <c r="J505" s="183"/>
      <c r="K505" s="196"/>
      <c r="L505" s="198"/>
      <c r="M505" s="202"/>
    </row>
    <row r="506" spans="2:13">
      <c r="B506" s="179" t="s">
        <v>1709</v>
      </c>
      <c r="C506" s="180"/>
      <c r="D506" s="67">
        <v>11.1</v>
      </c>
      <c r="E506" s="181">
        <v>0.3557</v>
      </c>
      <c r="F506" s="67">
        <v>1</v>
      </c>
      <c r="G506" s="182">
        <v>8.45</v>
      </c>
      <c r="H506" s="183">
        <f t="shared" si="200"/>
        <v>83.0930925435802</v>
      </c>
      <c r="I506" s="195">
        <f t="shared" si="204"/>
        <v>83.5036366420709</v>
      </c>
      <c r="J506" s="183">
        <f t="shared" si="205"/>
        <v>-0.983296332949919</v>
      </c>
      <c r="K506" s="196"/>
      <c r="L506" s="198"/>
      <c r="M506" s="201">
        <f>I506/(100-L506)*100</f>
        <v>83.5036366420709</v>
      </c>
    </row>
    <row r="507" spans="2:13">
      <c r="B507" s="179"/>
      <c r="C507" s="180"/>
      <c r="D507" s="67">
        <v>11.1</v>
      </c>
      <c r="E507" s="181">
        <v>0.3481</v>
      </c>
      <c r="F507" s="67">
        <v>1</v>
      </c>
      <c r="G507" s="182">
        <v>8.55</v>
      </c>
      <c r="H507" s="183">
        <f t="shared" si="200"/>
        <v>83.9141807405615</v>
      </c>
      <c r="I507" s="195"/>
      <c r="J507" s="183"/>
      <c r="K507" s="196"/>
      <c r="L507" s="198"/>
      <c r="M507" s="202"/>
    </row>
    <row r="508" spans="2:13">
      <c r="B508" s="179" t="s">
        <v>1710</v>
      </c>
      <c r="C508" s="180"/>
      <c r="D508" s="67">
        <v>11.1</v>
      </c>
      <c r="E508" s="181">
        <v>0.3665</v>
      </c>
      <c r="F508" s="67">
        <v>1</v>
      </c>
      <c r="G508" s="182">
        <v>8.05</v>
      </c>
      <c r="H508" s="183">
        <f t="shared" si="200"/>
        <v>84.6516909154076</v>
      </c>
      <c r="I508" s="195">
        <f t="shared" ref="I508:I514" si="206">(H508+H509)/2</f>
        <v>84.7903690899126</v>
      </c>
      <c r="J508" s="183">
        <f t="shared" ref="J508:J512" si="207">(H508-H509)/I508*100</f>
        <v>-0.327108316648315</v>
      </c>
      <c r="K508" s="196"/>
      <c r="L508" s="198"/>
      <c r="M508" s="201">
        <f>I508/(100-L508)*100</f>
        <v>84.7903690899126</v>
      </c>
    </row>
    <row r="509" spans="2:13">
      <c r="B509" s="179"/>
      <c r="C509" s="180"/>
      <c r="D509" s="67">
        <v>11.1</v>
      </c>
      <c r="E509" s="181">
        <v>0.3543</v>
      </c>
      <c r="F509" s="67">
        <v>1</v>
      </c>
      <c r="G509" s="182">
        <v>8.3</v>
      </c>
      <c r="H509" s="183">
        <f t="shared" si="200"/>
        <v>84.9290472644175</v>
      </c>
      <c r="I509" s="195"/>
      <c r="J509" s="183"/>
      <c r="K509" s="196"/>
      <c r="L509" s="198"/>
      <c r="M509" s="202"/>
    </row>
    <row r="510" spans="2:14">
      <c r="B510" s="179" t="s">
        <v>1711</v>
      </c>
      <c r="C510" s="180"/>
      <c r="D510" s="67">
        <v>11.1</v>
      </c>
      <c r="E510" s="181">
        <v>0.378</v>
      </c>
      <c r="F510" s="67">
        <v>1</v>
      </c>
      <c r="G510" s="182">
        <v>8.1</v>
      </c>
      <c r="H510" s="183">
        <f t="shared" si="200"/>
        <v>81.5696649029982</v>
      </c>
      <c r="I510" s="195">
        <v>81.5</v>
      </c>
      <c r="J510" s="183">
        <f t="shared" si="207"/>
        <v>0.13710339508026</v>
      </c>
      <c r="K510" s="196"/>
      <c r="L510" s="198">
        <v>15.8</v>
      </c>
      <c r="M510" s="201">
        <f>I510/(100-L510)*100</f>
        <v>96.7933491686461</v>
      </c>
      <c r="N510" s="52">
        <v>81.5</v>
      </c>
    </row>
    <row r="511" spans="2:13">
      <c r="B511" s="179"/>
      <c r="C511" s="180"/>
      <c r="D511" s="67">
        <v>11.1</v>
      </c>
      <c r="E511" s="181">
        <v>0.42</v>
      </c>
      <c r="F511" s="67">
        <v>1</v>
      </c>
      <c r="G511" s="182">
        <v>7.3</v>
      </c>
      <c r="H511" s="183">
        <f t="shared" si="200"/>
        <v>81.4579256360078</v>
      </c>
      <c r="I511" s="195"/>
      <c r="J511" s="183"/>
      <c r="K511" s="196"/>
      <c r="L511" s="198"/>
      <c r="M511" s="202"/>
    </row>
    <row r="512" spans="2:13">
      <c r="B512" s="179" t="s">
        <v>1712</v>
      </c>
      <c r="C512" s="180"/>
      <c r="D512" s="67">
        <v>11.1</v>
      </c>
      <c r="E512" s="181">
        <v>0.3324</v>
      </c>
      <c r="F512" s="67">
        <v>1</v>
      </c>
      <c r="G512" s="182">
        <v>8.8</v>
      </c>
      <c r="H512" s="183">
        <f t="shared" si="200"/>
        <v>85.3811125697407</v>
      </c>
      <c r="I512" s="195">
        <f t="shared" si="206"/>
        <v>85.5068482482652</v>
      </c>
      <c r="J512" s="183">
        <f t="shared" si="207"/>
        <v>-0.29409499028528</v>
      </c>
      <c r="K512" s="196"/>
      <c r="L512" s="198">
        <v>13.6</v>
      </c>
      <c r="M512" s="201">
        <f>I512/(100-L512)*100</f>
        <v>98.9662595466033</v>
      </c>
    </row>
    <row r="513" spans="2:13">
      <c r="B513" s="179"/>
      <c r="C513" s="180"/>
      <c r="D513" s="67">
        <v>11.1</v>
      </c>
      <c r="E513" s="181">
        <v>0.3277</v>
      </c>
      <c r="F513" s="67">
        <v>1</v>
      </c>
      <c r="G513" s="182">
        <v>8.9</v>
      </c>
      <c r="H513" s="183">
        <f t="shared" si="200"/>
        <v>85.6325839267897</v>
      </c>
      <c r="I513" s="195"/>
      <c r="J513" s="183"/>
      <c r="K513" s="196"/>
      <c r="L513" s="198"/>
      <c r="M513" s="202"/>
    </row>
    <row r="514" ht="17.25" customHeight="1" spans="2:14">
      <c r="B514" s="179" t="s">
        <v>1713</v>
      </c>
      <c r="C514" s="180"/>
      <c r="D514" s="67">
        <v>11.1</v>
      </c>
      <c r="E514" s="181">
        <v>0.3822</v>
      </c>
      <c r="F514" s="67">
        <v>1</v>
      </c>
      <c r="G514" s="182">
        <v>8.05</v>
      </c>
      <c r="H514" s="183">
        <f t="shared" si="200"/>
        <v>81.1743713252143</v>
      </c>
      <c r="I514" s="195">
        <f t="shared" si="206"/>
        <v>81.7986968338556</v>
      </c>
      <c r="J514" s="183">
        <f>(H514-H515)/I514*100</f>
        <v>-1.52649255503285</v>
      </c>
      <c r="K514" s="196"/>
      <c r="L514" s="198">
        <v>16.2</v>
      </c>
      <c r="M514" s="201">
        <f>I514/(100-L514)*100</f>
        <v>97.6118100642668</v>
      </c>
      <c r="N514" s="52">
        <v>81.4</v>
      </c>
    </row>
    <row r="515" spans="2:13">
      <c r="B515" s="179"/>
      <c r="C515" s="180"/>
      <c r="D515" s="67">
        <v>11.1</v>
      </c>
      <c r="E515" s="181">
        <v>0.386</v>
      </c>
      <c r="F515" s="67">
        <v>1</v>
      </c>
      <c r="G515" s="182">
        <v>7.85</v>
      </c>
      <c r="H515" s="183">
        <f t="shared" si="200"/>
        <v>82.423022342497</v>
      </c>
      <c r="I515" s="195"/>
      <c r="J515" s="183"/>
      <c r="K515" s="196"/>
      <c r="L515" s="198"/>
      <c r="M515" s="202"/>
    </row>
    <row r="516" spans="2:14">
      <c r="B516" s="179" t="s">
        <v>1714</v>
      </c>
      <c r="C516" s="180"/>
      <c r="D516" s="67">
        <v>11.1</v>
      </c>
      <c r="E516" s="181">
        <v>0.3852</v>
      </c>
      <c r="F516" s="67">
        <v>1</v>
      </c>
      <c r="G516" s="182">
        <v>7.85</v>
      </c>
      <c r="H516" s="183">
        <f t="shared" si="200"/>
        <v>82.5942020358355</v>
      </c>
      <c r="I516" s="195">
        <v>82.7</v>
      </c>
      <c r="J516" s="183">
        <f>(H516-H517)/I516*100</f>
        <v>-0.312100219301067</v>
      </c>
      <c r="K516" s="196"/>
      <c r="L516" s="198">
        <v>14.2</v>
      </c>
      <c r="M516" s="201">
        <f>I516/(100-L516)*100</f>
        <v>96.3869463869464</v>
      </c>
      <c r="N516" s="52">
        <v>82.7</v>
      </c>
    </row>
    <row r="517" spans="2:13">
      <c r="B517" s="179"/>
      <c r="C517" s="180"/>
      <c r="D517" s="67">
        <v>11.1</v>
      </c>
      <c r="E517" s="181">
        <v>0.3768</v>
      </c>
      <c r="F517" s="67">
        <v>1</v>
      </c>
      <c r="G517" s="182">
        <v>8</v>
      </c>
      <c r="H517" s="183">
        <f t="shared" si="200"/>
        <v>82.8523089171974</v>
      </c>
      <c r="I517" s="195"/>
      <c r="J517" s="183"/>
      <c r="K517" s="196"/>
      <c r="L517" s="198"/>
      <c r="M517" s="202"/>
    </row>
    <row r="518" spans="2:13">
      <c r="B518" s="173" t="s">
        <v>1715</v>
      </c>
      <c r="C518" s="180"/>
      <c r="D518" s="67">
        <v>11.1</v>
      </c>
      <c r="E518" s="181">
        <v>0.357</v>
      </c>
      <c r="F518" s="67">
        <v>1</v>
      </c>
      <c r="G518" s="182">
        <v>8</v>
      </c>
      <c r="H518" s="183">
        <f t="shared" ref="H518:H533" si="208">D518*100*F518*250*0.9/E518/G518/1000</f>
        <v>87.4474789915966</v>
      </c>
      <c r="I518" s="195">
        <f t="shared" ref="I518:I556" si="209">(H518+H519)/2</f>
        <v>86.3295246705204</v>
      </c>
      <c r="J518" s="183">
        <f t="shared" ref="J518" si="210">(H518-H519)/I518*100</f>
        <v>2.58996982861409</v>
      </c>
      <c r="K518" s="196"/>
      <c r="L518" s="198"/>
      <c r="M518" s="201">
        <f>I518/(100-L518)*100</f>
        <v>86.3295246705204</v>
      </c>
    </row>
    <row r="519" spans="2:13">
      <c r="B519" s="173"/>
      <c r="C519" s="180"/>
      <c r="D519" s="67">
        <v>11.1</v>
      </c>
      <c r="E519" s="181">
        <v>0.3428</v>
      </c>
      <c r="F519" s="67">
        <v>1</v>
      </c>
      <c r="G519" s="182">
        <v>8.55</v>
      </c>
      <c r="H519" s="183">
        <f t="shared" si="208"/>
        <v>85.2115703494442</v>
      </c>
      <c r="I519" s="195"/>
      <c r="J519" s="183"/>
      <c r="K519" s="196"/>
      <c r="L519" s="198"/>
      <c r="M519" s="202"/>
    </row>
    <row r="520" spans="2:13">
      <c r="B520" s="173" t="s">
        <v>1716</v>
      </c>
      <c r="C520" s="180"/>
      <c r="D520" s="67">
        <v>11.1</v>
      </c>
      <c r="E520" s="181">
        <v>0.3933</v>
      </c>
      <c r="F520" s="67">
        <v>1</v>
      </c>
      <c r="G520" s="182">
        <v>7.75</v>
      </c>
      <c r="H520" s="183">
        <f t="shared" si="208"/>
        <v>81.9369602125932</v>
      </c>
      <c r="I520" s="195">
        <f t="shared" si="209"/>
        <v>81.8628343111695</v>
      </c>
      <c r="J520" s="183">
        <f t="shared" ref="J520" si="211">(H520-H521)/I520*100</f>
        <v>0.18109781330537</v>
      </c>
      <c r="K520" s="196"/>
      <c r="L520" s="198"/>
      <c r="M520" s="201">
        <f>I520/(100-L520)*100</f>
        <v>81.8628343111695</v>
      </c>
    </row>
    <row r="521" spans="2:13">
      <c r="B521" s="173"/>
      <c r="C521" s="180"/>
      <c r="D521" s="67">
        <v>11.1</v>
      </c>
      <c r="E521" s="181">
        <v>0.3817</v>
      </c>
      <c r="F521" s="67">
        <v>1</v>
      </c>
      <c r="G521" s="182">
        <v>8</v>
      </c>
      <c r="H521" s="183">
        <f t="shared" si="208"/>
        <v>81.7887084097459</v>
      </c>
      <c r="I521" s="195"/>
      <c r="J521" s="183"/>
      <c r="K521" s="196"/>
      <c r="L521" s="198"/>
      <c r="M521" s="202"/>
    </row>
    <row r="522" spans="2:13">
      <c r="B522" s="173" t="s">
        <v>1717</v>
      </c>
      <c r="C522" s="180"/>
      <c r="D522" s="67">
        <v>11.1</v>
      </c>
      <c r="E522" s="181">
        <v>0.3781</v>
      </c>
      <c r="F522" s="67">
        <v>1</v>
      </c>
      <c r="G522" s="182">
        <v>7.95</v>
      </c>
      <c r="H522" s="183">
        <f t="shared" si="208"/>
        <v>83.0867345665767</v>
      </c>
      <c r="I522" s="195">
        <f t="shared" si="209"/>
        <v>82.7760384174468</v>
      </c>
      <c r="J522" s="183">
        <f t="shared" ref="J522" si="212">(H522-H523)/I522*100</f>
        <v>0.750691033467904</v>
      </c>
      <c r="K522" s="196"/>
      <c r="L522" s="198"/>
      <c r="M522" s="201">
        <f>I522/(100-L522)*100</f>
        <v>82.7760384174468</v>
      </c>
    </row>
    <row r="523" spans="2:13">
      <c r="B523" s="173"/>
      <c r="C523" s="180"/>
      <c r="D523" s="67">
        <v>11.1</v>
      </c>
      <c r="E523" s="181">
        <v>0.3627</v>
      </c>
      <c r="F523" s="67">
        <v>1</v>
      </c>
      <c r="G523" s="182">
        <v>8.35</v>
      </c>
      <c r="H523" s="183">
        <f t="shared" si="208"/>
        <v>82.465342268317</v>
      </c>
      <c r="I523" s="195"/>
      <c r="J523" s="183"/>
      <c r="K523" s="196"/>
      <c r="L523" s="198"/>
      <c r="M523" s="202"/>
    </row>
    <row r="524" spans="2:13">
      <c r="B524" s="173" t="s">
        <v>1718</v>
      </c>
      <c r="C524" s="180"/>
      <c r="D524" s="67">
        <v>11.1</v>
      </c>
      <c r="E524" s="181">
        <v>0.3696</v>
      </c>
      <c r="F524" s="67">
        <v>1</v>
      </c>
      <c r="G524" s="182">
        <v>8.1</v>
      </c>
      <c r="H524" s="183">
        <f t="shared" si="208"/>
        <v>83.4235209235209</v>
      </c>
      <c r="I524" s="195">
        <f t="shared" si="209"/>
        <v>82.8808810662666</v>
      </c>
      <c r="J524" s="183">
        <f t="shared" ref="J524" si="213">(H524-H525)/I524*100</f>
        <v>1.30944519477416</v>
      </c>
      <c r="K524" s="196"/>
      <c r="M524" s="201">
        <f>I524/(100-L514)*100</f>
        <v>98.9031993630866</v>
      </c>
    </row>
    <row r="525" spans="2:13">
      <c r="B525" s="173"/>
      <c r="C525" s="180"/>
      <c r="D525" s="67">
        <v>11.1</v>
      </c>
      <c r="E525" s="181">
        <v>0.3527</v>
      </c>
      <c r="F525" s="67">
        <v>1</v>
      </c>
      <c r="G525" s="182">
        <v>8.6</v>
      </c>
      <c r="H525" s="183">
        <f t="shared" si="208"/>
        <v>82.3382412090122</v>
      </c>
      <c r="I525" s="195"/>
      <c r="J525" s="183"/>
      <c r="K525" s="196"/>
      <c r="M525" s="202"/>
    </row>
    <row r="526" spans="2:13">
      <c r="B526" s="173" t="s">
        <v>1719</v>
      </c>
      <c r="C526" s="180"/>
      <c r="D526" s="67">
        <v>11.1</v>
      </c>
      <c r="E526" s="181">
        <v>0.3401</v>
      </c>
      <c r="F526" s="67">
        <v>1</v>
      </c>
      <c r="G526" s="182">
        <v>9.2</v>
      </c>
      <c r="H526" s="183">
        <f t="shared" si="208"/>
        <v>79.819873950117</v>
      </c>
      <c r="I526" s="195">
        <f t="shared" si="209"/>
        <v>80.0298388559951</v>
      </c>
      <c r="J526" s="183">
        <f t="shared" ref="J526" si="214">(H526-H527)/I526*100</f>
        <v>-0.524716552924672</v>
      </c>
      <c r="K526" s="196"/>
      <c r="L526" s="198">
        <v>15.8</v>
      </c>
      <c r="M526" s="201">
        <f>I526/(100-L526)*100</f>
        <v>95.0473145558137</v>
      </c>
    </row>
    <row r="527" spans="2:13">
      <c r="B527" s="173"/>
      <c r="C527" s="180"/>
      <c r="D527" s="67">
        <v>11.1</v>
      </c>
      <c r="E527" s="181">
        <v>0.3517</v>
      </c>
      <c r="F527" s="67">
        <v>1</v>
      </c>
      <c r="G527" s="182">
        <v>8.85</v>
      </c>
      <c r="H527" s="183">
        <f t="shared" si="208"/>
        <v>80.2398037618733</v>
      </c>
      <c r="I527" s="195"/>
      <c r="J527" s="183"/>
      <c r="K527" s="196"/>
      <c r="L527" s="198"/>
      <c r="M527" s="202"/>
    </row>
    <row r="528" spans="2:13">
      <c r="B528" s="173" t="s">
        <v>1720</v>
      </c>
      <c r="C528" s="180"/>
      <c r="D528" s="67">
        <v>11.1</v>
      </c>
      <c r="E528" s="181">
        <v>0.3581</v>
      </c>
      <c r="F528" s="67">
        <v>1</v>
      </c>
      <c r="G528" s="182">
        <v>8.15</v>
      </c>
      <c r="H528" s="183">
        <f t="shared" si="208"/>
        <v>85.5743417457166</v>
      </c>
      <c r="I528" s="195">
        <f t="shared" si="209"/>
        <v>85.0775393366892</v>
      </c>
      <c r="J528" s="183">
        <f t="shared" ref="J528" si="215">(H528-H529)/I528*100</f>
        <v>1.16788147118661</v>
      </c>
      <c r="K528" s="196"/>
      <c r="L528" s="198">
        <v>13.6</v>
      </c>
      <c r="M528" s="201">
        <f>I528/(100-L528)*100</f>
        <v>98.4693742322792</v>
      </c>
    </row>
    <row r="529" spans="2:13">
      <c r="B529" s="173"/>
      <c r="C529" s="180"/>
      <c r="D529" s="67">
        <v>11.1</v>
      </c>
      <c r="E529" s="181">
        <v>0.3691</v>
      </c>
      <c r="F529" s="67">
        <v>1</v>
      </c>
      <c r="G529" s="182">
        <v>8</v>
      </c>
      <c r="H529" s="183">
        <f t="shared" si="208"/>
        <v>84.5807369276619</v>
      </c>
      <c r="I529" s="195"/>
      <c r="J529" s="183"/>
      <c r="K529" s="196"/>
      <c r="L529" s="198"/>
      <c r="M529" s="202"/>
    </row>
    <row r="530" spans="2:13">
      <c r="B530" s="173" t="s">
        <v>1721</v>
      </c>
      <c r="C530" s="180"/>
      <c r="D530" s="67">
        <v>11.1</v>
      </c>
      <c r="E530" s="181">
        <v>0.3443</v>
      </c>
      <c r="F530" s="67">
        <v>1</v>
      </c>
      <c r="G530" s="182">
        <v>8.5</v>
      </c>
      <c r="H530" s="183">
        <f t="shared" si="208"/>
        <v>85.3393928003964</v>
      </c>
      <c r="I530" s="195">
        <f t="shared" si="209"/>
        <v>85.0594067753662</v>
      </c>
      <c r="J530" s="183">
        <f>(H530-H531)/I530*100</f>
        <v>0.658330537784189</v>
      </c>
      <c r="K530" s="196"/>
      <c r="L530" s="198"/>
      <c r="M530" s="201">
        <f>I530/(100-L530)*100</f>
        <v>85.0594067753662</v>
      </c>
    </row>
    <row r="531" spans="2:13">
      <c r="B531" s="173"/>
      <c r="C531" s="180"/>
      <c r="D531" s="67">
        <v>11.1</v>
      </c>
      <c r="E531" s="181">
        <v>0.3528</v>
      </c>
      <c r="F531" s="67">
        <v>1</v>
      </c>
      <c r="G531" s="182">
        <v>8.35</v>
      </c>
      <c r="H531" s="183">
        <f t="shared" si="208"/>
        <v>84.7794207503361</v>
      </c>
      <c r="I531" s="195"/>
      <c r="J531" s="183"/>
      <c r="K531" s="196"/>
      <c r="L531" s="198"/>
      <c r="M531" s="202"/>
    </row>
    <row r="532" spans="2:13">
      <c r="B532" s="173" t="s">
        <v>1722</v>
      </c>
      <c r="C532" s="180"/>
      <c r="D532" s="67">
        <v>11.1</v>
      </c>
      <c r="E532" s="181">
        <v>0.3539</v>
      </c>
      <c r="F532" s="67">
        <v>1</v>
      </c>
      <c r="G532" s="182">
        <v>8.4</v>
      </c>
      <c r="H532" s="183">
        <f t="shared" si="208"/>
        <v>84.0128365559278</v>
      </c>
      <c r="I532" s="195">
        <f t="shared" si="209"/>
        <v>84.1825193317332</v>
      </c>
      <c r="J532" s="183">
        <f>(H532-H533)/I532*100</f>
        <v>-0.403130666918365</v>
      </c>
      <c r="K532" s="196"/>
      <c r="L532" s="198">
        <v>14.2</v>
      </c>
      <c r="M532" s="201">
        <f>I532/(100-L532)*100</f>
        <v>98.1148243959594</v>
      </c>
    </row>
    <row r="533" spans="2:13">
      <c r="B533" s="173"/>
      <c r="C533" s="180"/>
      <c r="D533" s="67">
        <v>11.1</v>
      </c>
      <c r="E533" s="181">
        <v>0.3701</v>
      </c>
      <c r="F533" s="67">
        <v>1</v>
      </c>
      <c r="G533" s="182">
        <v>8</v>
      </c>
      <c r="H533" s="183">
        <f t="shared" si="208"/>
        <v>84.3522021075385</v>
      </c>
      <c r="I533" s="195"/>
      <c r="J533" s="183"/>
      <c r="K533" s="196"/>
      <c r="L533" s="198"/>
      <c r="M533" s="202"/>
    </row>
    <row r="534" spans="1:11">
      <c r="A534">
        <v>1.9</v>
      </c>
      <c r="B534" s="179" t="s">
        <v>1723</v>
      </c>
      <c r="C534" s="180"/>
      <c r="D534" s="67">
        <v>11.1</v>
      </c>
      <c r="E534" s="181">
        <v>0.3786</v>
      </c>
      <c r="F534" s="67">
        <v>1</v>
      </c>
      <c r="G534" s="182">
        <v>8.1</v>
      </c>
      <c r="H534" s="183">
        <f t="shared" ref="H534:H535" si="216">D534*100*F534*250*0.9/E534/G534/1000</f>
        <v>81.4403944356401</v>
      </c>
      <c r="I534" s="195">
        <f t="shared" si="209"/>
        <v>81.6369956319357</v>
      </c>
      <c r="J534" s="183">
        <f>(H534-H535)/I534*100</f>
        <v>-0.481647308977493</v>
      </c>
      <c r="K534" s="196"/>
    </row>
    <row r="535" spans="2:11">
      <c r="B535" s="179"/>
      <c r="C535" s="180"/>
      <c r="D535" s="67">
        <v>11.1</v>
      </c>
      <c r="E535" s="181">
        <v>0.3655</v>
      </c>
      <c r="F535" s="67">
        <v>1</v>
      </c>
      <c r="G535" s="182">
        <v>8.35</v>
      </c>
      <c r="H535" s="183">
        <f t="shared" si="216"/>
        <v>81.8335968282314</v>
      </c>
      <c r="I535" s="195"/>
      <c r="J535" s="183"/>
      <c r="K535" s="196"/>
    </row>
    <row r="536" spans="2:11">
      <c r="B536" s="179" t="s">
        <v>1724</v>
      </c>
      <c r="C536" s="180"/>
      <c r="D536" s="67">
        <v>11.1</v>
      </c>
      <c r="E536" s="181">
        <v>0.3758</v>
      </c>
      <c r="F536" s="67">
        <v>1</v>
      </c>
      <c r="G536" s="182">
        <v>7.9</v>
      </c>
      <c r="H536" s="183">
        <f t="shared" ref="H536:H551" si="217">D536*100*F536*250*0.9/E536/G536/1000</f>
        <v>84.1243322262717</v>
      </c>
      <c r="I536" s="195">
        <f t="shared" si="209"/>
        <v>83.9133718803074</v>
      </c>
      <c r="J536" s="183">
        <f t="shared" ref="J536" si="218">(H536-H537)/I536*100</f>
        <v>0.502805074417014</v>
      </c>
      <c r="K536" s="196"/>
    </row>
    <row r="537" spans="2:11">
      <c r="B537" s="179"/>
      <c r="C537" s="180"/>
      <c r="D537" s="67">
        <v>11.1</v>
      </c>
      <c r="E537" s="181">
        <v>0.3801</v>
      </c>
      <c r="F537" s="67">
        <v>1</v>
      </c>
      <c r="G537" s="182">
        <v>7.85</v>
      </c>
      <c r="H537" s="183">
        <f t="shared" si="217"/>
        <v>83.7024115343431</v>
      </c>
      <c r="I537" s="195"/>
      <c r="J537" s="183"/>
      <c r="K537" s="196"/>
    </row>
    <row r="538" spans="2:11">
      <c r="B538" s="179" t="s">
        <v>1725</v>
      </c>
      <c r="C538" s="180"/>
      <c r="D538" s="67">
        <v>11.1</v>
      </c>
      <c r="E538" s="181">
        <v>0.379</v>
      </c>
      <c r="F538" s="67">
        <v>1</v>
      </c>
      <c r="G538" s="182">
        <v>8</v>
      </c>
      <c r="H538" s="183">
        <f t="shared" si="217"/>
        <v>82.3713720316623</v>
      </c>
      <c r="I538" s="195">
        <f t="shared" si="209"/>
        <v>81.7491404142252</v>
      </c>
      <c r="J538" s="183">
        <f t="shared" ref="J538" si="219">(H538-H539)/I538*100</f>
        <v>1.52229519303625</v>
      </c>
      <c r="K538" s="196"/>
    </row>
    <row r="539" spans="2:11">
      <c r="B539" s="179"/>
      <c r="C539" s="180"/>
      <c r="D539" s="67">
        <v>11.1</v>
      </c>
      <c r="E539" s="181">
        <v>0.3459</v>
      </c>
      <c r="F539" s="67">
        <v>1</v>
      </c>
      <c r="G539" s="182">
        <v>8.9</v>
      </c>
      <c r="H539" s="183">
        <f t="shared" si="217"/>
        <v>81.1269087967881</v>
      </c>
      <c r="I539" s="195"/>
      <c r="J539" s="183"/>
      <c r="K539" s="196"/>
    </row>
    <row r="540" spans="2:11">
      <c r="B540" s="179" t="s">
        <v>1726</v>
      </c>
      <c r="C540" s="180"/>
      <c r="D540" s="67">
        <v>11.1</v>
      </c>
      <c r="E540" s="181">
        <v>0.3539</v>
      </c>
      <c r="F540" s="67">
        <v>1</v>
      </c>
      <c r="G540" s="182">
        <v>8.4</v>
      </c>
      <c r="H540" s="183">
        <f t="shared" si="217"/>
        <v>84.0128365559278</v>
      </c>
      <c r="I540" s="195">
        <f t="shared" si="209"/>
        <v>83.819997520347</v>
      </c>
      <c r="J540" s="183">
        <f t="shared" ref="J540" si="220">(H540-H541)/I540*100</f>
        <v>0.460126559975039</v>
      </c>
      <c r="K540" s="196"/>
    </row>
    <row r="541" ht="30.75" customHeight="1" spans="2:11">
      <c r="B541" s="179"/>
      <c r="C541" s="180"/>
      <c r="D541" s="67">
        <v>11.1</v>
      </c>
      <c r="E541" s="181">
        <v>0.3687</v>
      </c>
      <c r="F541" s="67">
        <v>1</v>
      </c>
      <c r="G541" s="182">
        <v>8.1</v>
      </c>
      <c r="H541" s="183">
        <f t="shared" si="217"/>
        <v>83.6271584847663</v>
      </c>
      <c r="I541" s="195"/>
      <c r="J541" s="183"/>
      <c r="K541" s="196"/>
    </row>
    <row r="542" ht="22.5" customHeight="1" spans="2:11">
      <c r="B542" s="179" t="s">
        <v>1727</v>
      </c>
      <c r="C542" s="180"/>
      <c r="D542" s="67">
        <v>11.1</v>
      </c>
      <c r="E542" s="181">
        <v>0.3767</v>
      </c>
      <c r="F542" s="67">
        <v>1</v>
      </c>
      <c r="G542" s="182">
        <v>7.95</v>
      </c>
      <c r="H542" s="183">
        <f t="shared" si="217"/>
        <v>83.3955251914591</v>
      </c>
      <c r="I542" s="195">
        <f t="shared" si="209"/>
        <v>83.6883607368785</v>
      </c>
      <c r="J542" s="183">
        <f t="shared" ref="J542" si="221">(H542-H543)/I542*100</f>
        <v>-0.699823829361617</v>
      </c>
      <c r="K542" s="196"/>
    </row>
    <row r="543" spans="2:11">
      <c r="B543" s="179"/>
      <c r="C543" s="180"/>
      <c r="D543" s="67">
        <v>11.1</v>
      </c>
      <c r="E543" s="181">
        <v>0.3458</v>
      </c>
      <c r="F543" s="67">
        <v>1</v>
      </c>
      <c r="G543" s="182">
        <v>8.6</v>
      </c>
      <c r="H543" s="183">
        <f t="shared" si="217"/>
        <v>83.9811962822979</v>
      </c>
      <c r="I543" s="195"/>
      <c r="J543" s="183"/>
      <c r="K543" s="196"/>
    </row>
    <row r="544" spans="2:11">
      <c r="B544" s="179" t="s">
        <v>1728</v>
      </c>
      <c r="C544" s="180"/>
      <c r="D544" s="67">
        <v>11.1</v>
      </c>
      <c r="E544" s="181">
        <v>0.3781</v>
      </c>
      <c r="F544" s="67">
        <v>1</v>
      </c>
      <c r="G544" s="182">
        <v>8</v>
      </c>
      <c r="H544" s="183">
        <f t="shared" si="217"/>
        <v>82.5674424755356</v>
      </c>
      <c r="I544" s="195">
        <f t="shared" si="209"/>
        <v>82.6789775651508</v>
      </c>
      <c r="J544" s="183">
        <f t="shared" ref="J544" si="222">(H544-H545)/I544*100</f>
        <v>-0.269802779134148</v>
      </c>
      <c r="K544" s="196"/>
    </row>
    <row r="545" spans="2:11">
      <c r="B545" s="179"/>
      <c r="C545" s="180"/>
      <c r="D545" s="67">
        <v>11.1</v>
      </c>
      <c r="E545" s="181">
        <v>0.3549</v>
      </c>
      <c r="F545" s="67">
        <v>1</v>
      </c>
      <c r="G545" s="182">
        <v>8.5</v>
      </c>
      <c r="H545" s="183">
        <f t="shared" si="217"/>
        <v>82.790512654766</v>
      </c>
      <c r="I545" s="195"/>
      <c r="J545" s="183"/>
      <c r="K545" s="196"/>
    </row>
    <row r="546" spans="2:11">
      <c r="B546" s="179" t="s">
        <v>1729</v>
      </c>
      <c r="C546" s="180"/>
      <c r="D546" s="67">
        <v>11.1</v>
      </c>
      <c r="E546" s="181">
        <v>0.3761</v>
      </c>
      <c r="F546" s="67">
        <v>1</v>
      </c>
      <c r="G546" s="182">
        <v>8</v>
      </c>
      <c r="H546" s="183">
        <f t="shared" si="217"/>
        <v>83.0065142249402</v>
      </c>
      <c r="I546" s="195">
        <f t="shared" si="209"/>
        <v>84.0085415532384</v>
      </c>
      <c r="J546" s="183">
        <f t="shared" ref="J546" si="223">(H546-H547)/I546*100</f>
        <v>-2.38553677940761</v>
      </c>
      <c r="K546" s="196"/>
    </row>
    <row r="547" spans="2:11">
      <c r="B547" s="179"/>
      <c r="C547" s="180"/>
      <c r="D547" s="67">
        <v>11.1</v>
      </c>
      <c r="E547" s="181">
        <v>0.3627</v>
      </c>
      <c r="F547" s="67">
        <v>1</v>
      </c>
      <c r="G547" s="182">
        <v>8.1</v>
      </c>
      <c r="H547" s="183">
        <f t="shared" si="217"/>
        <v>85.0105688815366</v>
      </c>
      <c r="I547" s="195"/>
      <c r="J547" s="183"/>
      <c r="K547" s="196"/>
    </row>
    <row r="548" spans="2:11">
      <c r="B548" s="179" t="s">
        <v>1730</v>
      </c>
      <c r="C548" s="180"/>
      <c r="D548" s="67">
        <v>11.1</v>
      </c>
      <c r="E548" s="181">
        <v>0.3579</v>
      </c>
      <c r="F548" s="67">
        <v>1</v>
      </c>
      <c r="G548" s="182">
        <v>8.25</v>
      </c>
      <c r="H548" s="183">
        <f t="shared" si="217"/>
        <v>84.5843176103025</v>
      </c>
      <c r="I548" s="195">
        <f t="shared" si="209"/>
        <v>82.3043987856698</v>
      </c>
      <c r="J548" s="183">
        <f t="shared" ref="J548" si="224">(H548-H549)/I548*100</f>
        <v>5.54021135752385</v>
      </c>
      <c r="K548" s="196"/>
    </row>
    <row r="549" spans="2:11">
      <c r="B549" s="179"/>
      <c r="C549" s="180"/>
      <c r="D549" s="67">
        <v>11.1</v>
      </c>
      <c r="E549" s="181">
        <v>0.3608</v>
      </c>
      <c r="F549" s="67">
        <v>1</v>
      </c>
      <c r="G549" s="182">
        <v>8.65</v>
      </c>
      <c r="H549" s="183">
        <f t="shared" si="217"/>
        <v>80.0244799610371</v>
      </c>
      <c r="I549" s="195"/>
      <c r="J549" s="183"/>
      <c r="K549" s="196"/>
    </row>
    <row r="550" spans="2:11">
      <c r="B550" s="179" t="s">
        <v>1731</v>
      </c>
      <c r="C550" s="180"/>
      <c r="D550" s="67">
        <v>11.1</v>
      </c>
      <c r="E550" s="181">
        <v>0.4061</v>
      </c>
      <c r="F550" s="67">
        <v>1</v>
      </c>
      <c r="G550" s="182">
        <v>7.5</v>
      </c>
      <c r="H550" s="183">
        <f t="shared" si="217"/>
        <v>81.9995075104654</v>
      </c>
      <c r="I550" s="195">
        <f t="shared" si="209"/>
        <v>81.9564765614447</v>
      </c>
      <c r="J550" s="183">
        <f t="shared" ref="J550" si="225">(H550-H551)/I550*100</f>
        <v>0.105009270349644</v>
      </c>
      <c r="K550" s="196"/>
    </row>
    <row r="551" spans="2:11">
      <c r="B551" s="179"/>
      <c r="C551" s="180"/>
      <c r="D551" s="67">
        <v>11.1</v>
      </c>
      <c r="E551" s="181">
        <v>0.3587</v>
      </c>
      <c r="F551" s="67">
        <v>1</v>
      </c>
      <c r="G551" s="182">
        <v>8.5</v>
      </c>
      <c r="H551" s="183">
        <f t="shared" si="217"/>
        <v>81.9134456124239</v>
      </c>
      <c r="I551" s="195"/>
      <c r="J551" s="183"/>
      <c r="K551" s="196"/>
    </row>
    <row r="552" spans="2:11">
      <c r="B552" s="179" t="s">
        <v>1732</v>
      </c>
      <c r="C552" s="180"/>
      <c r="D552" s="67">
        <v>11.1</v>
      </c>
      <c r="E552" s="181">
        <v>0.3679</v>
      </c>
      <c r="F552" s="67">
        <v>1</v>
      </c>
      <c r="G552" s="182">
        <v>8.4</v>
      </c>
      <c r="H552" s="183">
        <f t="shared" ref="H552:H557" si="226">D552*100*F552*250*0.9/E552/G552/1000</f>
        <v>80.8158272822584</v>
      </c>
      <c r="I552" s="195">
        <f t="shared" si="209"/>
        <v>80.4350311117038</v>
      </c>
      <c r="J552" s="183">
        <f t="shared" ref="J552" si="227">(H552-H553)/I552*100</f>
        <v>0.946841606925478</v>
      </c>
      <c r="K552" s="196"/>
    </row>
    <row r="553" spans="2:11">
      <c r="B553" s="179"/>
      <c r="C553" s="180"/>
      <c r="D553" s="67">
        <v>11.1</v>
      </c>
      <c r="E553" s="181">
        <v>0.3714</v>
      </c>
      <c r="F553" s="67">
        <v>1</v>
      </c>
      <c r="G553" s="182">
        <v>8.4</v>
      </c>
      <c r="H553" s="183">
        <f t="shared" si="226"/>
        <v>80.0542349411493</v>
      </c>
      <c r="I553" s="195"/>
      <c r="J553" s="183"/>
      <c r="K553" s="196"/>
    </row>
    <row r="554" spans="2:11">
      <c r="B554" s="179" t="s">
        <v>1733</v>
      </c>
      <c r="C554" s="180"/>
      <c r="D554" s="67">
        <v>11.1</v>
      </c>
      <c r="E554" s="181">
        <v>0.374</v>
      </c>
      <c r="F554" s="67">
        <v>1</v>
      </c>
      <c r="G554" s="182">
        <v>7.85</v>
      </c>
      <c r="H554" s="183">
        <f t="shared" si="226"/>
        <v>85.0676112946626</v>
      </c>
      <c r="I554" s="195">
        <f t="shared" si="209"/>
        <v>85.7024442147721</v>
      </c>
      <c r="J554" s="183">
        <f t="shared" ref="J554" si="228">(H554-H555)/I554*100</f>
        <v>-1.4814814814815</v>
      </c>
      <c r="K554" s="196"/>
    </row>
    <row r="555" spans="2:11">
      <c r="B555" s="179"/>
      <c r="C555" s="180"/>
      <c r="D555" s="67">
        <v>11.1</v>
      </c>
      <c r="E555" s="181">
        <v>0.3685</v>
      </c>
      <c r="F555" s="67">
        <v>1</v>
      </c>
      <c r="G555" s="182">
        <v>7.85</v>
      </c>
      <c r="H555" s="183">
        <f t="shared" si="226"/>
        <v>86.3372771348815</v>
      </c>
      <c r="I555" s="195"/>
      <c r="J555" s="183"/>
      <c r="K555" s="196"/>
    </row>
    <row r="556" spans="2:11">
      <c r="B556" s="179" t="s">
        <v>1734</v>
      </c>
      <c r="C556" s="180"/>
      <c r="D556" s="67">
        <v>11.1</v>
      </c>
      <c r="E556" s="181">
        <v>0.352</v>
      </c>
      <c r="F556" s="67">
        <v>1</v>
      </c>
      <c r="G556" s="182">
        <v>8.45</v>
      </c>
      <c r="H556" s="183">
        <f t="shared" si="226"/>
        <v>83.9665142549758</v>
      </c>
      <c r="I556" s="195">
        <f t="shared" si="209"/>
        <v>83.417933845762</v>
      </c>
      <c r="J556" s="183">
        <f t="shared" ref="J556" si="229">(H556-H557)/I556*100</f>
        <v>1.31525772438375</v>
      </c>
      <c r="K556" s="196"/>
    </row>
    <row r="557" spans="2:11">
      <c r="B557" s="179"/>
      <c r="C557" s="180"/>
      <c r="D557" s="67">
        <v>11.1</v>
      </c>
      <c r="E557" s="181">
        <v>0.3914</v>
      </c>
      <c r="F557" s="67">
        <v>1</v>
      </c>
      <c r="G557" s="182">
        <v>7.7</v>
      </c>
      <c r="H557" s="183">
        <f t="shared" si="226"/>
        <v>82.8693534365481</v>
      </c>
      <c r="I557" s="195"/>
      <c r="J557" s="183"/>
      <c r="K557" s="196"/>
    </row>
    <row r="558" spans="2:11">
      <c r="B558" s="179" t="s">
        <v>1735</v>
      </c>
      <c r="C558" s="180"/>
      <c r="D558" s="67">
        <v>11.1</v>
      </c>
      <c r="E558" s="181">
        <v>3.4872</v>
      </c>
      <c r="F558" s="67">
        <v>1</v>
      </c>
      <c r="G558" s="182">
        <v>15</v>
      </c>
      <c r="H558" s="183">
        <f t="shared" ref="H558:H559" si="230">D558*100*F558*250*0.9/E558/G558/1000</f>
        <v>4.77460426703372</v>
      </c>
      <c r="I558" s="195">
        <f t="shared" ref="I558" si="231">(H558+H559)/2</f>
        <v>4.68732451211298</v>
      </c>
      <c r="J558" s="183">
        <f t="shared" ref="J558" si="232">(H558-H559)/I558*100</f>
        <v>3.72407562972</v>
      </c>
      <c r="K558" s="196"/>
    </row>
    <row r="559" spans="2:11">
      <c r="B559" s="179"/>
      <c r="C559" s="180"/>
      <c r="D559" s="67">
        <v>11.1</v>
      </c>
      <c r="E559" s="203">
        <v>4.0217</v>
      </c>
      <c r="F559" s="67">
        <v>1</v>
      </c>
      <c r="G559" s="182">
        <v>13.5</v>
      </c>
      <c r="H559" s="183">
        <f t="shared" si="230"/>
        <v>4.60004475719223</v>
      </c>
      <c r="I559" s="195"/>
      <c r="J559" s="183"/>
      <c r="K559" s="196"/>
    </row>
    <row r="560" spans="2:11">
      <c r="B560" s="179" t="s">
        <v>1736</v>
      </c>
      <c r="C560" s="180"/>
      <c r="D560" s="67">
        <v>11.1</v>
      </c>
      <c r="E560" s="181">
        <v>2.0733</v>
      </c>
      <c r="F560" s="67">
        <v>1</v>
      </c>
      <c r="G560" s="182">
        <v>6.5</v>
      </c>
      <c r="H560" s="183">
        <f t="shared" ref="H560:H561" si="233">D560*100*F560*250*0.9/E560/G560/1000</f>
        <v>18.5323286176998</v>
      </c>
      <c r="I560" s="195">
        <f t="shared" ref="I560" si="234">(H560+H561)/2</f>
        <v>18.6790419546317</v>
      </c>
      <c r="J560" s="183">
        <f t="shared" ref="J560" si="235">(H560-H561)/I560*100</f>
        <v>-1.57088717171133</v>
      </c>
      <c r="K560" s="196"/>
    </row>
    <row r="561" spans="2:11">
      <c r="B561" s="179"/>
      <c r="C561" s="180"/>
      <c r="D561" s="67">
        <v>11.1</v>
      </c>
      <c r="E561" s="203">
        <v>1.8952</v>
      </c>
      <c r="F561" s="67">
        <v>1</v>
      </c>
      <c r="G561" s="182">
        <v>7</v>
      </c>
      <c r="H561" s="183">
        <f t="shared" si="233"/>
        <v>18.8257552915637</v>
      </c>
      <c r="I561" s="195"/>
      <c r="J561" s="183"/>
      <c r="K561" s="196"/>
    </row>
    <row r="562" spans="2:11">
      <c r="B562" s="179" t="s">
        <v>1737</v>
      </c>
      <c r="C562" s="180"/>
      <c r="D562" s="67">
        <v>11.1</v>
      </c>
      <c r="E562" s="181">
        <v>1.9852</v>
      </c>
      <c r="F562" s="67">
        <v>1</v>
      </c>
      <c r="G562" s="182">
        <v>13.6</v>
      </c>
      <c r="H562" s="183">
        <f t="shared" ref="H562:H567" si="236">D562*100*F562*250*0.9/E562/G562/1000</f>
        <v>9.25043853930853</v>
      </c>
      <c r="I562" s="195">
        <f t="shared" ref="I562" si="237">(H562+H563)/2</f>
        <v>9.28313520895868</v>
      </c>
      <c r="J562" s="183">
        <f t="shared" ref="J562" si="238">(H562-H563)/I562*100</f>
        <v>-0.704431615271505</v>
      </c>
      <c r="K562" s="196"/>
    </row>
    <row r="563" spans="2:11">
      <c r="B563" s="179"/>
      <c r="C563" s="180"/>
      <c r="D563" s="67">
        <v>11.1</v>
      </c>
      <c r="E563" s="203">
        <v>2.031</v>
      </c>
      <c r="F563" s="67">
        <v>1</v>
      </c>
      <c r="G563" s="182">
        <v>13.2</v>
      </c>
      <c r="H563" s="183">
        <f t="shared" si="236"/>
        <v>9.31583187860884</v>
      </c>
      <c r="I563" s="195"/>
      <c r="J563" s="183"/>
      <c r="K563" s="196"/>
    </row>
    <row r="564" spans="2:13">
      <c r="B564" s="179" t="s">
        <v>1738</v>
      </c>
      <c r="C564" s="180"/>
      <c r="D564" s="67">
        <v>11.1</v>
      </c>
      <c r="E564" s="181">
        <v>1.1072</v>
      </c>
      <c r="F564" s="67">
        <v>1</v>
      </c>
      <c r="G564" s="182">
        <v>8.5</v>
      </c>
      <c r="H564" s="183">
        <f t="shared" si="236"/>
        <v>26.5375297517851</v>
      </c>
      <c r="I564" s="195">
        <v>26.5</v>
      </c>
      <c r="J564" s="183">
        <f t="shared" ref="J564" si="239">(H564-H565)/I564*100</f>
        <v>0.607230435516082</v>
      </c>
      <c r="K564" s="196"/>
      <c r="L564" s="142">
        <v>53</v>
      </c>
      <c r="M564" s="199">
        <f>I564/(100-L564)*100</f>
        <v>56.3829787234042</v>
      </c>
    </row>
    <row r="565" spans="2:13">
      <c r="B565" s="179"/>
      <c r="C565" s="180"/>
      <c r="D565" s="67">
        <v>11.1</v>
      </c>
      <c r="E565" s="203">
        <v>1.0699</v>
      </c>
      <c r="F565" s="67">
        <v>1</v>
      </c>
      <c r="G565" s="182">
        <v>8.85</v>
      </c>
      <c r="H565" s="183">
        <f t="shared" si="236"/>
        <v>26.3766136863733</v>
      </c>
      <c r="I565" s="195"/>
      <c r="J565" s="183"/>
      <c r="K565" s="196"/>
      <c r="M565" s="200"/>
    </row>
    <row r="566" spans="2:13">
      <c r="B566" s="179" t="s">
        <v>1739</v>
      </c>
      <c r="C566" s="180"/>
      <c r="D566" s="67">
        <v>11.1</v>
      </c>
      <c r="E566" s="181">
        <v>0.3696</v>
      </c>
      <c r="F566" s="67">
        <v>1</v>
      </c>
      <c r="G566" s="182">
        <v>8.4</v>
      </c>
      <c r="H566" s="183">
        <f t="shared" si="236"/>
        <v>80.4441094619666</v>
      </c>
      <c r="I566" s="195">
        <f t="shared" ref="I566" si="240">(H566+H567)/2</f>
        <v>80.3247561838331</v>
      </c>
      <c r="J566" s="183">
        <f t="shared" ref="J566" si="241">(H566-H567)/I566*100</f>
        <v>0.297176820208004</v>
      </c>
      <c r="K566" s="196"/>
      <c r="L566" s="142">
        <v>8.91</v>
      </c>
      <c r="M566" s="201">
        <f>I566/(100-L566)*100</f>
        <v>88.1817501194787</v>
      </c>
    </row>
    <row r="567" spans="2:13">
      <c r="B567" s="179"/>
      <c r="C567" s="180"/>
      <c r="D567" s="67">
        <v>11.1</v>
      </c>
      <c r="E567" s="203">
        <v>0.3707</v>
      </c>
      <c r="F567" s="67">
        <v>1</v>
      </c>
      <c r="G567" s="182">
        <v>8.4</v>
      </c>
      <c r="H567" s="183">
        <f t="shared" si="236"/>
        <v>80.2054029056996</v>
      </c>
      <c r="I567" s="195"/>
      <c r="J567" s="183"/>
      <c r="K567" s="196"/>
      <c r="M567" s="202"/>
    </row>
    <row r="568" spans="2:13">
      <c r="B568" s="179" t="s">
        <v>1740</v>
      </c>
      <c r="C568" s="180"/>
      <c r="D568" s="67">
        <v>11.1</v>
      </c>
      <c r="E568" s="181">
        <v>0.3432</v>
      </c>
      <c r="F568" s="67">
        <v>1</v>
      </c>
      <c r="G568" s="182">
        <v>8.7</v>
      </c>
      <c r="H568" s="183">
        <f t="shared" ref="H568:H569" si="242">D568*100*F568*250*0.9/E568/G568/1000</f>
        <v>83.6448034723897</v>
      </c>
      <c r="I568" s="195">
        <f t="shared" ref="I568" si="243">(H568+H569)/2</f>
        <v>82.8232997338407</v>
      </c>
      <c r="J568" s="183">
        <f t="shared" ref="J568" si="244">(H568-H569)/I568*100</f>
        <v>1.98375032433863</v>
      </c>
      <c r="K568" s="196"/>
      <c r="M568" s="201"/>
    </row>
    <row r="569" spans="2:13">
      <c r="B569" s="179"/>
      <c r="C569" s="180"/>
      <c r="D569" s="67">
        <v>11.1</v>
      </c>
      <c r="E569" s="203">
        <v>0.3521</v>
      </c>
      <c r="F569" s="67">
        <v>1</v>
      </c>
      <c r="G569" s="182">
        <v>8.65</v>
      </c>
      <c r="H569" s="183">
        <f t="shared" si="242"/>
        <v>82.0017959952917</v>
      </c>
      <c r="I569" s="195"/>
      <c r="J569" s="183"/>
      <c r="K569" s="196"/>
      <c r="M569" s="202"/>
    </row>
    <row r="570" spans="2:12">
      <c r="B570" s="179" t="s">
        <v>1741</v>
      </c>
      <c r="C570" s="180"/>
      <c r="D570" s="67">
        <v>10.8</v>
      </c>
      <c r="E570" s="181">
        <v>0.3562</v>
      </c>
      <c r="F570" s="67">
        <v>1</v>
      </c>
      <c r="G570" s="182">
        <v>8.65</v>
      </c>
      <c r="H570" s="183">
        <f t="shared" ref="H570:H573" si="245">D570*100*F570*250*0.9/E570/G570/1000</f>
        <v>78.8671688633715</v>
      </c>
      <c r="I570" s="195">
        <f t="shared" ref="I570" si="246">(H570+H571)/2</f>
        <v>79.1083493219679</v>
      </c>
      <c r="J570" s="183">
        <f t="shared" ref="J570" si="247">(H570-H571)/I570*100</f>
        <v>-0.609747164903618</v>
      </c>
      <c r="K570" s="196"/>
      <c r="L570" s="142">
        <v>14</v>
      </c>
    </row>
    <row r="571" spans="2:11">
      <c r="B571" s="179"/>
      <c r="C571" s="180"/>
      <c r="D571" s="67">
        <v>10.8</v>
      </c>
      <c r="E571" s="203">
        <v>0.352</v>
      </c>
      <c r="F571" s="67">
        <v>1</v>
      </c>
      <c r="G571" s="182">
        <v>8.7</v>
      </c>
      <c r="H571" s="183">
        <f t="shared" si="245"/>
        <v>79.3495297805643</v>
      </c>
      <c r="I571" s="195"/>
      <c r="J571" s="183"/>
      <c r="K571" s="196"/>
    </row>
    <row r="572" spans="2:11">
      <c r="B572" s="179" t="s">
        <v>1742</v>
      </c>
      <c r="C572" s="180"/>
      <c r="D572" s="67">
        <v>10.8</v>
      </c>
      <c r="E572" s="181">
        <v>0.3475</v>
      </c>
      <c r="F572" s="67">
        <v>1</v>
      </c>
      <c r="G572" s="182">
        <v>8.45</v>
      </c>
      <c r="H572" s="183">
        <f t="shared" si="245"/>
        <v>82.7550976969904</v>
      </c>
      <c r="I572" s="195">
        <f t="shared" ref="I572" si="248">(H572+H573)/2</f>
        <v>82.7035874840897</v>
      </c>
      <c r="J572" s="183">
        <f t="shared" ref="J572" si="249">(H572-H573)/I572*100</f>
        <v>0.124565848877156</v>
      </c>
      <c r="K572" s="196"/>
    </row>
    <row r="573" spans="2:12">
      <c r="B573" s="179"/>
      <c r="C573" s="180"/>
      <c r="D573" s="67">
        <v>10.8</v>
      </c>
      <c r="E573" s="203">
        <v>0.3521</v>
      </c>
      <c r="F573" s="67">
        <v>1</v>
      </c>
      <c r="G573" s="182">
        <v>8.35</v>
      </c>
      <c r="H573" s="183">
        <f t="shared" si="245"/>
        <v>82.6520772711889</v>
      </c>
      <c r="I573" s="195"/>
      <c r="J573" s="183"/>
      <c r="K573" s="196"/>
      <c r="L573" s="142">
        <v>13.5</v>
      </c>
    </row>
    <row r="574" spans="1:11">
      <c r="A574">
        <v>1.17</v>
      </c>
      <c r="B574" s="179" t="s">
        <v>1743</v>
      </c>
      <c r="C574" s="180"/>
      <c r="D574" s="67">
        <v>10.8</v>
      </c>
      <c r="E574" s="181">
        <v>1.1376</v>
      </c>
      <c r="F574" s="67">
        <v>5</v>
      </c>
      <c r="G574" s="182">
        <v>13.9</v>
      </c>
      <c r="H574" s="183">
        <f t="shared" ref="H574:H577" si="250">D574*100*F574*250*0.9/E574/G574/1000</f>
        <v>76.8372643657226</v>
      </c>
      <c r="I574" s="195">
        <f t="shared" ref="I574" si="251">(H574+H575)/2</f>
        <v>76.2989434935481</v>
      </c>
      <c r="J574" s="183">
        <f t="shared" ref="J574" si="252">(H574-H575)/I574*100</f>
        <v>1.41108342403195</v>
      </c>
      <c r="K574" s="196"/>
    </row>
    <row r="575" spans="2:11">
      <c r="B575" s="179"/>
      <c r="C575" s="180"/>
      <c r="D575" s="67">
        <v>10.8</v>
      </c>
      <c r="E575" s="203">
        <v>1.2013</v>
      </c>
      <c r="F575" s="67">
        <v>5</v>
      </c>
      <c r="G575" s="182">
        <v>13.35</v>
      </c>
      <c r="H575" s="183">
        <f t="shared" si="250"/>
        <v>75.7606226213737</v>
      </c>
      <c r="I575" s="195"/>
      <c r="J575" s="183"/>
      <c r="K575" s="196"/>
    </row>
    <row r="576" spans="2:11">
      <c r="B576" s="179" t="s">
        <v>1744</v>
      </c>
      <c r="C576" s="180"/>
      <c r="D576" s="67">
        <v>10.8</v>
      </c>
      <c r="E576" s="203">
        <v>0.5509</v>
      </c>
      <c r="F576" s="67">
        <v>2</v>
      </c>
      <c r="G576" s="182">
        <v>11.5</v>
      </c>
      <c r="H576" s="183">
        <f t="shared" si="250"/>
        <v>76.712415257247</v>
      </c>
      <c r="I576" s="195">
        <f t="shared" ref="I576" si="253">(H576+H577)/2</f>
        <v>76.4259614442155</v>
      </c>
      <c r="J576" s="183">
        <f t="shared" ref="J576" si="254">(H576-H577)/I576*100</f>
        <v>0.749624362241415</v>
      </c>
      <c r="K576" s="196"/>
    </row>
    <row r="577" spans="2:11">
      <c r="B577" s="179"/>
      <c r="C577" s="180"/>
      <c r="D577" s="67">
        <v>10.8</v>
      </c>
      <c r="E577" s="203">
        <v>0.5026</v>
      </c>
      <c r="F577" s="67">
        <v>2</v>
      </c>
      <c r="G577" s="182">
        <v>12.7</v>
      </c>
      <c r="H577" s="183">
        <f t="shared" si="250"/>
        <v>76.139507631184</v>
      </c>
      <c r="I577" s="195"/>
      <c r="J577" s="183"/>
      <c r="K577" s="196"/>
    </row>
    <row r="578" spans="2:11">
      <c r="B578" s="179" t="s">
        <v>1745</v>
      </c>
      <c r="C578" s="180"/>
      <c r="D578" s="67">
        <v>10.8</v>
      </c>
      <c r="E578" s="181">
        <v>0.4567</v>
      </c>
      <c r="F578" s="67">
        <v>2</v>
      </c>
      <c r="G578" s="182">
        <v>14.1</v>
      </c>
      <c r="H578" s="183">
        <f t="shared" ref="H578:H589" si="255">D578*100*F578*250*0.9/E578/G578/1000</f>
        <v>75.4720497183775</v>
      </c>
      <c r="I578" s="195">
        <f t="shared" ref="I578" si="256">(H578+H579)/2</f>
        <v>75.4858260124995</v>
      </c>
      <c r="J578" s="183">
        <f t="shared" ref="J578" si="257">(H578-H579)/I578*100</f>
        <v>-0.0365003467532537</v>
      </c>
      <c r="K578" s="196"/>
    </row>
    <row r="579" spans="2:11">
      <c r="B579" s="179"/>
      <c r="C579" s="180"/>
      <c r="D579" s="67">
        <v>10.8</v>
      </c>
      <c r="E579" s="203">
        <v>0.5029</v>
      </c>
      <c r="F579" s="67">
        <v>2</v>
      </c>
      <c r="G579" s="182">
        <v>12.8</v>
      </c>
      <c r="H579" s="183">
        <f t="shared" si="255"/>
        <v>75.4996023066216</v>
      </c>
      <c r="I579" s="195"/>
      <c r="J579" s="183"/>
      <c r="K579" s="196"/>
    </row>
    <row r="580" spans="2:11">
      <c r="B580" s="179" t="s">
        <v>1746</v>
      </c>
      <c r="C580" s="180"/>
      <c r="D580" s="67">
        <v>10.8</v>
      </c>
      <c r="E580" s="181">
        <v>0.4832</v>
      </c>
      <c r="F580" s="67">
        <v>2</v>
      </c>
      <c r="G580" s="182">
        <v>14.25</v>
      </c>
      <c r="H580" s="183">
        <f t="shared" si="255"/>
        <v>70.5820843499477</v>
      </c>
      <c r="I580" s="195">
        <f t="shared" ref="I580" si="258">(H580+H581)/2</f>
        <v>70.9424506256781</v>
      </c>
      <c r="J580" s="183">
        <f t="shared" ref="J580" si="259">(H580-H581)/I580*100</f>
        <v>-1.01593974426346</v>
      </c>
      <c r="K580" s="196"/>
    </row>
    <row r="581" spans="2:11">
      <c r="B581" s="179"/>
      <c r="C581" s="180"/>
      <c r="D581" s="67">
        <v>10.8</v>
      </c>
      <c r="E581" s="203">
        <v>0.5325</v>
      </c>
      <c r="F581" s="67">
        <v>2</v>
      </c>
      <c r="G581" s="182">
        <v>12.8</v>
      </c>
      <c r="H581" s="183">
        <f t="shared" si="255"/>
        <v>71.3028169014084</v>
      </c>
      <c r="I581" s="195"/>
      <c r="J581" s="183"/>
      <c r="K581" s="196"/>
    </row>
    <row r="582" spans="2:11">
      <c r="B582" s="179" t="s">
        <v>1747</v>
      </c>
      <c r="C582" s="180"/>
      <c r="D582" s="67">
        <v>10.8</v>
      </c>
      <c r="E582" s="181">
        <v>0.4917</v>
      </c>
      <c r="F582" s="67">
        <v>2</v>
      </c>
      <c r="G582" s="182">
        <v>13.7</v>
      </c>
      <c r="H582" s="183">
        <f t="shared" si="255"/>
        <v>72.1465376342171</v>
      </c>
      <c r="I582" s="195">
        <f t="shared" ref="I582" si="260">(H582+H583)/2</f>
        <v>72.1132064072084</v>
      </c>
      <c r="J582" s="183">
        <f t="shared" ref="J582" si="261">(H582-H583)/I582*100</f>
        <v>0.0924413950489826</v>
      </c>
      <c r="K582" s="196"/>
    </row>
    <row r="583" spans="2:11">
      <c r="B583" s="179"/>
      <c r="C583" s="180"/>
      <c r="D583" s="67">
        <v>10.8</v>
      </c>
      <c r="E583" s="203">
        <v>0.5714</v>
      </c>
      <c r="F583" s="67">
        <v>2</v>
      </c>
      <c r="G583" s="182">
        <v>11.8</v>
      </c>
      <c r="H583" s="183">
        <f t="shared" si="255"/>
        <v>72.0798751801997</v>
      </c>
      <c r="I583" s="195"/>
      <c r="J583" s="183"/>
      <c r="K583" s="196"/>
    </row>
    <row r="584" spans="2:11">
      <c r="B584" s="179" t="s">
        <v>1748</v>
      </c>
      <c r="C584" s="180"/>
      <c r="D584" s="67">
        <v>10.8</v>
      </c>
      <c r="E584" s="181">
        <v>0.4977</v>
      </c>
      <c r="F584" s="67">
        <v>2</v>
      </c>
      <c r="G584" s="182">
        <v>13.1</v>
      </c>
      <c r="H584" s="183">
        <f t="shared" si="255"/>
        <v>74.5413635547948</v>
      </c>
      <c r="I584" s="195">
        <f t="shared" ref="I584" si="262">(H584+H585)/2</f>
        <v>74.3786147051904</v>
      </c>
      <c r="J584" s="183">
        <f t="shared" ref="J584" si="263">(H584-H585)/I584*100</f>
        <v>0.437622696387885</v>
      </c>
      <c r="K584" s="196"/>
    </row>
    <row r="585" spans="2:11">
      <c r="B585" s="179"/>
      <c r="C585" s="180"/>
      <c r="D585" s="67">
        <v>10.8</v>
      </c>
      <c r="E585" s="203">
        <v>0.5621</v>
      </c>
      <c r="F585" s="67">
        <v>2</v>
      </c>
      <c r="G585" s="182">
        <v>11.65</v>
      </c>
      <c r="H585" s="183">
        <f t="shared" si="255"/>
        <v>74.215865855586</v>
      </c>
      <c r="I585" s="195"/>
      <c r="J585" s="183"/>
      <c r="K585" s="196"/>
    </row>
    <row r="586" spans="2:11">
      <c r="B586" s="179" t="s">
        <v>1749</v>
      </c>
      <c r="C586" s="180"/>
      <c r="D586" s="67">
        <v>10.8</v>
      </c>
      <c r="E586" s="181">
        <v>1.7408</v>
      </c>
      <c r="F586" s="67">
        <v>1</v>
      </c>
      <c r="G586" s="182">
        <v>7.7</v>
      </c>
      <c r="H586" s="183">
        <f t="shared" si="255"/>
        <v>18.1287003437739</v>
      </c>
      <c r="I586" s="195">
        <f t="shared" ref="I586" si="264">(H586+H587)/2</f>
        <v>18.3201108354374</v>
      </c>
      <c r="J586" s="183">
        <f t="shared" ref="J586" si="265">(H586-H587)/I586*100</f>
        <v>-2.08962154631994</v>
      </c>
      <c r="K586" s="196"/>
    </row>
    <row r="587" spans="2:11">
      <c r="B587" s="179"/>
      <c r="C587" s="180"/>
      <c r="D587" s="67">
        <v>10.8</v>
      </c>
      <c r="E587" s="203">
        <v>1.7048</v>
      </c>
      <c r="F587" s="67">
        <v>1</v>
      </c>
      <c r="G587" s="182">
        <v>7.7</v>
      </c>
      <c r="H587" s="183">
        <f t="shared" si="255"/>
        <v>18.5115213271009</v>
      </c>
      <c r="I587" s="195"/>
      <c r="J587" s="183"/>
      <c r="K587" s="196"/>
    </row>
    <row r="588" spans="2:11">
      <c r="B588" s="179" t="s">
        <v>1750</v>
      </c>
      <c r="C588" s="180"/>
      <c r="D588" s="67">
        <v>10.8</v>
      </c>
      <c r="E588" s="181">
        <v>1.4051</v>
      </c>
      <c r="F588" s="67">
        <v>1</v>
      </c>
      <c r="G588" s="182">
        <v>11.8</v>
      </c>
      <c r="H588" s="183">
        <f t="shared" si="255"/>
        <v>14.6560531912199</v>
      </c>
      <c r="I588" s="195">
        <f t="shared" ref="I588" si="266">(H588+H589)/2</f>
        <v>14.5238604743065</v>
      </c>
      <c r="J588" s="183">
        <f t="shared" ref="J588" si="267">(H588-H589)/I588*100</f>
        <v>1.82035233879028</v>
      </c>
      <c r="K588" s="196"/>
    </row>
    <row r="589" spans="2:11">
      <c r="B589" s="179"/>
      <c r="C589" s="180"/>
      <c r="D589" s="67">
        <v>10.8</v>
      </c>
      <c r="E589" s="203">
        <v>1.5562</v>
      </c>
      <c r="F589" s="67">
        <v>1</v>
      </c>
      <c r="G589" s="182">
        <v>10.85</v>
      </c>
      <c r="H589" s="183">
        <f t="shared" si="255"/>
        <v>14.3916677573932</v>
      </c>
      <c r="I589" s="195"/>
      <c r="J589" s="183"/>
      <c r="K589" s="196"/>
    </row>
    <row r="590" spans="2:11">
      <c r="B590" s="179" t="s">
        <v>1751</v>
      </c>
      <c r="C590" s="180"/>
      <c r="D590" s="67">
        <v>10.8</v>
      </c>
      <c r="E590" s="181">
        <v>1.5875</v>
      </c>
      <c r="F590" s="67">
        <v>1</v>
      </c>
      <c r="G590" s="182">
        <v>11.3</v>
      </c>
      <c r="H590" s="183">
        <f t="shared" ref="H590:H591" si="268">D590*100*F590*250*0.9/E590/G590/1000</f>
        <v>13.5460943488259</v>
      </c>
      <c r="I590" s="195">
        <f t="shared" ref="I590" si="269">(H590+H591)/2</f>
        <v>13.5815950120265</v>
      </c>
      <c r="J590" s="183">
        <f t="shared" ref="J590" si="270">(H590-H591)/I590*100</f>
        <v>-0.522776053464178</v>
      </c>
      <c r="K590" s="196"/>
    </row>
    <row r="591" spans="2:11">
      <c r="B591" s="179"/>
      <c r="C591" s="180"/>
      <c r="D591" s="67">
        <v>10.8</v>
      </c>
      <c r="E591" s="203">
        <v>1.6297</v>
      </c>
      <c r="F591" s="67">
        <v>1</v>
      </c>
      <c r="G591" s="182">
        <v>10.95</v>
      </c>
      <c r="H591" s="183">
        <f t="shared" si="268"/>
        <v>13.6170956752272</v>
      </c>
      <c r="I591" s="195"/>
      <c r="J591" s="183"/>
      <c r="K591" s="196"/>
    </row>
    <row r="592" ht="15" customHeight="1" spans="2:11">
      <c r="B592" s="179" t="s">
        <v>1752</v>
      </c>
      <c r="C592" s="180"/>
      <c r="D592" s="67">
        <v>10.8</v>
      </c>
      <c r="E592" s="181">
        <v>0.4017</v>
      </c>
      <c r="F592" s="67">
        <v>1</v>
      </c>
      <c r="G592" s="182">
        <v>7.4</v>
      </c>
      <c r="H592" s="183">
        <f t="shared" ref="H592:H593" si="271">D592*100*F592*250*0.9/E592/G592/1000</f>
        <v>81.7471691258099</v>
      </c>
      <c r="I592" s="195">
        <f t="shared" ref="I592" si="272">(H592+H593)/2</f>
        <v>81.6352062380231</v>
      </c>
      <c r="J592" s="183">
        <f t="shared" ref="J592" si="273">(H592-H593)/I592*100</f>
        <v>0.27430049594134</v>
      </c>
      <c r="K592" s="196"/>
    </row>
    <row r="593" spans="2:11">
      <c r="B593" s="179"/>
      <c r="C593" s="180"/>
      <c r="D593" s="67">
        <v>10.8</v>
      </c>
      <c r="E593" s="203">
        <v>0.4001</v>
      </c>
      <c r="F593" s="67">
        <v>1</v>
      </c>
      <c r="G593" s="182">
        <v>7.45</v>
      </c>
      <c r="H593" s="183">
        <f t="shared" si="271"/>
        <v>81.5232433502363</v>
      </c>
      <c r="I593" s="195"/>
      <c r="J593" s="183"/>
      <c r="K593" s="196"/>
    </row>
    <row r="594" spans="1:11">
      <c r="A594">
        <v>1.21</v>
      </c>
      <c r="B594" s="179" t="s">
        <v>1753</v>
      </c>
      <c r="C594" s="180"/>
      <c r="D594" s="67">
        <v>11.1</v>
      </c>
      <c r="E594" s="181">
        <v>2.1974</v>
      </c>
      <c r="F594" s="67">
        <v>1</v>
      </c>
      <c r="G594" s="182">
        <v>11.2</v>
      </c>
      <c r="H594" s="183">
        <f t="shared" ref="H594:H637" si="274">D594*100*F594*250*0.9/E594/G594/1000</f>
        <v>10.147950825001</v>
      </c>
      <c r="I594" s="195">
        <f t="shared" ref="I594" si="275">(H594+H595)/2</f>
        <v>10.147950825001</v>
      </c>
      <c r="J594" s="183">
        <f t="shared" ref="J594" si="276">(H594-H595)/I594*100</f>
        <v>0</v>
      </c>
      <c r="K594" s="196"/>
    </row>
    <row r="595" spans="2:11">
      <c r="B595" s="179"/>
      <c r="C595" s="180"/>
      <c r="D595" s="67">
        <v>11.1</v>
      </c>
      <c r="E595" s="203">
        <v>2.1974</v>
      </c>
      <c r="F595" s="67">
        <v>1</v>
      </c>
      <c r="G595" s="182">
        <v>11.2</v>
      </c>
      <c r="H595" s="183">
        <f t="shared" si="274"/>
        <v>10.147950825001</v>
      </c>
      <c r="I595" s="195"/>
      <c r="J595" s="183"/>
      <c r="K595" s="196"/>
    </row>
    <row r="596" spans="2:11">
      <c r="B596" s="179" t="s">
        <v>1754</v>
      </c>
      <c r="C596" s="180"/>
      <c r="D596" s="67">
        <v>11.1</v>
      </c>
      <c r="E596" s="181">
        <v>2.0211</v>
      </c>
      <c r="F596" s="67">
        <v>1</v>
      </c>
      <c r="G596" s="182">
        <v>5.4</v>
      </c>
      <c r="H596" s="183">
        <f t="shared" si="274"/>
        <v>22.8835782494681</v>
      </c>
      <c r="I596" s="195">
        <f t="shared" ref="I596" si="277">(H596+H597)/2</f>
        <v>22.8835782494681</v>
      </c>
      <c r="J596" s="183">
        <f t="shared" ref="J596" si="278">(H596-H597)/I596*100</f>
        <v>0</v>
      </c>
      <c r="K596" s="196"/>
    </row>
    <row r="597" spans="2:11">
      <c r="B597" s="179"/>
      <c r="C597" s="180"/>
      <c r="D597" s="67">
        <v>11.1</v>
      </c>
      <c r="E597" s="203">
        <v>2.0211</v>
      </c>
      <c r="F597" s="67">
        <v>1</v>
      </c>
      <c r="G597" s="182">
        <v>5.4</v>
      </c>
      <c r="H597" s="183">
        <f t="shared" si="274"/>
        <v>22.8835782494681</v>
      </c>
      <c r="I597" s="195"/>
      <c r="J597" s="183"/>
      <c r="K597" s="196"/>
    </row>
    <row r="598" spans="2:11">
      <c r="B598" s="179" t="s">
        <v>1755</v>
      </c>
      <c r="C598" s="180"/>
      <c r="D598" s="67">
        <v>11.1</v>
      </c>
      <c r="E598" s="181">
        <v>2.038</v>
      </c>
      <c r="F598" s="67">
        <v>1</v>
      </c>
      <c r="G598" s="182">
        <v>7.4</v>
      </c>
      <c r="H598" s="183">
        <f t="shared" si="274"/>
        <v>16.5603532875368</v>
      </c>
      <c r="I598" s="195">
        <f t="shared" ref="I598" si="279">(H598+H599)/2</f>
        <v>16.5603532875368</v>
      </c>
      <c r="J598" s="183">
        <f t="shared" ref="J598" si="280">(H598-H599)/I598*100</f>
        <v>0</v>
      </c>
      <c r="K598" s="196"/>
    </row>
    <row r="599" spans="2:11">
      <c r="B599" s="179"/>
      <c r="C599" s="180"/>
      <c r="D599" s="67">
        <v>11.1</v>
      </c>
      <c r="E599" s="203">
        <v>2.038</v>
      </c>
      <c r="F599" s="67">
        <v>1</v>
      </c>
      <c r="G599" s="182">
        <v>7.4</v>
      </c>
      <c r="H599" s="183">
        <f t="shared" si="274"/>
        <v>16.5603532875368</v>
      </c>
      <c r="I599" s="195"/>
      <c r="J599" s="183"/>
      <c r="K599" s="196"/>
    </row>
    <row r="600" spans="2:11">
      <c r="B600" s="179" t="s">
        <v>1756</v>
      </c>
      <c r="C600" s="180"/>
      <c r="D600" s="67">
        <v>11.1</v>
      </c>
      <c r="E600" s="181">
        <v>2.0415</v>
      </c>
      <c r="F600" s="67">
        <v>1</v>
      </c>
      <c r="G600" s="182">
        <v>11.3</v>
      </c>
      <c r="H600" s="183">
        <f t="shared" si="274"/>
        <v>10.826240466081</v>
      </c>
      <c r="I600" s="195">
        <f t="shared" ref="I600" si="281">(H600+H601)/2</f>
        <v>10.826240466081</v>
      </c>
      <c r="J600" s="183">
        <f t="shared" ref="J600" si="282">(H600-H601)/I600*100</f>
        <v>0</v>
      </c>
      <c r="K600" s="196"/>
    </row>
    <row r="601" spans="2:11">
      <c r="B601" s="179"/>
      <c r="C601" s="180"/>
      <c r="D601" s="67">
        <v>11.1</v>
      </c>
      <c r="E601" s="203">
        <v>2.0415</v>
      </c>
      <c r="F601" s="67">
        <v>1</v>
      </c>
      <c r="G601" s="182">
        <v>11.3</v>
      </c>
      <c r="H601" s="183">
        <f t="shared" si="274"/>
        <v>10.826240466081</v>
      </c>
      <c r="I601" s="195"/>
      <c r="J601" s="183"/>
      <c r="K601" s="196"/>
    </row>
    <row r="602" spans="2:11">
      <c r="B602" s="179" t="s">
        <v>1757</v>
      </c>
      <c r="C602" s="180"/>
      <c r="D602" s="67">
        <v>11.1</v>
      </c>
      <c r="E602" s="181">
        <v>2.4004</v>
      </c>
      <c r="F602" s="67">
        <v>1</v>
      </c>
      <c r="G602" s="182">
        <v>6.2</v>
      </c>
      <c r="H602" s="183">
        <f t="shared" si="274"/>
        <v>16.7814772806683</v>
      </c>
      <c r="I602" s="195">
        <f t="shared" ref="I602" si="283">(H602+H603)/2</f>
        <v>16.7814772806683</v>
      </c>
      <c r="J602" s="183">
        <f t="shared" ref="J602" si="284">(H602-H603)/I602*100</f>
        <v>0</v>
      </c>
      <c r="K602" s="196"/>
    </row>
    <row r="603" spans="2:11">
      <c r="B603" s="179"/>
      <c r="C603" s="180"/>
      <c r="D603" s="67">
        <v>11.1</v>
      </c>
      <c r="E603" s="203">
        <v>2.4004</v>
      </c>
      <c r="F603" s="67">
        <v>1</v>
      </c>
      <c r="G603" s="182">
        <v>6.2</v>
      </c>
      <c r="H603" s="183">
        <f t="shared" si="274"/>
        <v>16.7814772806683</v>
      </c>
      <c r="I603" s="195"/>
      <c r="J603" s="183"/>
      <c r="K603" s="196"/>
    </row>
    <row r="604" spans="2:11">
      <c r="B604" s="179" t="s">
        <v>1758</v>
      </c>
      <c r="C604" s="180"/>
      <c r="D604" s="67">
        <v>11.1</v>
      </c>
      <c r="E604" s="181">
        <v>2.0051</v>
      </c>
      <c r="F604" s="67">
        <v>1</v>
      </c>
      <c r="G604" s="182">
        <v>7.8</v>
      </c>
      <c r="H604" s="183">
        <f t="shared" si="274"/>
        <v>15.9688947031224</v>
      </c>
      <c r="I604" s="195">
        <f t="shared" ref="I604" si="285">(H604+H605)/2</f>
        <v>15.9688947031224</v>
      </c>
      <c r="J604" s="183">
        <f t="shared" ref="J604" si="286">(H604-H605)/I604*100</f>
        <v>0</v>
      </c>
      <c r="K604" s="196"/>
    </row>
    <row r="605" spans="2:11">
      <c r="B605" s="179"/>
      <c r="C605" s="180"/>
      <c r="D605" s="67">
        <v>11.1</v>
      </c>
      <c r="E605" s="203">
        <v>2.0051</v>
      </c>
      <c r="F605" s="67">
        <v>1</v>
      </c>
      <c r="G605" s="182">
        <v>7.8</v>
      </c>
      <c r="H605" s="183">
        <f t="shared" si="274"/>
        <v>15.9688947031224</v>
      </c>
      <c r="I605" s="195"/>
      <c r="J605" s="183"/>
      <c r="K605" s="196"/>
    </row>
    <row r="606" spans="2:11">
      <c r="B606" s="179" t="s">
        <v>1759</v>
      </c>
      <c r="C606" s="180"/>
      <c r="D606" s="67">
        <v>11.1</v>
      </c>
      <c r="E606" s="181">
        <v>2.1883</v>
      </c>
      <c r="F606" s="67">
        <v>1</v>
      </c>
      <c r="G606" s="182">
        <v>6.1</v>
      </c>
      <c r="H606" s="183">
        <f t="shared" si="274"/>
        <v>18.7097851989305</v>
      </c>
      <c r="I606" s="195">
        <f t="shared" ref="I606" si="287">(H606+H607)/2</f>
        <v>18.7097851989305</v>
      </c>
      <c r="J606" s="183">
        <f t="shared" ref="J606" si="288">(H606-H607)/I606*100</f>
        <v>0</v>
      </c>
      <c r="K606" s="196"/>
    </row>
    <row r="607" spans="2:11">
      <c r="B607" s="179"/>
      <c r="C607" s="180"/>
      <c r="D607" s="67">
        <v>11.1</v>
      </c>
      <c r="E607" s="203">
        <v>2.1883</v>
      </c>
      <c r="F607" s="67">
        <v>1</v>
      </c>
      <c r="G607" s="182">
        <v>6.1</v>
      </c>
      <c r="H607" s="183">
        <f t="shared" si="274"/>
        <v>18.7097851989305</v>
      </c>
      <c r="I607" s="195"/>
      <c r="J607" s="183"/>
      <c r="K607" s="196"/>
    </row>
    <row r="608" spans="2:11">
      <c r="B608" s="179" t="s">
        <v>1760</v>
      </c>
      <c r="C608" s="180"/>
      <c r="D608" s="67">
        <v>11.1</v>
      </c>
      <c r="E608" s="181">
        <v>2.6203</v>
      </c>
      <c r="F608" s="67">
        <v>1</v>
      </c>
      <c r="G608" s="182">
        <v>4.9</v>
      </c>
      <c r="H608" s="183">
        <f t="shared" si="274"/>
        <v>19.4517374938374</v>
      </c>
      <c r="I608" s="195">
        <f t="shared" ref="I608" si="289">(H608+H609)/2</f>
        <v>19.4517374938374</v>
      </c>
      <c r="J608" s="183">
        <f t="shared" ref="J608" si="290">(H608-H609)/I608*100</f>
        <v>0</v>
      </c>
      <c r="K608" s="196"/>
    </row>
    <row r="609" spans="2:11">
      <c r="B609" s="179"/>
      <c r="C609" s="180"/>
      <c r="D609" s="67">
        <v>11.1</v>
      </c>
      <c r="E609" s="203">
        <v>2.6203</v>
      </c>
      <c r="F609" s="67">
        <v>1</v>
      </c>
      <c r="G609" s="182">
        <v>4.9</v>
      </c>
      <c r="H609" s="183">
        <f t="shared" si="274"/>
        <v>19.4517374938374</v>
      </c>
      <c r="I609" s="195"/>
      <c r="J609" s="183"/>
      <c r="K609" s="196"/>
    </row>
    <row r="610" spans="2:11">
      <c r="B610" s="179" t="s">
        <v>1761</v>
      </c>
      <c r="C610" s="180"/>
      <c r="D610" s="67">
        <v>11.1</v>
      </c>
      <c r="E610" s="181">
        <v>1.8993</v>
      </c>
      <c r="F610" s="67">
        <v>1</v>
      </c>
      <c r="G610" s="182">
        <v>8.8</v>
      </c>
      <c r="H610" s="183">
        <f t="shared" si="274"/>
        <v>14.9427061644721</v>
      </c>
      <c r="I610" s="195">
        <f t="shared" ref="I610" si="291">(H610+H611)/2</f>
        <v>14.9427061644721</v>
      </c>
      <c r="J610" s="183">
        <f t="shared" ref="J610" si="292">(H610-H611)/I610*100</f>
        <v>0</v>
      </c>
      <c r="K610" s="196"/>
    </row>
    <row r="611" spans="2:11">
      <c r="B611" s="179"/>
      <c r="C611" s="180"/>
      <c r="D611" s="67">
        <v>11.1</v>
      </c>
      <c r="E611" s="203">
        <v>1.8993</v>
      </c>
      <c r="F611" s="67">
        <v>1</v>
      </c>
      <c r="G611" s="182">
        <v>8.8</v>
      </c>
      <c r="H611" s="183">
        <f t="shared" si="274"/>
        <v>14.9427061644721</v>
      </c>
      <c r="I611" s="195"/>
      <c r="J611" s="183"/>
      <c r="K611" s="196"/>
    </row>
    <row r="612" spans="2:11">
      <c r="B612" s="179" t="s">
        <v>1762</v>
      </c>
      <c r="C612" s="180"/>
      <c r="D612" s="67">
        <v>11.1</v>
      </c>
      <c r="E612" s="181">
        <v>1.9607</v>
      </c>
      <c r="F612" s="67">
        <v>1</v>
      </c>
      <c r="G612" s="182">
        <v>5.35</v>
      </c>
      <c r="H612" s="183">
        <f t="shared" si="274"/>
        <v>23.8089677108452</v>
      </c>
      <c r="I612" s="195">
        <f t="shared" ref="I612" si="293">(H612+H613)/2</f>
        <v>23.8089677108452</v>
      </c>
      <c r="J612" s="183">
        <f t="shared" ref="J612" si="294">(H612-H613)/I612*100</f>
        <v>0</v>
      </c>
      <c r="K612" s="196"/>
    </row>
    <row r="613" spans="2:11">
      <c r="B613" s="179"/>
      <c r="C613" s="180"/>
      <c r="D613" s="67">
        <v>11.1</v>
      </c>
      <c r="E613" s="203">
        <v>1.9607</v>
      </c>
      <c r="F613" s="67">
        <v>1</v>
      </c>
      <c r="G613" s="182">
        <v>5.35</v>
      </c>
      <c r="H613" s="183">
        <f t="shared" si="274"/>
        <v>23.8089677108452</v>
      </c>
      <c r="I613" s="195"/>
      <c r="J613" s="183"/>
      <c r="K613" s="196"/>
    </row>
    <row r="614" spans="2:11">
      <c r="B614" s="179" t="s">
        <v>1763</v>
      </c>
      <c r="C614" s="180"/>
      <c r="D614" s="67">
        <v>11.1</v>
      </c>
      <c r="E614" s="181">
        <v>2.4465</v>
      </c>
      <c r="F614" s="67">
        <v>1</v>
      </c>
      <c r="G614" s="182">
        <v>5.7</v>
      </c>
      <c r="H614" s="183">
        <f t="shared" si="274"/>
        <v>17.9095808190003</v>
      </c>
      <c r="I614" s="195">
        <f t="shared" ref="I614" si="295">(H614+H615)/2</f>
        <v>17.9095808190003</v>
      </c>
      <c r="J614" s="183">
        <f t="shared" ref="J614" si="296">(H614-H615)/I614*100</f>
        <v>0</v>
      </c>
      <c r="K614" s="196"/>
    </row>
    <row r="615" spans="2:11">
      <c r="B615" s="179"/>
      <c r="C615" s="180"/>
      <c r="D615" s="67">
        <v>11.1</v>
      </c>
      <c r="E615" s="203">
        <v>2.4465</v>
      </c>
      <c r="F615" s="67">
        <v>1</v>
      </c>
      <c r="G615" s="182">
        <v>5.7</v>
      </c>
      <c r="H615" s="183">
        <f t="shared" si="274"/>
        <v>17.9095808190003</v>
      </c>
      <c r="I615" s="195"/>
      <c r="J615" s="183"/>
      <c r="K615" s="196"/>
    </row>
    <row r="616" spans="2:11">
      <c r="B616" s="179" t="s">
        <v>1764</v>
      </c>
      <c r="C616" s="180"/>
      <c r="D616" s="67">
        <v>11.1</v>
      </c>
      <c r="E616" s="181">
        <v>2.6636</v>
      </c>
      <c r="F616" s="67">
        <v>1</v>
      </c>
      <c r="G616" s="182">
        <v>5.7</v>
      </c>
      <c r="H616" s="183">
        <f t="shared" si="274"/>
        <v>16.4498383667533</v>
      </c>
      <c r="I616" s="195">
        <f t="shared" ref="I616" si="297">(H616+H617)/2</f>
        <v>16.4498383667533</v>
      </c>
      <c r="J616" s="183">
        <f t="shared" ref="J616" si="298">(H616-H617)/I616*100</f>
        <v>0</v>
      </c>
      <c r="K616" s="196"/>
    </row>
    <row r="617" spans="2:11">
      <c r="B617" s="179"/>
      <c r="C617" s="180"/>
      <c r="D617" s="67">
        <v>11.1</v>
      </c>
      <c r="E617" s="203">
        <v>2.6636</v>
      </c>
      <c r="F617" s="67">
        <v>1</v>
      </c>
      <c r="G617" s="182">
        <v>5.7</v>
      </c>
      <c r="H617" s="183">
        <f t="shared" si="274"/>
        <v>16.4498383667533</v>
      </c>
      <c r="I617" s="195"/>
      <c r="J617" s="183"/>
      <c r="K617" s="196"/>
    </row>
    <row r="618" spans="2:11">
      <c r="B618" s="179" t="s">
        <v>1765</v>
      </c>
      <c r="C618" s="180"/>
      <c r="D618" s="67">
        <v>11.1</v>
      </c>
      <c r="E618" s="181">
        <v>1.7446</v>
      </c>
      <c r="F618" s="67">
        <v>1</v>
      </c>
      <c r="G618" s="182">
        <v>8.7</v>
      </c>
      <c r="H618" s="183">
        <f t="shared" si="274"/>
        <v>16.4547154371914</v>
      </c>
      <c r="I618" s="195">
        <f t="shared" ref="I618" si="299">(H618+H619)/2</f>
        <v>16.4077019645137</v>
      </c>
      <c r="J618" s="183">
        <f t="shared" ref="J618" si="300">(H618-H619)/I618*100</f>
        <v>0.573065902578806</v>
      </c>
      <c r="K618" s="196"/>
    </row>
    <row r="619" spans="2:11">
      <c r="B619" s="179"/>
      <c r="C619" s="180"/>
      <c r="D619" s="67">
        <v>11.1</v>
      </c>
      <c r="E619" s="203">
        <v>1.7446</v>
      </c>
      <c r="F619" s="67">
        <v>1</v>
      </c>
      <c r="G619" s="182">
        <v>8.75</v>
      </c>
      <c r="H619" s="183">
        <f t="shared" si="274"/>
        <v>16.360688491836</v>
      </c>
      <c r="I619" s="195"/>
      <c r="J619" s="183"/>
      <c r="K619" s="196"/>
    </row>
    <row r="620" spans="2:11">
      <c r="B620" s="179" t="s">
        <v>1766</v>
      </c>
      <c r="C620" s="180"/>
      <c r="D620" s="67">
        <v>11.1</v>
      </c>
      <c r="E620" s="181">
        <v>1.8474</v>
      </c>
      <c r="F620" s="67">
        <v>1</v>
      </c>
      <c r="G620" s="182">
        <v>8.8</v>
      </c>
      <c r="H620" s="183">
        <f t="shared" si="274"/>
        <v>15.3624996309309</v>
      </c>
      <c r="I620" s="195">
        <f t="shared" ref="I620" si="301">(H620+H621)/2</f>
        <v>15.3191027393181</v>
      </c>
      <c r="J620" s="183">
        <f t="shared" ref="J620" si="302">(H620-H621)/I620*100</f>
        <v>0.566572237960234</v>
      </c>
      <c r="K620" s="196"/>
    </row>
    <row r="621" spans="2:11">
      <c r="B621" s="179"/>
      <c r="C621" s="180"/>
      <c r="D621" s="67">
        <v>11.1</v>
      </c>
      <c r="E621" s="203">
        <v>1.8474</v>
      </c>
      <c r="F621" s="67">
        <v>1</v>
      </c>
      <c r="G621" s="182">
        <v>8.84999999999999</v>
      </c>
      <c r="H621" s="183">
        <f t="shared" si="274"/>
        <v>15.2757058477054</v>
      </c>
      <c r="I621" s="195"/>
      <c r="J621" s="183"/>
      <c r="K621" s="196"/>
    </row>
    <row r="622" spans="2:11">
      <c r="B622" s="179" t="s">
        <v>1767</v>
      </c>
      <c r="C622" s="180"/>
      <c r="D622" s="67">
        <v>11.1</v>
      </c>
      <c r="E622" s="181">
        <v>1.7318</v>
      </c>
      <c r="F622" s="67">
        <v>1</v>
      </c>
      <c r="G622" s="182">
        <v>8.89999999999999</v>
      </c>
      <c r="H622" s="183">
        <f t="shared" si="274"/>
        <v>16.2038328633844</v>
      </c>
      <c r="I622" s="195">
        <f t="shared" ref="I622" si="303">(H622+H623)/2</f>
        <v>16.1584311972757</v>
      </c>
      <c r="J622" s="183">
        <f t="shared" ref="J622" si="304">(H622-H623)/I622*100</f>
        <v>0.561956362649088</v>
      </c>
      <c r="K622" s="196"/>
    </row>
    <row r="623" spans="2:11">
      <c r="B623" s="179"/>
      <c r="C623" s="180"/>
      <c r="D623" s="67">
        <v>11.1</v>
      </c>
      <c r="E623" s="203">
        <v>1.73183</v>
      </c>
      <c r="F623" s="67">
        <v>1</v>
      </c>
      <c r="G623" s="182">
        <v>8.94999999999999</v>
      </c>
      <c r="H623" s="183">
        <f t="shared" si="274"/>
        <v>16.113029531167</v>
      </c>
      <c r="I623" s="195"/>
      <c r="J623" s="183"/>
      <c r="K623" s="196"/>
    </row>
    <row r="624" spans="2:11">
      <c r="B624" s="179" t="s">
        <v>1768</v>
      </c>
      <c r="C624" s="180"/>
      <c r="D624" s="67">
        <v>11.1</v>
      </c>
      <c r="E624" s="181">
        <v>1.6237</v>
      </c>
      <c r="F624" s="67">
        <v>1</v>
      </c>
      <c r="G624" s="182">
        <v>8.99999999999999</v>
      </c>
      <c r="H624" s="183">
        <f t="shared" si="274"/>
        <v>17.0905955533658</v>
      </c>
      <c r="I624" s="195">
        <f t="shared" ref="I624" si="305">(H624+H625)/2</f>
        <v>17.0433839634394</v>
      </c>
      <c r="J624" s="183">
        <f t="shared" ref="J624" si="306">(H624-H625)/I624*100</f>
        <v>0.554016620498637</v>
      </c>
      <c r="K624" s="196"/>
    </row>
    <row r="625" spans="2:11">
      <c r="B625" s="179"/>
      <c r="C625" s="180"/>
      <c r="D625" s="67">
        <v>11.1</v>
      </c>
      <c r="E625" s="203">
        <v>1.6237</v>
      </c>
      <c r="F625" s="67">
        <v>1</v>
      </c>
      <c r="G625" s="182">
        <v>9.04999999999999</v>
      </c>
      <c r="H625" s="183">
        <f t="shared" si="274"/>
        <v>16.9961723735129</v>
      </c>
      <c r="I625" s="195"/>
      <c r="J625" s="183"/>
      <c r="K625" s="196"/>
    </row>
    <row r="626" spans="2:11">
      <c r="B626" s="179" t="s">
        <v>1769</v>
      </c>
      <c r="C626" s="180"/>
      <c r="D626" s="67">
        <v>11.1</v>
      </c>
      <c r="E626" s="181">
        <v>2.1229</v>
      </c>
      <c r="F626" s="67">
        <v>1</v>
      </c>
      <c r="G626" s="182">
        <v>9.09999999999999</v>
      </c>
      <c r="H626" s="183">
        <f t="shared" si="274"/>
        <v>12.9280959748716</v>
      </c>
      <c r="I626" s="195">
        <f t="shared" ref="I626" si="307">(H626+H627)/2</f>
        <v>12.8927733082736</v>
      </c>
      <c r="J626" s="183">
        <f t="shared" ref="J626" si="308">(H626-H627)/I626*100</f>
        <v>0.547945205479433</v>
      </c>
      <c r="K626" s="196"/>
    </row>
    <row r="627" spans="2:11">
      <c r="B627" s="179"/>
      <c r="C627" s="180"/>
      <c r="D627" s="67">
        <v>11.1</v>
      </c>
      <c r="E627" s="203">
        <v>2.1229</v>
      </c>
      <c r="F627" s="67">
        <v>1</v>
      </c>
      <c r="G627" s="182">
        <v>9.14999999999999</v>
      </c>
      <c r="H627" s="183">
        <f t="shared" si="274"/>
        <v>12.8574506416756</v>
      </c>
      <c r="I627" s="195"/>
      <c r="J627" s="183"/>
      <c r="K627" s="196"/>
    </row>
    <row r="628" spans="2:11">
      <c r="B628" s="179" t="s">
        <v>1770</v>
      </c>
      <c r="C628" s="180"/>
      <c r="D628" s="67">
        <v>11.1</v>
      </c>
      <c r="E628" s="181">
        <v>1.853</v>
      </c>
      <c r="F628" s="67">
        <v>1</v>
      </c>
      <c r="G628" s="182">
        <v>9.19999999999999</v>
      </c>
      <c r="H628" s="183">
        <f t="shared" si="274"/>
        <v>14.6501560336939</v>
      </c>
      <c r="I628" s="195">
        <f t="shared" ref="I628" si="309">(H628+H629)/2</f>
        <v>14.6105610173866</v>
      </c>
      <c r="J628" s="183">
        <f t="shared" ref="J628" si="310">(H628-H629)/I628*100</f>
        <v>0.542005420054192</v>
      </c>
      <c r="K628" s="196"/>
    </row>
    <row r="629" spans="2:11">
      <c r="B629" s="179"/>
      <c r="C629" s="180"/>
      <c r="D629" s="67">
        <v>11.1</v>
      </c>
      <c r="E629" s="203">
        <v>1.853</v>
      </c>
      <c r="F629" s="67">
        <v>1</v>
      </c>
      <c r="G629" s="182">
        <v>9.24999999999999</v>
      </c>
      <c r="H629" s="183">
        <f t="shared" si="274"/>
        <v>14.5709660010793</v>
      </c>
      <c r="I629" s="195"/>
      <c r="J629" s="183"/>
      <c r="K629" s="196"/>
    </row>
    <row r="630" spans="2:11">
      <c r="B630" s="179" t="s">
        <v>1771</v>
      </c>
      <c r="C630" s="180"/>
      <c r="D630" s="67">
        <v>11.1</v>
      </c>
      <c r="E630" s="181">
        <v>1.9607</v>
      </c>
      <c r="F630" s="67">
        <v>1</v>
      </c>
      <c r="G630" s="182">
        <v>9.29999999999999</v>
      </c>
      <c r="H630" s="183">
        <f t="shared" si="274"/>
        <v>13.6965566938733</v>
      </c>
      <c r="I630" s="195">
        <f t="shared" ref="I630" si="311">(H630+H631)/2</f>
        <v>13.6599348845314</v>
      </c>
      <c r="J630" s="183">
        <f t="shared" ref="J630" si="312">(H630-H631)/I630*100</f>
        <v>0.536193029490633</v>
      </c>
      <c r="K630" s="196"/>
    </row>
    <row r="631" spans="2:11">
      <c r="B631" s="179"/>
      <c r="C631" s="180"/>
      <c r="D631" s="67">
        <v>11.1</v>
      </c>
      <c r="E631" s="203">
        <v>1.9607</v>
      </c>
      <c r="F631" s="67">
        <v>1</v>
      </c>
      <c r="G631" s="182">
        <v>9.34999999999999</v>
      </c>
      <c r="H631" s="183">
        <f t="shared" si="274"/>
        <v>13.6233130751895</v>
      </c>
      <c r="I631" s="195"/>
      <c r="J631" s="183"/>
      <c r="K631" s="196"/>
    </row>
    <row r="632" spans="2:11">
      <c r="B632" s="179" t="s">
        <v>1772</v>
      </c>
      <c r="C632" s="180"/>
      <c r="D632" s="67">
        <v>11.1</v>
      </c>
      <c r="E632" s="181">
        <v>1.6208</v>
      </c>
      <c r="F632" s="67">
        <v>1</v>
      </c>
      <c r="G632" s="182">
        <v>9.39999999999999</v>
      </c>
      <c r="H632" s="183">
        <f t="shared" si="274"/>
        <v>16.3926141017832</v>
      </c>
      <c r="I632" s="195">
        <f t="shared" ref="I632" si="313">(H632+H633)/2</f>
        <v>16.3492473978102</v>
      </c>
      <c r="J632" s="183">
        <f t="shared" ref="J632" si="314">(H632-H633)/I632*100</f>
        <v>0.53050397877986</v>
      </c>
      <c r="K632" s="196"/>
    </row>
    <row r="633" spans="2:11">
      <c r="B633" s="179"/>
      <c r="C633" s="180"/>
      <c r="D633" s="67">
        <v>11.1</v>
      </c>
      <c r="E633" s="203">
        <v>1.6208</v>
      </c>
      <c r="F633" s="67">
        <v>1</v>
      </c>
      <c r="G633" s="182">
        <v>9.44999999999999</v>
      </c>
      <c r="H633" s="183">
        <f t="shared" si="274"/>
        <v>16.3058806938373</v>
      </c>
      <c r="I633" s="195"/>
      <c r="J633" s="183"/>
      <c r="K633" s="196"/>
    </row>
    <row r="634" spans="2:11">
      <c r="B634" s="179" t="s">
        <v>1773</v>
      </c>
      <c r="C634" s="180"/>
      <c r="D634" s="67">
        <v>11.1</v>
      </c>
      <c r="E634" s="181">
        <v>2.2027</v>
      </c>
      <c r="F634" s="67">
        <v>1</v>
      </c>
      <c r="G634" s="182">
        <v>9.49999999999999</v>
      </c>
      <c r="H634" s="183">
        <f t="shared" si="274"/>
        <v>11.9351131267129</v>
      </c>
      <c r="I634" s="195">
        <f t="shared" ref="I634" si="315">(H634+H635)/2</f>
        <v>11.9038693750723</v>
      </c>
      <c r="J634" s="183">
        <f t="shared" ref="J634" si="316">(H634-H635)/I634*100</f>
        <v>0.524934383202106</v>
      </c>
      <c r="K634" s="196"/>
    </row>
    <row r="635" spans="2:11">
      <c r="B635" s="179"/>
      <c r="C635" s="180"/>
      <c r="D635" s="67">
        <v>11.1</v>
      </c>
      <c r="E635" s="203">
        <v>2.2027</v>
      </c>
      <c r="F635" s="67">
        <v>1</v>
      </c>
      <c r="G635" s="182">
        <v>9.54999999999999</v>
      </c>
      <c r="H635" s="183">
        <f t="shared" si="274"/>
        <v>11.8726256234317</v>
      </c>
      <c r="I635" s="195"/>
      <c r="J635" s="183"/>
      <c r="K635" s="196"/>
    </row>
    <row r="636" spans="2:11">
      <c r="B636" s="179" t="s">
        <v>1774</v>
      </c>
      <c r="C636" s="180"/>
      <c r="D636" s="67">
        <v>11.1</v>
      </c>
      <c r="E636" s="181">
        <v>2.0057</v>
      </c>
      <c r="F636" s="67">
        <v>1</v>
      </c>
      <c r="G636" s="182">
        <v>9.59999999999999</v>
      </c>
      <c r="H636" s="183">
        <f t="shared" si="274"/>
        <v>12.9708455900683</v>
      </c>
      <c r="I636" s="195">
        <f t="shared" ref="I636" si="317">(H636+H637)/2</f>
        <v>12.937242363151</v>
      </c>
      <c r="J636" s="183">
        <f t="shared" ref="J636" si="318">(H636-H637)/I636*100</f>
        <v>0.51948051948052</v>
      </c>
      <c r="K636" s="196"/>
    </row>
    <row r="637" spans="2:11">
      <c r="B637" s="179"/>
      <c r="C637" s="180"/>
      <c r="D637" s="67">
        <v>11.1</v>
      </c>
      <c r="E637" s="203">
        <v>2.0057</v>
      </c>
      <c r="F637" s="67">
        <v>1</v>
      </c>
      <c r="G637" s="182">
        <v>9.64999999999999</v>
      </c>
      <c r="H637" s="183">
        <f t="shared" si="274"/>
        <v>12.9036391362338</v>
      </c>
      <c r="I637" s="195"/>
      <c r="J637" s="183"/>
      <c r="K637" s="196"/>
    </row>
    <row r="638" spans="1:11">
      <c r="A638">
        <v>1.21</v>
      </c>
      <c r="B638" s="179" t="s">
        <v>1775</v>
      </c>
      <c r="C638" s="180"/>
      <c r="D638" s="67">
        <v>11.1</v>
      </c>
      <c r="E638" s="181">
        <v>0.3864</v>
      </c>
      <c r="F638" s="67">
        <v>1</v>
      </c>
      <c r="G638" s="182">
        <v>8</v>
      </c>
      <c r="H638" s="183">
        <f t="shared" ref="H638:H641" si="319">D638*100*F638*250*0.9/E638/G638/1000</f>
        <v>80.7938664596273</v>
      </c>
      <c r="I638" s="195">
        <f t="shared" ref="I638" si="320">(H638+H639)/2</f>
        <v>80.8908044276864</v>
      </c>
      <c r="J638" s="183">
        <f t="shared" ref="J638" si="321">(H638-H639)/I638*100</f>
        <v>-0.239676113360318</v>
      </c>
      <c r="K638" s="196"/>
    </row>
    <row r="639" spans="2:11">
      <c r="B639" s="179"/>
      <c r="C639" s="180"/>
      <c r="D639" s="67">
        <v>11.1</v>
      </c>
      <c r="E639" s="203">
        <v>0.3628</v>
      </c>
      <c r="F639" s="67">
        <v>1</v>
      </c>
      <c r="G639" s="182">
        <v>8.5</v>
      </c>
      <c r="H639" s="183">
        <f t="shared" si="319"/>
        <v>80.9877423957455</v>
      </c>
      <c r="I639" s="195"/>
      <c r="J639" s="183"/>
      <c r="K639" s="196"/>
    </row>
    <row r="640" spans="2:11">
      <c r="B640" s="179" t="s">
        <v>1776</v>
      </c>
      <c r="C640" s="180"/>
      <c r="D640" s="67">
        <v>11.1</v>
      </c>
      <c r="E640" s="181">
        <v>0.362</v>
      </c>
      <c r="F640" s="67">
        <v>1</v>
      </c>
      <c r="G640" s="182">
        <v>8.2</v>
      </c>
      <c r="H640" s="183">
        <f t="shared" si="319"/>
        <v>84.1362350087589</v>
      </c>
      <c r="I640" s="195">
        <f t="shared" ref="I640:I642" si="322">(H640+H641)/2</f>
        <v>83.6820204635903</v>
      </c>
      <c r="J640" s="183">
        <f t="shared" ref="J640" si="323">(H640-H641)/I640*100</f>
        <v>1.08557260604439</v>
      </c>
      <c r="K640" s="196"/>
    </row>
    <row r="641" spans="2:11">
      <c r="B641" s="179"/>
      <c r="C641" s="180"/>
      <c r="D641" s="67">
        <v>11.1</v>
      </c>
      <c r="E641" s="203">
        <v>0.3751</v>
      </c>
      <c r="F641" s="67">
        <v>1</v>
      </c>
      <c r="G641" s="182">
        <v>8</v>
      </c>
      <c r="H641" s="183">
        <f t="shared" si="319"/>
        <v>83.2278059184218</v>
      </c>
      <c r="I641" s="195"/>
      <c r="J641" s="183"/>
      <c r="K641" s="196"/>
    </row>
    <row r="642" spans="2:13">
      <c r="B642" s="179" t="s">
        <v>1777</v>
      </c>
      <c r="C642" s="180"/>
      <c r="D642" s="67">
        <v>11.1</v>
      </c>
      <c r="E642" s="181">
        <v>0.362</v>
      </c>
      <c r="F642" s="67">
        <v>1</v>
      </c>
      <c r="G642" s="182">
        <v>8.4</v>
      </c>
      <c r="H642" s="183">
        <f t="shared" ref="H642:H643" si="324">D642*100*F642*250*0.9/E642/G642/1000</f>
        <v>82.1329913180742</v>
      </c>
      <c r="I642" s="195">
        <f t="shared" si="322"/>
        <v>82.1027620242508</v>
      </c>
      <c r="J642" s="183">
        <f t="shared" ref="J642" si="325">(H642-H643)/I642*100</f>
        <v>0.0736377025036788</v>
      </c>
      <c r="K642" s="196"/>
      <c r="L642" s="142">
        <v>16.7</v>
      </c>
      <c r="M642" s="201">
        <f>I642/(100-L642)*100</f>
        <v>98.562739524911</v>
      </c>
    </row>
    <row r="643" spans="2:13">
      <c r="B643" s="179"/>
      <c r="C643" s="180"/>
      <c r="D643" s="67">
        <v>11.1</v>
      </c>
      <c r="E643" s="203">
        <v>0.3458</v>
      </c>
      <c r="F643" s="67">
        <v>1</v>
      </c>
      <c r="G643" s="182">
        <v>8.8</v>
      </c>
      <c r="H643" s="183">
        <f t="shared" si="324"/>
        <v>82.0725327304275</v>
      </c>
      <c r="I643" s="195"/>
      <c r="J643" s="183"/>
      <c r="K643" s="196"/>
      <c r="M643" s="202"/>
    </row>
    <row r="644" spans="2:11">
      <c r="B644" s="179" t="s">
        <v>1778</v>
      </c>
      <c r="C644" s="180"/>
      <c r="D644" s="67">
        <v>11.1</v>
      </c>
      <c r="E644" s="181">
        <v>0.3589</v>
      </c>
      <c r="F644" s="67">
        <v>1</v>
      </c>
      <c r="G644" s="182">
        <v>8.7</v>
      </c>
      <c r="H644" s="183">
        <f t="shared" ref="H644:H647" si="326">D644*100*F644*250*0.9/E644/G644/1000</f>
        <v>79.9857803057234</v>
      </c>
      <c r="I644" s="195">
        <f t="shared" ref="I644" si="327">(H644+H645)/2</f>
        <v>79.8420775325961</v>
      </c>
      <c r="J644" s="183">
        <f t="shared" ref="J644" si="328">(H644-H645)/I644*100</f>
        <v>0.359967519804612</v>
      </c>
      <c r="K644" s="196"/>
    </row>
    <row r="645" spans="2:11">
      <c r="B645" s="179"/>
      <c r="C645" s="180"/>
      <c r="D645" s="67">
        <v>11.1</v>
      </c>
      <c r="E645" s="203">
        <v>0.3521</v>
      </c>
      <c r="F645" s="67">
        <v>1</v>
      </c>
      <c r="G645" s="182">
        <v>8.9</v>
      </c>
      <c r="H645" s="183">
        <f t="shared" si="326"/>
        <v>79.6983747594689</v>
      </c>
      <c r="I645" s="195"/>
      <c r="J645" s="183"/>
      <c r="K645" s="196"/>
    </row>
    <row r="646" spans="2:11">
      <c r="B646" s="179" t="s">
        <v>1779</v>
      </c>
      <c r="C646" s="180"/>
      <c r="D646" s="67">
        <v>11.1</v>
      </c>
      <c r="E646" s="181">
        <v>2.492</v>
      </c>
      <c r="F646" s="67">
        <v>1</v>
      </c>
      <c r="G646" s="182">
        <v>9.35</v>
      </c>
      <c r="H646" s="183">
        <f t="shared" si="326"/>
        <v>10.7187921133724</v>
      </c>
      <c r="I646" s="195">
        <f t="shared" ref="I646" si="329">(H646+H647)/2</f>
        <v>10.5989556441677</v>
      </c>
      <c r="J646" s="183">
        <f t="shared" ref="J646" si="330">(H646-H647)/I646*100</f>
        <v>2.2612882481625</v>
      </c>
      <c r="K646" s="196"/>
    </row>
    <row r="647" spans="2:11">
      <c r="B647" s="179"/>
      <c r="C647" s="180"/>
      <c r="D647" s="67">
        <v>11.1</v>
      </c>
      <c r="E647" s="203">
        <v>2.5627</v>
      </c>
      <c r="F647" s="67">
        <v>1</v>
      </c>
      <c r="G647" s="182">
        <v>9.3</v>
      </c>
      <c r="H647" s="183">
        <f t="shared" si="326"/>
        <v>10.4791191749629</v>
      </c>
      <c r="I647" s="195"/>
      <c r="J647" s="183"/>
      <c r="K647" s="196"/>
    </row>
    <row r="648" spans="2:11">
      <c r="B648" s="179" t="s">
        <v>1780</v>
      </c>
      <c r="C648" s="180"/>
      <c r="D648" s="67">
        <v>11.1</v>
      </c>
      <c r="E648" s="181">
        <v>1.9932</v>
      </c>
      <c r="F648" s="67">
        <v>1</v>
      </c>
      <c r="G648" s="182">
        <v>7.6</v>
      </c>
      <c r="H648" s="183">
        <f t="shared" ref="H648:H651" si="331">D648*100*F648*250*0.9/E648/G648/1000</f>
        <v>16.486976773662</v>
      </c>
      <c r="I648" s="195">
        <f t="shared" ref="I648" si="332">(H648+H649)/2</f>
        <v>16.4543573088154</v>
      </c>
      <c r="J648" s="183">
        <f t="shared" ref="J648" si="333">(H648-H649)/I648*100</f>
        <v>0.396484216726266</v>
      </c>
      <c r="K648" s="196"/>
    </row>
    <row r="649" spans="2:11">
      <c r="B649" s="179"/>
      <c r="C649" s="180"/>
      <c r="D649" s="67">
        <v>11.1</v>
      </c>
      <c r="E649" s="203">
        <v>2.0278</v>
      </c>
      <c r="F649" s="67">
        <v>1</v>
      </c>
      <c r="G649" s="182">
        <v>7.5</v>
      </c>
      <c r="H649" s="183">
        <f t="shared" si="331"/>
        <v>16.4217378439688</v>
      </c>
      <c r="I649" s="195"/>
      <c r="J649" s="183"/>
      <c r="K649" s="196"/>
    </row>
    <row r="650" spans="2:11">
      <c r="B650" s="179" t="s">
        <v>1781</v>
      </c>
      <c r="C650" s="180"/>
      <c r="D650" s="67">
        <v>11.1</v>
      </c>
      <c r="E650" s="181">
        <v>2.0174</v>
      </c>
      <c r="F650" s="67">
        <v>1</v>
      </c>
      <c r="G650" s="182">
        <v>7.85</v>
      </c>
      <c r="H650" s="183">
        <f t="shared" si="331"/>
        <v>15.7704404799266</v>
      </c>
      <c r="I650" s="195">
        <f t="shared" ref="I650" si="334">(H650+H651)/2</f>
        <v>15.9765900286838</v>
      </c>
      <c r="J650" s="183">
        <f t="shared" ref="J650" si="335">(H650-H651)/I650*100</f>
        <v>-2.58064516129031</v>
      </c>
      <c r="K650" s="196"/>
    </row>
    <row r="651" spans="2:11">
      <c r="B651" s="179"/>
      <c r="C651" s="180"/>
      <c r="D651" s="67">
        <v>11.1</v>
      </c>
      <c r="E651" s="203">
        <v>2.0174</v>
      </c>
      <c r="F651" s="67">
        <v>1</v>
      </c>
      <c r="G651" s="182">
        <v>7.65</v>
      </c>
      <c r="H651" s="183">
        <f t="shared" si="331"/>
        <v>16.182739577441</v>
      </c>
      <c r="I651" s="195"/>
      <c r="J651" s="183"/>
      <c r="K651" s="196"/>
    </row>
    <row r="652" spans="2:11">
      <c r="B652" s="179" t="s">
        <v>1782</v>
      </c>
      <c r="C652" s="180"/>
      <c r="D652" s="67">
        <v>11.1</v>
      </c>
      <c r="E652" s="181">
        <v>2.0174</v>
      </c>
      <c r="F652" s="67">
        <v>1</v>
      </c>
      <c r="G652" s="182">
        <v>7.6</v>
      </c>
      <c r="H652" s="183">
        <f t="shared" ref="H652:H653" si="336">D652*100*F652*250*0.9/E652/G652/1000</f>
        <v>16.2892049693978</v>
      </c>
      <c r="I652" s="195">
        <f t="shared" ref="I652" si="337">(H652+H653)/2</f>
        <v>16.4183055258438</v>
      </c>
      <c r="J652" s="183">
        <f t="shared" ref="J652" si="338">(H652-H653)/I652*100</f>
        <v>-1.57264166198851</v>
      </c>
      <c r="K652" s="196"/>
    </row>
    <row r="653" spans="2:11">
      <c r="B653" s="179"/>
      <c r="C653" s="180"/>
      <c r="D653" s="67">
        <v>11.1</v>
      </c>
      <c r="E653" s="203">
        <v>2.0124</v>
      </c>
      <c r="F653" s="67">
        <v>1</v>
      </c>
      <c r="G653" s="182">
        <v>7.5</v>
      </c>
      <c r="H653" s="183">
        <f t="shared" si="336"/>
        <v>16.5474060822898</v>
      </c>
      <c r="I653" s="195"/>
      <c r="J653" s="183"/>
      <c r="K653" s="196"/>
    </row>
    <row r="654" spans="2:10">
      <c r="B654" s="179" t="s">
        <v>1783</v>
      </c>
      <c r="C654" s="180"/>
      <c r="D654" s="67">
        <v>11.1</v>
      </c>
      <c r="E654" s="181">
        <v>2.1771</v>
      </c>
      <c r="F654" s="67">
        <v>1</v>
      </c>
      <c r="G654" s="182">
        <v>15.3</v>
      </c>
      <c r="H654" s="183">
        <f t="shared" ref="H654:H659" si="339">D654*100*F654*250*0.9/E654/G654/1000</f>
        <v>7.49783170812765</v>
      </c>
      <c r="I654" s="195">
        <f t="shared" ref="I654" si="340">(H654+H655)/2</f>
        <v>7.4973151862409</v>
      </c>
      <c r="J654" s="183">
        <f t="shared" ref="J654" si="341">(H654-H655)/I654*100</f>
        <v>0.0137788494660692</v>
      </c>
    </row>
    <row r="655" spans="2:10">
      <c r="B655" s="179"/>
      <c r="C655" s="180"/>
      <c r="D655" s="67">
        <v>11.1</v>
      </c>
      <c r="E655" s="203">
        <v>2.1774</v>
      </c>
      <c r="F655" s="67">
        <v>1</v>
      </c>
      <c r="G655" s="182">
        <v>15.3</v>
      </c>
      <c r="H655" s="183">
        <f t="shared" si="339"/>
        <v>7.49679866435414</v>
      </c>
      <c r="I655" s="195"/>
      <c r="J655" s="183"/>
    </row>
    <row r="656" spans="2:10">
      <c r="B656" s="179" t="s">
        <v>1784</v>
      </c>
      <c r="C656" s="180"/>
      <c r="D656" s="67">
        <v>11.1</v>
      </c>
      <c r="E656" s="181">
        <v>2.1064</v>
      </c>
      <c r="F656" s="67">
        <v>2</v>
      </c>
      <c r="G656" s="182">
        <v>11.15</v>
      </c>
      <c r="H656" s="183">
        <f t="shared" si="339"/>
        <v>21.2676634438031</v>
      </c>
      <c r="I656" s="195">
        <f t="shared" ref="I656" si="342">(H656+H657)/2</f>
        <v>21.3336490431386</v>
      </c>
      <c r="J656" s="183">
        <f t="shared" ref="J656" si="343">(H656-H657)/I656*100</f>
        <v>-0.618605839085607</v>
      </c>
    </row>
    <row r="657" spans="2:10">
      <c r="B657" s="179"/>
      <c r="C657" s="180"/>
      <c r="D657" s="67">
        <v>11.1</v>
      </c>
      <c r="E657" s="203">
        <v>2.0122</v>
      </c>
      <c r="F657" s="67">
        <v>2</v>
      </c>
      <c r="G657" s="182">
        <v>11.6</v>
      </c>
      <c r="H657" s="183">
        <f t="shared" si="339"/>
        <v>21.399634642474</v>
      </c>
      <c r="I657" s="195"/>
      <c r="J657" s="183"/>
    </row>
    <row r="658" spans="2:10">
      <c r="B658" s="179" t="s">
        <v>1785</v>
      </c>
      <c r="C658" s="180"/>
      <c r="D658" s="67">
        <v>11.1</v>
      </c>
      <c r="E658" s="181">
        <v>1.8704</v>
      </c>
      <c r="F658" s="67">
        <v>1</v>
      </c>
      <c r="G658" s="182">
        <v>7.05</v>
      </c>
      <c r="H658" s="183">
        <f t="shared" si="339"/>
        <v>18.9400833591176</v>
      </c>
      <c r="I658" s="195">
        <f t="shared" ref="I658" si="344">(H658+H659)/2</f>
        <v>18.873495599246</v>
      </c>
      <c r="J658" s="183">
        <f t="shared" ref="J658" si="345">(H658-H659)/I658*100</f>
        <v>0.705621907944941</v>
      </c>
    </row>
    <row r="659" ht="21" customHeight="1" spans="2:10">
      <c r="B659" s="179"/>
      <c r="C659" s="180"/>
      <c r="D659" s="67">
        <v>11.1</v>
      </c>
      <c r="E659" s="203">
        <v>1.7589</v>
      </c>
      <c r="F659" s="67">
        <v>1</v>
      </c>
      <c r="G659" s="182">
        <v>7.55</v>
      </c>
      <c r="H659" s="183">
        <f t="shared" si="339"/>
        <v>18.8069078393743</v>
      </c>
      <c r="I659" s="195"/>
      <c r="J659" s="183"/>
    </row>
    <row r="660" spans="2:10">
      <c r="B660" s="179" t="s">
        <v>1786</v>
      </c>
      <c r="C660" s="180"/>
      <c r="D660" s="67">
        <v>11.1</v>
      </c>
      <c r="E660" s="181">
        <v>2.373</v>
      </c>
      <c r="F660" s="67">
        <v>2</v>
      </c>
      <c r="G660" s="182">
        <v>6.3</v>
      </c>
      <c r="H660" s="183">
        <f t="shared" ref="H660:H661" si="346">D660*100*F660*250*0.9/E660/G660/1000</f>
        <v>33.4115947263861</v>
      </c>
      <c r="I660" s="195">
        <f t="shared" ref="I660:I662" si="347">(H660+H661)/2</f>
        <v>33.1827889515157</v>
      </c>
      <c r="J660" s="183">
        <f t="shared" ref="J660" si="348">(H660-H661)/I660*100</f>
        <v>1.37906295462245</v>
      </c>
    </row>
    <row r="661" spans="2:10">
      <c r="B661" s="179"/>
      <c r="C661" s="180"/>
      <c r="D661" s="67">
        <v>11.1</v>
      </c>
      <c r="E661" s="203">
        <v>2.021</v>
      </c>
      <c r="F661" s="67">
        <v>2</v>
      </c>
      <c r="G661" s="182">
        <v>7.5</v>
      </c>
      <c r="H661" s="183">
        <f t="shared" si="346"/>
        <v>32.9539831766452</v>
      </c>
      <c r="I661" s="195"/>
      <c r="J661" s="183"/>
    </row>
    <row r="662" spans="2:13">
      <c r="B662" s="179" t="s">
        <v>1787</v>
      </c>
      <c r="C662" s="180"/>
      <c r="D662" s="67">
        <v>11.1</v>
      </c>
      <c r="E662" s="181">
        <v>0.3676</v>
      </c>
      <c r="F662" s="67">
        <v>1</v>
      </c>
      <c r="G662" s="182">
        <v>8.4</v>
      </c>
      <c r="H662" s="183">
        <f t="shared" ref="H662:H665" si="349">D662*100*F662*250*0.9/E662/G662/1000</f>
        <v>80.8817814394528</v>
      </c>
      <c r="I662" s="195">
        <f t="shared" si="347"/>
        <v>80.9636710935582</v>
      </c>
      <c r="J662" s="183">
        <f t="shared" ref="J662" si="350">(H662-H663)/I662*100</f>
        <v>-0.202287403718965</v>
      </c>
      <c r="L662" s="142">
        <v>16.1</v>
      </c>
      <c r="M662" s="201">
        <f>I662/(100-L662)*100</f>
        <v>96.5002039255759</v>
      </c>
    </row>
    <row r="663" spans="2:13">
      <c r="B663" s="179"/>
      <c r="C663" s="180"/>
      <c r="D663" s="67">
        <v>11.1</v>
      </c>
      <c r="E663" s="203">
        <v>0.3852</v>
      </c>
      <c r="F663" s="67">
        <v>1</v>
      </c>
      <c r="G663" s="182">
        <v>8</v>
      </c>
      <c r="H663" s="183">
        <f t="shared" si="349"/>
        <v>81.0455607476635</v>
      </c>
      <c r="I663" s="195"/>
      <c r="J663" s="183"/>
      <c r="M663" s="202"/>
    </row>
    <row r="664" spans="2:10">
      <c r="B664" s="179" t="s">
        <v>1788</v>
      </c>
      <c r="C664" s="180"/>
      <c r="D664" s="67">
        <v>11.3</v>
      </c>
      <c r="E664" s="181">
        <v>2.5148</v>
      </c>
      <c r="F664" s="67">
        <v>1</v>
      </c>
      <c r="G664" s="182">
        <v>14.1</v>
      </c>
      <c r="H664" s="204">
        <f t="shared" si="349"/>
        <v>7.17031767680015</v>
      </c>
      <c r="I664" s="182">
        <f t="shared" ref="I664" si="351">(H664+H665)/2</f>
        <v>7.16669812693522</v>
      </c>
      <c r="J664" s="183">
        <f t="shared" ref="J664" si="352">(H664-H665)/I664*100</f>
        <v>0.101010250489781</v>
      </c>
    </row>
    <row r="665" spans="2:10">
      <c r="B665" s="179"/>
      <c r="C665" s="180"/>
      <c r="D665" s="67">
        <v>11.3</v>
      </c>
      <c r="E665" s="203">
        <v>2.5263</v>
      </c>
      <c r="F665" s="67">
        <v>1</v>
      </c>
      <c r="G665" s="182">
        <v>14.05</v>
      </c>
      <c r="H665" s="204">
        <f t="shared" si="349"/>
        <v>7.16307857707029</v>
      </c>
      <c r="I665" s="182"/>
      <c r="J665" s="183"/>
    </row>
    <row r="666" spans="2:10">
      <c r="B666" s="179" t="s">
        <v>1789</v>
      </c>
      <c r="C666" s="180"/>
      <c r="D666" s="67">
        <v>11.3</v>
      </c>
      <c r="E666" s="181">
        <v>2.9444</v>
      </c>
      <c r="F666" s="67">
        <v>1</v>
      </c>
      <c r="G666" s="182">
        <v>12</v>
      </c>
      <c r="H666" s="204">
        <f t="shared" ref="H666:H672" si="353">D666*100*F666*250*0.9/E666/G666/1000</f>
        <v>7.19586333378617</v>
      </c>
      <c r="I666" s="182">
        <f t="shared" ref="I666" si="354">(H666+H667)/2</f>
        <v>7.18826813331571</v>
      </c>
      <c r="J666" s="183">
        <f t="shared" ref="J666" si="355">(H666-H667)/I666*100</f>
        <v>0.21132212459524</v>
      </c>
    </row>
    <row r="667" spans="2:10">
      <c r="B667" s="179"/>
      <c r="C667" s="180"/>
      <c r="D667" s="67">
        <v>11.3</v>
      </c>
      <c r="E667" s="203">
        <v>2.5023</v>
      </c>
      <c r="F667" s="67">
        <v>1</v>
      </c>
      <c r="G667" s="182">
        <v>14.15</v>
      </c>
      <c r="H667" s="204">
        <f t="shared" si="353"/>
        <v>7.18067293284525</v>
      </c>
      <c r="I667" s="182"/>
      <c r="J667" s="183"/>
    </row>
    <row r="668" spans="1:10">
      <c r="A668">
        <v>3.19</v>
      </c>
      <c r="B668" s="179" t="s">
        <v>1790</v>
      </c>
      <c r="C668" s="180"/>
      <c r="D668" s="67">
        <v>11.3</v>
      </c>
      <c r="E668" s="181">
        <v>0.6492</v>
      </c>
      <c r="F668" s="67">
        <v>2</v>
      </c>
      <c r="G668" s="182">
        <v>10.55</v>
      </c>
      <c r="H668" s="183">
        <f t="shared" si="353"/>
        <v>74.2437648378025</v>
      </c>
      <c r="I668" s="195">
        <f t="shared" ref="I668" si="356">(H668+H669)/2</f>
        <v>74.8204113237016</v>
      </c>
      <c r="J668" s="183">
        <f t="shared" ref="J668" si="357">(H668-H669)/I668*100</f>
        <v>-1.54141490456186</v>
      </c>
    </row>
    <row r="669" spans="2:10">
      <c r="B669" s="179"/>
      <c r="C669" s="180"/>
      <c r="D669" s="67">
        <v>11.3</v>
      </c>
      <c r="E669" s="203">
        <v>0.6847</v>
      </c>
      <c r="F669" s="67">
        <v>2</v>
      </c>
      <c r="G669" s="182">
        <v>9.85</v>
      </c>
      <c r="H669" s="183">
        <f t="shared" si="353"/>
        <v>75.3970578096006</v>
      </c>
      <c r="I669" s="195"/>
      <c r="J669" s="183"/>
    </row>
    <row r="670" spans="2:10">
      <c r="B670" s="179" t="s">
        <v>1791</v>
      </c>
      <c r="C670" s="180"/>
      <c r="D670" s="67">
        <v>11.3</v>
      </c>
      <c r="E670" s="181">
        <v>0.3774</v>
      </c>
      <c r="F670" s="67">
        <v>1</v>
      </c>
      <c r="G670" s="182">
        <v>7.8</v>
      </c>
      <c r="H670" s="183">
        <f t="shared" si="353"/>
        <v>86.3703069585422</v>
      </c>
      <c r="I670" s="195">
        <f t="shared" ref="I670" si="358">(H670+H671)/2</f>
        <v>86.1842131655175</v>
      </c>
      <c r="J670" s="183">
        <f t="shared" ref="J670" si="359">(H670-H671)/I670*100</f>
        <v>0.43185123165736</v>
      </c>
    </row>
    <row r="671" spans="2:10">
      <c r="B671" s="179"/>
      <c r="C671" s="180"/>
      <c r="D671" s="67">
        <v>11.3</v>
      </c>
      <c r="E671" s="203">
        <v>0.3562</v>
      </c>
      <c r="F671" s="67">
        <v>1</v>
      </c>
      <c r="G671" s="182">
        <v>8.3</v>
      </c>
      <c r="H671" s="183">
        <f t="shared" si="353"/>
        <v>85.9981193724928</v>
      </c>
      <c r="I671" s="195"/>
      <c r="J671" s="183"/>
    </row>
    <row r="672" spans="2:10">
      <c r="B672" s="179" t="s">
        <v>1792</v>
      </c>
      <c r="C672" s="180"/>
      <c r="D672" s="67">
        <v>11.3</v>
      </c>
      <c r="E672" s="181">
        <v>0.3322</v>
      </c>
      <c r="F672" s="67">
        <v>1</v>
      </c>
      <c r="G672" s="182">
        <v>9</v>
      </c>
      <c r="H672" s="204">
        <f t="shared" si="353"/>
        <v>85.0391330523781</v>
      </c>
      <c r="I672" s="182">
        <f t="shared" ref="I672" si="360">(H672+H673)/2</f>
        <v>84.918875463313</v>
      </c>
      <c r="J672" s="183">
        <f t="shared" ref="J672" si="361">(H672-H673)/I672*100</f>
        <v>0.283229348973291</v>
      </c>
    </row>
    <row r="673" spans="2:10">
      <c r="B673" s="179"/>
      <c r="C673" s="180"/>
      <c r="D673" s="67">
        <v>11.3</v>
      </c>
      <c r="E673" s="203">
        <v>0.3259</v>
      </c>
      <c r="F673" s="67">
        <v>1</v>
      </c>
      <c r="G673" s="182">
        <v>9.2</v>
      </c>
      <c r="H673" s="204">
        <f t="shared" ref="H673:H675" si="362">D673*100*F673*250*0.9/E673/G673/1000</f>
        <v>84.7986178742479</v>
      </c>
      <c r="I673" s="182"/>
      <c r="J673" s="183"/>
    </row>
    <row r="674" spans="2:10">
      <c r="B674" s="179" t="s">
        <v>1793</v>
      </c>
      <c r="C674" s="180"/>
      <c r="D674" s="67">
        <v>11.3</v>
      </c>
      <c r="E674" s="181">
        <v>0.5378</v>
      </c>
      <c r="F674" s="67">
        <v>1</v>
      </c>
      <c r="G674" s="182">
        <v>6.6</v>
      </c>
      <c r="H674" s="204">
        <f t="shared" si="362"/>
        <v>71.630210622401</v>
      </c>
      <c r="I674" s="182">
        <f t="shared" ref="I674" si="363">(H674+H675)/2</f>
        <v>72.1597944836995</v>
      </c>
      <c r="J674" s="183">
        <f t="shared" ref="J674" si="364">(H674-H675)/I674*100</f>
        <v>-1.46780867403407</v>
      </c>
    </row>
    <row r="675" ht="19.5" customHeight="1" spans="2:10">
      <c r="B675" s="179"/>
      <c r="C675" s="180"/>
      <c r="D675" s="67">
        <v>11.3</v>
      </c>
      <c r="E675" s="203">
        <v>0.4858</v>
      </c>
      <c r="F675" s="67">
        <v>1</v>
      </c>
      <c r="G675" s="182">
        <v>7.2</v>
      </c>
      <c r="H675" s="204">
        <f t="shared" si="362"/>
        <v>72.6893783449979</v>
      </c>
      <c r="I675" s="182"/>
      <c r="J675" s="183"/>
    </row>
    <row r="676" spans="2:10">
      <c r="B676" s="179" t="s">
        <v>1794</v>
      </c>
      <c r="C676" s="180"/>
      <c r="D676" s="67">
        <v>11</v>
      </c>
      <c r="E676" s="181">
        <v>1.4588</v>
      </c>
      <c r="F676" s="67">
        <v>1</v>
      </c>
      <c r="G676" s="182">
        <v>6.6</v>
      </c>
      <c r="H676" s="204">
        <f t="shared" ref="H676:H678" si="365">D676*100*F676*250*0.9/E676/G676/1000</f>
        <v>25.7060597751577</v>
      </c>
      <c r="I676" s="182">
        <f t="shared" ref="I676" si="366">(H676+H677)/2</f>
        <v>25.9090791112582</v>
      </c>
      <c r="J676" s="183">
        <f t="shared" ref="J676" si="367">(H676-H677)/I676*100</f>
        <v>-1.56716751860433</v>
      </c>
    </row>
    <row r="677" spans="2:10">
      <c r="B677" s="179"/>
      <c r="C677" s="180"/>
      <c r="D677" s="67">
        <v>11</v>
      </c>
      <c r="E677" s="203">
        <v>1.1217</v>
      </c>
      <c r="F677" s="67">
        <v>1</v>
      </c>
      <c r="G677" s="182">
        <v>8.45</v>
      </c>
      <c r="H677" s="204">
        <f t="shared" si="365"/>
        <v>26.1120984473588</v>
      </c>
      <c r="I677" s="182"/>
      <c r="J677" s="183"/>
    </row>
    <row r="678" spans="1:10">
      <c r="A678">
        <v>3.23</v>
      </c>
      <c r="B678" s="205" t="s">
        <v>1795</v>
      </c>
      <c r="C678" s="180"/>
      <c r="D678" s="67">
        <v>11</v>
      </c>
      <c r="E678" s="181">
        <v>3.5625</v>
      </c>
      <c r="F678" s="67">
        <v>1</v>
      </c>
      <c r="G678" s="182">
        <v>13</v>
      </c>
      <c r="H678" s="204">
        <f t="shared" si="365"/>
        <v>5.34412955465587</v>
      </c>
      <c r="I678" s="182">
        <f t="shared" ref="I678" si="368">(H678+H679)/2</f>
        <v>5.36701590888075</v>
      </c>
      <c r="J678" s="183">
        <f t="shared" ref="J678" si="369">(H678-H679)/I678*100</f>
        <v>-0.85285211049999</v>
      </c>
    </row>
    <row r="679" spans="2:10">
      <c r="B679" s="206"/>
      <c r="C679" s="180"/>
      <c r="D679" s="67">
        <v>11</v>
      </c>
      <c r="E679" s="203">
        <v>3.021</v>
      </c>
      <c r="F679" s="67">
        <v>1</v>
      </c>
      <c r="G679" s="182">
        <v>15.2</v>
      </c>
      <c r="H679" s="204">
        <f t="shared" ref="H679:H683" si="370">D679*100*F679*250*0.9/E679/G679/1000</f>
        <v>5.38990226310563</v>
      </c>
      <c r="I679" s="182"/>
      <c r="J679" s="183"/>
    </row>
    <row r="680" ht="22.5" customHeight="1" spans="2:10">
      <c r="B680" s="179" t="s">
        <v>1796</v>
      </c>
      <c r="C680" s="180"/>
      <c r="D680" s="67">
        <v>11</v>
      </c>
      <c r="E680" s="181">
        <v>0.3492</v>
      </c>
      <c r="F680" s="67">
        <v>1</v>
      </c>
      <c r="G680" s="182">
        <v>8.6</v>
      </c>
      <c r="H680" s="204">
        <f t="shared" si="370"/>
        <v>82.4142891392951</v>
      </c>
      <c r="I680" s="182">
        <f t="shared" ref="I680" si="371">(H680+H681)/2</f>
        <v>82.4970581527779</v>
      </c>
      <c r="J680" s="183">
        <f t="shared" ref="J680" si="372">(H680-H681)/I680*100</f>
        <v>-0.200659309158655</v>
      </c>
    </row>
    <row r="681" spans="2:10">
      <c r="B681" s="179"/>
      <c r="C681" s="180"/>
      <c r="D681" s="67">
        <v>11</v>
      </c>
      <c r="E681" s="203">
        <v>0.3526</v>
      </c>
      <c r="F681" s="67">
        <v>1</v>
      </c>
      <c r="G681" s="182">
        <v>8.5</v>
      </c>
      <c r="H681" s="204">
        <f t="shared" si="370"/>
        <v>82.5798271662607</v>
      </c>
      <c r="I681" s="182"/>
      <c r="J681" s="183"/>
    </row>
    <row r="682" ht="30" customHeight="1" spans="2:10">
      <c r="B682" s="179" t="s">
        <v>1796</v>
      </c>
      <c r="C682" s="180"/>
      <c r="D682" s="67">
        <v>11.1</v>
      </c>
      <c r="E682" s="181">
        <v>0.4302</v>
      </c>
      <c r="F682" s="67">
        <v>1</v>
      </c>
      <c r="G682" s="182">
        <v>7</v>
      </c>
      <c r="H682" s="182">
        <f t="shared" si="370"/>
        <v>82.934847579199</v>
      </c>
      <c r="I682" s="195">
        <f t="shared" ref="I682" si="373">(H682+H683)/2</f>
        <v>83.5392263326062</v>
      </c>
      <c r="J682" s="183">
        <f t="shared" ref="J682" si="374">(H682-H683)/I682*100</f>
        <v>-1.44693404509377</v>
      </c>
    </row>
    <row r="683" spans="2:10">
      <c r="B683" s="179"/>
      <c r="C683" s="180"/>
      <c r="D683" s="67">
        <v>11.1</v>
      </c>
      <c r="E683" s="203">
        <v>0.4011</v>
      </c>
      <c r="F683" s="67">
        <v>1</v>
      </c>
      <c r="G683" s="182">
        <v>7.4</v>
      </c>
      <c r="H683" s="204">
        <f t="shared" si="370"/>
        <v>84.1436050860135</v>
      </c>
      <c r="I683" s="195"/>
      <c r="J683" s="183"/>
    </row>
    <row r="684" spans="2:10">
      <c r="B684" s="179" t="s">
        <v>1795</v>
      </c>
      <c r="C684" s="180"/>
      <c r="D684" s="67">
        <v>11</v>
      </c>
      <c r="E684" s="181">
        <v>4.1923</v>
      </c>
      <c r="F684" s="67">
        <v>1</v>
      </c>
      <c r="G684" s="182">
        <v>12.3</v>
      </c>
      <c r="H684" s="182">
        <f t="shared" ref="H684:H691" si="375">D684*100*F684*250*0.9/E684/G684/1000</f>
        <v>4.79974029041629</v>
      </c>
      <c r="I684" s="195">
        <f t="shared" ref="I684" si="376">(H684+H685)/2</f>
        <v>4.74109623253975</v>
      </c>
      <c r="J684" s="183">
        <f t="shared" ref="J684" si="377">(H684-H685)/I684*100</f>
        <v>2.47386068538483</v>
      </c>
    </row>
    <row r="685" spans="2:10">
      <c r="B685" s="179"/>
      <c r="C685" s="180"/>
      <c r="D685" s="67">
        <v>11</v>
      </c>
      <c r="E685" s="203">
        <v>4.4794</v>
      </c>
      <c r="F685" s="67">
        <v>1</v>
      </c>
      <c r="G685" s="182">
        <v>11.8</v>
      </c>
      <c r="H685" s="204">
        <f t="shared" si="375"/>
        <v>4.68245217466322</v>
      </c>
      <c r="I685" s="195"/>
      <c r="J685" s="183"/>
    </row>
    <row r="686" spans="1:10">
      <c r="A686">
        <v>4.28</v>
      </c>
      <c r="B686" s="179" t="s">
        <v>1797</v>
      </c>
      <c r="C686" s="180"/>
      <c r="D686" s="67">
        <v>11</v>
      </c>
      <c r="E686" s="181">
        <v>1.7762</v>
      </c>
      <c r="F686" s="67">
        <v>1</v>
      </c>
      <c r="G686" s="182">
        <v>8.65</v>
      </c>
      <c r="H686" s="182">
        <f t="shared" si="375"/>
        <v>16.1089498722023</v>
      </c>
      <c r="I686" s="195">
        <f>(H686+H687)/2</f>
        <v>16.2230424861943</v>
      </c>
      <c r="J686" s="183">
        <f>(H686-H687)/I686*100</f>
        <v>-1.40655014728648</v>
      </c>
    </row>
    <row r="687" spans="2:10">
      <c r="B687" s="179"/>
      <c r="C687" s="180"/>
      <c r="D687" s="67">
        <v>11</v>
      </c>
      <c r="E687" s="203">
        <v>1.5699</v>
      </c>
      <c r="F687" s="67">
        <v>1</v>
      </c>
      <c r="G687" s="182">
        <v>9.65</v>
      </c>
      <c r="H687" s="182">
        <f t="shared" si="375"/>
        <v>16.3371351001862</v>
      </c>
      <c r="I687" s="195"/>
      <c r="J687" s="183"/>
    </row>
    <row r="688" spans="2:10">
      <c r="B688" s="179" t="s">
        <v>1798</v>
      </c>
      <c r="C688" s="180"/>
      <c r="D688" s="67">
        <v>11</v>
      </c>
      <c r="E688" s="181">
        <v>1.6424</v>
      </c>
      <c r="F688" s="67">
        <v>1</v>
      </c>
      <c r="G688" s="182">
        <v>8.5</v>
      </c>
      <c r="H688" s="182">
        <f t="shared" si="375"/>
        <v>17.7287183748317</v>
      </c>
      <c r="I688" s="195">
        <f>(H688+H689)/2</f>
        <v>17.9281518078407</v>
      </c>
      <c r="J688" s="183">
        <f>(H688-H689)/I688*100</f>
        <v>-2.22480749992078</v>
      </c>
    </row>
    <row r="689" spans="2:10">
      <c r="B689" s="179"/>
      <c r="C689" s="180"/>
      <c r="D689" s="67">
        <v>11</v>
      </c>
      <c r="E689" s="203">
        <v>1.5255</v>
      </c>
      <c r="F689" s="67">
        <v>1</v>
      </c>
      <c r="G689" s="182">
        <v>8.95</v>
      </c>
      <c r="H689" s="204">
        <f t="shared" si="375"/>
        <v>18.1275852408497</v>
      </c>
      <c r="I689" s="195"/>
      <c r="J689" s="183"/>
    </row>
    <row r="690" spans="2:10">
      <c r="B690" s="179" t="s">
        <v>1799</v>
      </c>
      <c r="C690" s="180"/>
      <c r="D690" s="67">
        <v>11</v>
      </c>
      <c r="E690" s="181">
        <v>1.4618</v>
      </c>
      <c r="F690" s="67">
        <v>1</v>
      </c>
      <c r="G690" s="182">
        <v>8.7</v>
      </c>
      <c r="H690" s="182">
        <f t="shared" si="375"/>
        <v>19.4611272828492</v>
      </c>
      <c r="I690" s="195">
        <f>(H690+H691)/2</f>
        <v>19.0924569907356</v>
      </c>
      <c r="J690" s="183">
        <f>(H690-H691)/I690*100</f>
        <v>3.86194707462256</v>
      </c>
    </row>
    <row r="691" spans="2:10">
      <c r="B691" s="179"/>
      <c r="C691" s="180"/>
      <c r="D691" s="67">
        <v>11</v>
      </c>
      <c r="E691" s="203">
        <v>1.5021</v>
      </c>
      <c r="F691" s="67">
        <v>1</v>
      </c>
      <c r="G691" s="182">
        <v>8.8</v>
      </c>
      <c r="H691" s="204">
        <f t="shared" si="375"/>
        <v>18.7237866986219</v>
      </c>
      <c r="I691" s="195"/>
      <c r="J691" s="183"/>
    </row>
    <row r="692" spans="2:10">
      <c r="B692" s="179" t="s">
        <v>1800</v>
      </c>
      <c r="C692" s="180"/>
      <c r="D692" s="67">
        <v>11</v>
      </c>
      <c r="E692" s="181">
        <v>1.4694</v>
      </c>
      <c r="F692" s="67">
        <v>1</v>
      </c>
      <c r="G692" s="182">
        <v>10.05</v>
      </c>
      <c r="H692" s="204">
        <f t="shared" ref="H692:H755" si="378">D692*100*F692*250*0.9/E692/G692/1000</f>
        <v>16.759810583668</v>
      </c>
      <c r="I692" s="195">
        <f>(H692+H693)/2</f>
        <v>16.636786025779</v>
      </c>
      <c r="J692" s="183">
        <f>(H692-H693)/I692*100</f>
        <v>1.47894620629764</v>
      </c>
    </row>
    <row r="693" spans="2:10">
      <c r="B693" s="179"/>
      <c r="C693" s="180"/>
      <c r="D693" s="67">
        <v>11</v>
      </c>
      <c r="E693" s="203">
        <v>1.3625</v>
      </c>
      <c r="F693" s="67">
        <v>1</v>
      </c>
      <c r="G693" s="182">
        <v>11</v>
      </c>
      <c r="H693" s="204">
        <f t="shared" si="378"/>
        <v>16.5137614678899</v>
      </c>
      <c r="I693" s="195"/>
      <c r="J693" s="183"/>
    </row>
    <row r="694" spans="2:10">
      <c r="B694" s="179" t="s">
        <v>1801</v>
      </c>
      <c r="C694" s="180"/>
      <c r="D694" s="67">
        <v>11</v>
      </c>
      <c r="E694" s="181">
        <v>1.6602</v>
      </c>
      <c r="F694" s="67">
        <v>1</v>
      </c>
      <c r="G694" s="182">
        <v>9.1</v>
      </c>
      <c r="H694" s="204">
        <f t="shared" si="378"/>
        <v>16.3822444270583</v>
      </c>
      <c r="I694" s="195">
        <f>(H694+H695)/2</f>
        <v>16.4817462714128</v>
      </c>
      <c r="J694" s="183">
        <f>(H694-H695)/I694*100</f>
        <v>-1.20741871299232</v>
      </c>
    </row>
    <row r="695" spans="2:10">
      <c r="B695" s="179"/>
      <c r="C695" s="180"/>
      <c r="D695" s="67">
        <v>11</v>
      </c>
      <c r="E695" s="203">
        <v>1.6585</v>
      </c>
      <c r="F695" s="67">
        <v>1</v>
      </c>
      <c r="G695" s="182">
        <v>9</v>
      </c>
      <c r="H695" s="204">
        <f t="shared" si="378"/>
        <v>16.5812481157673</v>
      </c>
      <c r="I695" s="195"/>
      <c r="J695" s="183"/>
    </row>
    <row r="696" spans="2:10">
      <c r="B696" s="179" t="s">
        <v>1802</v>
      </c>
      <c r="C696" s="180"/>
      <c r="D696" s="67">
        <v>11</v>
      </c>
      <c r="E696" s="181">
        <v>1.6117</v>
      </c>
      <c r="F696" s="67">
        <v>1</v>
      </c>
      <c r="G696" s="182">
        <v>7.8</v>
      </c>
      <c r="H696" s="204">
        <f t="shared" si="378"/>
        <v>19.6877639950172</v>
      </c>
      <c r="I696" s="195">
        <f>(H696+H697)/2</f>
        <v>19.5599605175555</v>
      </c>
      <c r="J696" s="183">
        <f>(H696-H697)/I696*100</f>
        <v>1.30678666091351</v>
      </c>
    </row>
    <row r="697" spans="2:10">
      <c r="B697" s="179"/>
      <c r="C697" s="180"/>
      <c r="D697" s="67">
        <v>11</v>
      </c>
      <c r="E697" s="203">
        <v>1.6329</v>
      </c>
      <c r="F697" s="67">
        <v>1</v>
      </c>
      <c r="G697" s="182">
        <v>7.8</v>
      </c>
      <c r="H697" s="204">
        <f t="shared" si="378"/>
        <v>19.4321570400938</v>
      </c>
      <c r="I697" s="195"/>
      <c r="J697" s="183"/>
    </row>
    <row r="698" spans="2:10">
      <c r="B698" s="179" t="s">
        <v>1803</v>
      </c>
      <c r="C698" s="180"/>
      <c r="D698" s="67">
        <v>11</v>
      </c>
      <c r="E698" s="181">
        <v>1.7054</v>
      </c>
      <c r="F698" s="67">
        <v>1</v>
      </c>
      <c r="G698" s="182">
        <v>6.85</v>
      </c>
      <c r="H698" s="204">
        <f t="shared" si="378"/>
        <v>21.1864588139521</v>
      </c>
      <c r="I698" s="195">
        <f>(H698+H699)/2</f>
        <v>20.9837099635531</v>
      </c>
      <c r="J698" s="183">
        <f>(H698-H699)/I698*100</f>
        <v>1.93244045739369</v>
      </c>
    </row>
    <row r="699" spans="2:10">
      <c r="B699" s="179"/>
      <c r="C699" s="180"/>
      <c r="D699" s="67">
        <v>11</v>
      </c>
      <c r="E699" s="203">
        <v>1.6204</v>
      </c>
      <c r="F699" s="67">
        <v>1</v>
      </c>
      <c r="G699" s="182">
        <v>7.35</v>
      </c>
      <c r="H699" s="204">
        <f t="shared" si="378"/>
        <v>20.7809611131542</v>
      </c>
      <c r="I699" s="195"/>
      <c r="J699" s="183"/>
    </row>
    <row r="700" spans="2:10">
      <c r="B700" s="179" t="s">
        <v>1804</v>
      </c>
      <c r="C700" s="180"/>
      <c r="D700" s="67">
        <v>11</v>
      </c>
      <c r="E700" s="181">
        <v>1.5974</v>
      </c>
      <c r="F700" s="67">
        <v>1</v>
      </c>
      <c r="G700" s="182">
        <v>8.4</v>
      </c>
      <c r="H700" s="204">
        <f t="shared" si="378"/>
        <v>18.4451519433365</v>
      </c>
      <c r="I700" s="195">
        <f>(H700+H701)/2</f>
        <v>18.7000039929957</v>
      </c>
      <c r="J700" s="183">
        <f>(H700-H701)/I700*100</f>
        <v>-2.72568978867256</v>
      </c>
    </row>
    <row r="701" spans="2:10">
      <c r="B701" s="179"/>
      <c r="C701" s="180"/>
      <c r="D701" s="67">
        <v>11</v>
      </c>
      <c r="E701" s="203">
        <v>1.4428</v>
      </c>
      <c r="F701" s="67">
        <v>1</v>
      </c>
      <c r="G701" s="182">
        <v>9.05</v>
      </c>
      <c r="H701" s="204">
        <f t="shared" si="378"/>
        <v>18.9548560426549</v>
      </c>
      <c r="I701" s="195"/>
      <c r="J701" s="183"/>
    </row>
    <row r="702" spans="2:10">
      <c r="B702" s="179" t="s">
        <v>1805</v>
      </c>
      <c r="C702" s="180"/>
      <c r="D702" s="67">
        <v>11</v>
      </c>
      <c r="E702" s="181">
        <v>1.5569</v>
      </c>
      <c r="F702" s="67">
        <v>1</v>
      </c>
      <c r="G702" s="182">
        <v>9.55</v>
      </c>
      <c r="H702" s="204">
        <f t="shared" si="378"/>
        <v>16.6460468665246</v>
      </c>
      <c r="I702" s="195">
        <f>(H702+H703)/2</f>
        <v>16.2935835655833</v>
      </c>
      <c r="J702" s="183">
        <f>(H702-H703)/I702*100</f>
        <v>4.32640615273662</v>
      </c>
    </row>
    <row r="703" spans="2:10">
      <c r="B703" s="179"/>
      <c r="C703" s="180"/>
      <c r="D703" s="67">
        <v>11</v>
      </c>
      <c r="E703" s="54">
        <v>1.6089</v>
      </c>
      <c r="F703" s="67">
        <v>1</v>
      </c>
      <c r="G703" s="182">
        <v>9.65</v>
      </c>
      <c r="H703" s="204">
        <f t="shared" si="378"/>
        <v>15.9411202646419</v>
      </c>
      <c r="I703" s="195"/>
      <c r="J703" s="183"/>
    </row>
    <row r="704" spans="2:10">
      <c r="B704" s="179" t="s">
        <v>1806</v>
      </c>
      <c r="C704" s="180"/>
      <c r="D704" s="67">
        <v>11</v>
      </c>
      <c r="E704" s="203">
        <v>1.5646</v>
      </c>
      <c r="F704" s="67">
        <v>1</v>
      </c>
      <c r="G704" s="182">
        <v>7.95</v>
      </c>
      <c r="H704" s="204">
        <f t="shared" si="378"/>
        <v>19.8977856779356</v>
      </c>
      <c r="I704" s="195">
        <f>(H704+H705)/2</f>
        <v>19.9276049198619</v>
      </c>
      <c r="J704" s="183">
        <f>(H704-H705)/I704*100</f>
        <v>-0.299275723762969</v>
      </c>
    </row>
    <row r="705" spans="2:10">
      <c r="B705" s="179"/>
      <c r="C705" s="180"/>
      <c r="D705" s="67">
        <v>11</v>
      </c>
      <c r="E705" s="203">
        <v>1.5032</v>
      </c>
      <c r="F705" s="67">
        <v>1</v>
      </c>
      <c r="G705" s="182">
        <v>8.25</v>
      </c>
      <c r="H705" s="204">
        <f t="shared" si="378"/>
        <v>19.9574241617882</v>
      </c>
      <c r="I705" s="195"/>
      <c r="J705" s="183"/>
    </row>
    <row r="706" spans="2:10">
      <c r="B706" s="179" t="s">
        <v>1807</v>
      </c>
      <c r="C706" s="180"/>
      <c r="D706" s="67">
        <v>11</v>
      </c>
      <c r="E706" s="181">
        <v>1.9387</v>
      </c>
      <c r="F706" s="67">
        <v>1</v>
      </c>
      <c r="G706" s="182">
        <v>7.2</v>
      </c>
      <c r="H706" s="204">
        <f t="shared" si="378"/>
        <v>17.7309537318822</v>
      </c>
      <c r="I706" s="195">
        <f>(H706+H707)/2</f>
        <v>17.8621268406414</v>
      </c>
      <c r="J706" s="183">
        <f>(H706-H707)/I706*100</f>
        <v>-1.46872889135216</v>
      </c>
    </row>
    <row r="707" spans="2:10">
      <c r="B707" s="179"/>
      <c r="C707" s="180"/>
      <c r="D707" s="67">
        <v>11</v>
      </c>
      <c r="E707" s="203">
        <v>1.8588</v>
      </c>
      <c r="F707" s="67">
        <v>1</v>
      </c>
      <c r="G707" s="182">
        <v>7.4</v>
      </c>
      <c r="H707" s="204">
        <f t="shared" si="378"/>
        <v>17.9932999494007</v>
      </c>
      <c r="I707" s="195"/>
      <c r="J707" s="183"/>
    </row>
    <row r="708" spans="2:10">
      <c r="B708" s="179" t="s">
        <v>1808</v>
      </c>
      <c r="C708" s="180"/>
      <c r="D708" s="67">
        <v>11</v>
      </c>
      <c r="E708" s="181">
        <v>1.3903</v>
      </c>
      <c r="F708" s="67">
        <v>1</v>
      </c>
      <c r="G708" s="182">
        <v>11.75</v>
      </c>
      <c r="H708" s="204">
        <f t="shared" si="378"/>
        <v>15.1505644733036</v>
      </c>
      <c r="I708" s="195">
        <f>(H708+H709)/2</f>
        <v>14.839855043081</v>
      </c>
      <c r="J708" s="183">
        <f>(H708-H709)/I708*100</f>
        <v>4.18749953177559</v>
      </c>
    </row>
    <row r="709" spans="2:10">
      <c r="B709" s="179"/>
      <c r="C709" s="180"/>
      <c r="D709" s="67">
        <v>11</v>
      </c>
      <c r="E709" s="203">
        <v>1.4255</v>
      </c>
      <c r="F709" s="67">
        <v>1</v>
      </c>
      <c r="G709" s="182">
        <v>11.95</v>
      </c>
      <c r="H709" s="204">
        <f t="shared" si="378"/>
        <v>14.5291456128584</v>
      </c>
      <c r="I709" s="195"/>
      <c r="J709" s="183"/>
    </row>
    <row r="710" spans="2:10">
      <c r="B710" s="179" t="s">
        <v>1809</v>
      </c>
      <c r="C710" s="180"/>
      <c r="D710" s="67">
        <v>11</v>
      </c>
      <c r="E710" s="181">
        <v>1.3905</v>
      </c>
      <c r="F710" s="67">
        <v>1</v>
      </c>
      <c r="G710" s="182">
        <v>9.8</v>
      </c>
      <c r="H710" s="204">
        <f t="shared" si="378"/>
        <v>18.1626048477643</v>
      </c>
      <c r="I710" s="195">
        <f t="shared" ref="I710:I714" si="379">(H710+H711)/2</f>
        <v>18.3523125931502</v>
      </c>
      <c r="J710" s="183">
        <f t="shared" ref="J710:J714" si="380">(H710-H711)/I710*100</f>
        <v>-2.06739880244493</v>
      </c>
    </row>
    <row r="711" spans="2:10">
      <c r="B711" s="179"/>
      <c r="C711" s="180"/>
      <c r="D711" s="67">
        <v>11</v>
      </c>
      <c r="E711" s="203">
        <v>1.6082</v>
      </c>
      <c r="F711" s="67">
        <v>1</v>
      </c>
      <c r="G711" s="182">
        <v>8.3</v>
      </c>
      <c r="H711" s="204">
        <f t="shared" si="378"/>
        <v>18.5420203385361</v>
      </c>
      <c r="I711" s="195"/>
      <c r="J711" s="183"/>
    </row>
    <row r="712" spans="2:10">
      <c r="B712" s="179" t="s">
        <v>1810</v>
      </c>
      <c r="C712" s="180"/>
      <c r="D712" s="67">
        <v>11</v>
      </c>
      <c r="E712" s="181">
        <v>1.597</v>
      </c>
      <c r="F712" s="67">
        <v>1</v>
      </c>
      <c r="G712" s="182">
        <v>10.2</v>
      </c>
      <c r="H712" s="204">
        <f t="shared" si="378"/>
        <v>15.1939297948359</v>
      </c>
      <c r="I712" s="195">
        <f t="shared" si="379"/>
        <v>15.4780663028333</v>
      </c>
      <c r="J712" s="183">
        <f t="shared" si="380"/>
        <v>-3.67147294032917</v>
      </c>
    </row>
    <row r="713" spans="2:10">
      <c r="B713" s="179"/>
      <c r="C713" s="180"/>
      <c r="D713" s="67">
        <v>11</v>
      </c>
      <c r="E713" s="203">
        <v>1.4472</v>
      </c>
      <c r="F713" s="67">
        <v>1</v>
      </c>
      <c r="G713" s="182">
        <v>10.85</v>
      </c>
      <c r="H713" s="204">
        <f t="shared" si="378"/>
        <v>15.7622028108306</v>
      </c>
      <c r="I713" s="195"/>
      <c r="J713" s="183"/>
    </row>
    <row r="714" spans="1:10">
      <c r="A714">
        <v>5.6</v>
      </c>
      <c r="B714" s="179" t="s">
        <v>1811</v>
      </c>
      <c r="C714" s="180"/>
      <c r="D714" s="67">
        <v>11</v>
      </c>
      <c r="E714" s="181">
        <v>0.3687</v>
      </c>
      <c r="F714" s="67">
        <v>1</v>
      </c>
      <c r="G714" s="182">
        <v>7.75</v>
      </c>
      <c r="H714" s="204">
        <f t="shared" si="378"/>
        <v>86.6164466258957</v>
      </c>
      <c r="I714" s="195">
        <f t="shared" si="379"/>
        <v>86.7967212641564</v>
      </c>
      <c r="J714" s="183">
        <f t="shared" si="380"/>
        <v>-0.415395041736761</v>
      </c>
    </row>
    <row r="715" spans="2:10">
      <c r="B715" s="179"/>
      <c r="C715" s="180"/>
      <c r="D715" s="67">
        <v>11</v>
      </c>
      <c r="E715" s="203">
        <v>0.3602</v>
      </c>
      <c r="F715" s="67">
        <v>1</v>
      </c>
      <c r="G715" s="182">
        <v>7.9</v>
      </c>
      <c r="H715" s="204">
        <f t="shared" si="378"/>
        <v>86.9769959024171</v>
      </c>
      <c r="I715" s="195"/>
      <c r="J715" s="183"/>
    </row>
    <row r="716" spans="2:10">
      <c r="B716" s="179" t="s">
        <v>1812</v>
      </c>
      <c r="C716" s="180"/>
      <c r="D716" s="67">
        <v>11</v>
      </c>
      <c r="E716" s="181">
        <v>0.3326</v>
      </c>
      <c r="F716" s="67">
        <v>1</v>
      </c>
      <c r="G716" s="182">
        <v>8.75</v>
      </c>
      <c r="H716" s="204">
        <f t="shared" si="378"/>
        <v>85.0442401855511</v>
      </c>
      <c r="I716" s="195">
        <f t="shared" ref="I716:I720" si="381">(H716+H717)/2</f>
        <v>85.1166886399135</v>
      </c>
      <c r="J716" s="183">
        <f t="shared" ref="J716:J720" si="382">(H716-H717)/I716*100</f>
        <v>-0.170233253948458</v>
      </c>
    </row>
    <row r="717" spans="2:10">
      <c r="B717" s="179"/>
      <c r="C717" s="180"/>
      <c r="D717" s="67">
        <v>11</v>
      </c>
      <c r="E717" s="203">
        <v>0.3418</v>
      </c>
      <c r="F717" s="67">
        <v>1</v>
      </c>
      <c r="G717" s="182">
        <v>8.5</v>
      </c>
      <c r="H717" s="204">
        <f t="shared" si="378"/>
        <v>85.189137094276</v>
      </c>
      <c r="I717" s="195"/>
      <c r="J717" s="183"/>
    </row>
    <row r="718" spans="1:14">
      <c r="A718">
        <v>5.21</v>
      </c>
      <c r="B718" s="179" t="s">
        <v>1813</v>
      </c>
      <c r="C718" s="180"/>
      <c r="D718" s="67">
        <v>11</v>
      </c>
      <c r="E718" s="181">
        <v>0.5704</v>
      </c>
      <c r="F718" s="67">
        <v>1</v>
      </c>
      <c r="G718" s="182">
        <v>7.1</v>
      </c>
      <c r="H718" s="204">
        <f t="shared" si="378"/>
        <v>61.1135254726113</v>
      </c>
      <c r="I718" s="195">
        <f t="shared" si="381"/>
        <v>62.0252942048371</v>
      </c>
      <c r="J718" s="183">
        <f t="shared" si="382"/>
        <v>-2.93999002798678</v>
      </c>
      <c r="L718" s="142">
        <v>9.51</v>
      </c>
      <c r="M718" s="201">
        <f>I718/(100-L718)*100</f>
        <v>68.5438105921506</v>
      </c>
      <c r="N718" s="143">
        <f t="shared" ref="N718:N723" si="383">H718/(100-L718)*100</f>
        <v>67.5362199940449</v>
      </c>
    </row>
    <row r="719" spans="2:14">
      <c r="B719" s="179"/>
      <c r="C719" s="180"/>
      <c r="D719" s="67">
        <v>11</v>
      </c>
      <c r="E719" s="203">
        <v>0.65</v>
      </c>
      <c r="F719" s="67">
        <v>1</v>
      </c>
      <c r="G719" s="182">
        <v>6.05</v>
      </c>
      <c r="H719" s="204">
        <f t="shared" si="378"/>
        <v>62.9370629370629</v>
      </c>
      <c r="I719" s="195"/>
      <c r="J719" s="183"/>
      <c r="L719" s="142">
        <v>9.51</v>
      </c>
      <c r="M719" s="202"/>
      <c r="N719" s="143">
        <f t="shared" si="383"/>
        <v>69.5514011902563</v>
      </c>
    </row>
    <row r="720" spans="2:14">
      <c r="B720" s="179" t="s">
        <v>1814</v>
      </c>
      <c r="C720" s="180"/>
      <c r="D720" s="67">
        <v>11</v>
      </c>
      <c r="E720" s="181">
        <v>0.5503</v>
      </c>
      <c r="F720" s="67">
        <v>1</v>
      </c>
      <c r="G720" s="182">
        <v>6.65</v>
      </c>
      <c r="H720" s="204">
        <f t="shared" si="378"/>
        <v>67.6322825963692</v>
      </c>
      <c r="I720" s="195">
        <f t="shared" si="381"/>
        <v>67.3936748757182</v>
      </c>
      <c r="J720" s="183">
        <f t="shared" si="382"/>
        <v>0.708101230838129</v>
      </c>
      <c r="L720" s="142">
        <v>9.43</v>
      </c>
      <c r="M720" s="201">
        <f>I720/(100-L720)*100</f>
        <v>74.4105938784566</v>
      </c>
      <c r="N720" s="143">
        <f t="shared" si="383"/>
        <v>74.6740450440203</v>
      </c>
    </row>
    <row r="721" spans="2:14">
      <c r="B721" s="179"/>
      <c r="C721" s="180"/>
      <c r="D721" s="67">
        <v>11</v>
      </c>
      <c r="E721" s="203">
        <v>0.5265</v>
      </c>
      <c r="F721" s="67">
        <v>1</v>
      </c>
      <c r="G721" s="182">
        <v>7</v>
      </c>
      <c r="H721" s="204">
        <f t="shared" si="378"/>
        <v>67.1550671550672</v>
      </c>
      <c r="I721" s="195"/>
      <c r="J721" s="183"/>
      <c r="L721" s="142">
        <v>9.43</v>
      </c>
      <c r="M721" s="202"/>
      <c r="N721" s="143">
        <f t="shared" si="383"/>
        <v>74.147142712893</v>
      </c>
    </row>
    <row r="722" spans="2:14">
      <c r="B722" s="179" t="s">
        <v>1815</v>
      </c>
      <c r="C722" s="180"/>
      <c r="D722" s="67">
        <v>11</v>
      </c>
      <c r="E722" s="181">
        <v>0.5572</v>
      </c>
      <c r="F722" s="67">
        <v>1</v>
      </c>
      <c r="G722" s="182">
        <v>7</v>
      </c>
      <c r="H722" s="204">
        <f t="shared" si="378"/>
        <v>63.4550302533074</v>
      </c>
      <c r="I722" s="195">
        <f t="shared" ref="I722:I726" si="384">(H722+H723)/2</f>
        <v>66.0107123429966</v>
      </c>
      <c r="J722" s="183">
        <f t="shared" ref="J722:J726" si="385">(H722-H723)/I722*100</f>
        <v>-7.74323439022957</v>
      </c>
      <c r="L722" s="142">
        <v>8.69</v>
      </c>
      <c r="M722" s="201">
        <f>I722/(100-L722)*100</f>
        <v>72.2929715726608</v>
      </c>
      <c r="N722" s="143">
        <f t="shared" si="383"/>
        <v>69.4940644543942</v>
      </c>
    </row>
    <row r="723" spans="2:14">
      <c r="B723" s="179"/>
      <c r="C723" s="180"/>
      <c r="D723" s="67">
        <v>11</v>
      </c>
      <c r="E723" s="203">
        <v>0.5822</v>
      </c>
      <c r="F723" s="67">
        <v>1</v>
      </c>
      <c r="G723" s="182">
        <v>6.2</v>
      </c>
      <c r="H723" s="204">
        <f t="shared" si="378"/>
        <v>68.5663944326858</v>
      </c>
      <c r="I723" s="195"/>
      <c r="J723" s="183"/>
      <c r="L723" s="142">
        <v>8.69</v>
      </c>
      <c r="M723" s="202"/>
      <c r="N723" s="143">
        <f t="shared" si="383"/>
        <v>75.0918786909274</v>
      </c>
    </row>
    <row r="724" spans="2:15">
      <c r="B724" s="179" t="s">
        <v>1816</v>
      </c>
      <c r="C724" s="180"/>
      <c r="D724" s="67">
        <v>11</v>
      </c>
      <c r="E724" s="181">
        <v>2.5306</v>
      </c>
      <c r="F724" s="67">
        <v>1</v>
      </c>
      <c r="G724" s="182">
        <v>5.85</v>
      </c>
      <c r="H724" s="204">
        <f t="shared" si="378"/>
        <v>16.7184431785712</v>
      </c>
      <c r="I724" s="195">
        <f t="shared" si="384"/>
        <v>16.842744702173</v>
      </c>
      <c r="J724" s="183">
        <f t="shared" si="385"/>
        <v>-1.47602455300261</v>
      </c>
      <c r="L724" s="47"/>
      <c r="M724" s="47"/>
      <c r="N724" s="47"/>
      <c r="O724" s="47"/>
    </row>
    <row r="725" spans="2:15">
      <c r="B725" s="179"/>
      <c r="C725" s="180"/>
      <c r="D725" s="67">
        <v>11</v>
      </c>
      <c r="E725" s="203">
        <v>1.958</v>
      </c>
      <c r="F725" s="67">
        <v>1</v>
      </c>
      <c r="G725" s="182">
        <v>7.45</v>
      </c>
      <c r="H725" s="204">
        <f t="shared" si="378"/>
        <v>16.9670462257748</v>
      </c>
      <c r="I725" s="195"/>
      <c r="J725" s="183"/>
      <c r="L725" s="47"/>
      <c r="M725" s="47"/>
      <c r="N725" s="47"/>
      <c r="O725" s="47"/>
    </row>
    <row r="726" spans="1:15">
      <c r="A726">
        <v>5.25</v>
      </c>
      <c r="B726" s="179" t="s">
        <v>1817</v>
      </c>
      <c r="C726" s="180"/>
      <c r="D726" s="67">
        <v>11</v>
      </c>
      <c r="E726" s="181">
        <v>3.1401</v>
      </c>
      <c r="F726" s="67">
        <v>1</v>
      </c>
      <c r="G726" s="182">
        <v>14.5</v>
      </c>
      <c r="H726" s="204">
        <f t="shared" si="378"/>
        <v>5.43580316462577</v>
      </c>
      <c r="I726" s="204">
        <f t="shared" si="384"/>
        <v>5.42115334843737</v>
      </c>
      <c r="J726" s="183">
        <f t="shared" si="385"/>
        <v>0.540468614215492</v>
      </c>
      <c r="L726" s="47"/>
      <c r="M726" s="47"/>
      <c r="N726" s="47"/>
      <c r="O726" s="47"/>
    </row>
    <row r="727" spans="2:15">
      <c r="B727" s="179"/>
      <c r="C727" s="180"/>
      <c r="D727" s="67">
        <v>11</v>
      </c>
      <c r="E727" s="203">
        <v>3.5214</v>
      </c>
      <c r="F727" s="67">
        <v>1</v>
      </c>
      <c r="G727" s="182">
        <v>13</v>
      </c>
      <c r="H727" s="204">
        <f t="shared" si="378"/>
        <v>5.40650353224897</v>
      </c>
      <c r="I727" s="204"/>
      <c r="J727" s="183"/>
      <c r="L727" s="47"/>
      <c r="M727" s="47"/>
      <c r="N727" s="47"/>
      <c r="O727" s="47"/>
    </row>
    <row r="728" spans="2:15">
      <c r="B728" s="179" t="s">
        <v>1818</v>
      </c>
      <c r="C728" s="180"/>
      <c r="D728" s="67">
        <v>11</v>
      </c>
      <c r="E728" s="181">
        <v>0.5449</v>
      </c>
      <c r="F728" s="67">
        <v>1</v>
      </c>
      <c r="G728" s="182">
        <v>7.15</v>
      </c>
      <c r="H728" s="204">
        <f t="shared" si="378"/>
        <v>63.5261233536146</v>
      </c>
      <c r="I728" s="195">
        <f t="shared" ref="I728:I732" si="386">(H728+H729)/2</f>
        <v>63.5065282942235</v>
      </c>
      <c r="J728" s="183">
        <f t="shared" ref="J728:J732" si="387">(H728-H729)/I728*100</f>
        <v>0.0617103781845173</v>
      </c>
      <c r="L728" s="142">
        <v>7.74</v>
      </c>
      <c r="M728" s="201">
        <f>I728/(100-L728)*100</f>
        <v>68.8343033754861</v>
      </c>
      <c r="N728" s="143">
        <f>H728/(100-L728)*100</f>
        <v>68.855542329953</v>
      </c>
      <c r="O728" s="47"/>
    </row>
    <row r="729" spans="2:15">
      <c r="B729" s="179"/>
      <c r="C729" s="180"/>
      <c r="D729" s="67">
        <v>11</v>
      </c>
      <c r="E729" s="203">
        <v>0.5304</v>
      </c>
      <c r="F729" s="67">
        <v>1</v>
      </c>
      <c r="G729" s="182">
        <v>7.35</v>
      </c>
      <c r="H729" s="204">
        <f t="shared" si="378"/>
        <v>63.4869332348324</v>
      </c>
      <c r="I729" s="195"/>
      <c r="J729" s="183"/>
      <c r="L729" s="142">
        <v>7.74</v>
      </c>
      <c r="M729" s="202"/>
      <c r="N729" s="143">
        <f t="shared" ref="N729:N735" si="388">H729/(100-L729)*100</f>
        <v>68.8130644210193</v>
      </c>
      <c r="O729" s="47"/>
    </row>
    <row r="730" spans="2:15">
      <c r="B730" s="179" t="s">
        <v>1819</v>
      </c>
      <c r="C730" s="180"/>
      <c r="D730" s="67">
        <v>11</v>
      </c>
      <c r="E730" s="181">
        <v>0.6065</v>
      </c>
      <c r="F730" s="67">
        <v>1</v>
      </c>
      <c r="G730" s="182">
        <v>6.75</v>
      </c>
      <c r="H730" s="204">
        <f t="shared" si="378"/>
        <v>60.456169277274</v>
      </c>
      <c r="I730" s="195">
        <f t="shared" si="386"/>
        <v>60.4528469620969</v>
      </c>
      <c r="J730" s="183">
        <f t="shared" si="387"/>
        <v>0.0109914266871691</v>
      </c>
      <c r="L730" s="142">
        <v>9.22</v>
      </c>
      <c r="M730" s="201">
        <f>I730/(100-L730)*100</f>
        <v>66.5926932827681</v>
      </c>
      <c r="N730" s="143">
        <f t="shared" si="388"/>
        <v>66.5963530262987</v>
      </c>
      <c r="O730" s="47"/>
    </row>
    <row r="731" spans="2:15">
      <c r="B731" s="179"/>
      <c r="C731" s="180"/>
      <c r="D731" s="67">
        <v>11</v>
      </c>
      <c r="E731" s="203">
        <v>0.5283</v>
      </c>
      <c r="F731" s="67">
        <v>1</v>
      </c>
      <c r="G731" s="182">
        <v>7.75</v>
      </c>
      <c r="H731" s="204">
        <f t="shared" si="378"/>
        <v>60.4495246469198</v>
      </c>
      <c r="I731" s="195"/>
      <c r="J731" s="183"/>
      <c r="L731" s="142">
        <v>9.22</v>
      </c>
      <c r="M731" s="202"/>
      <c r="N731" s="143">
        <f t="shared" si="388"/>
        <v>66.5890335392375</v>
      </c>
      <c r="O731" s="47"/>
    </row>
    <row r="732" spans="2:15">
      <c r="B732" s="179" t="s">
        <v>1820</v>
      </c>
      <c r="C732" s="180"/>
      <c r="D732" s="67">
        <v>11</v>
      </c>
      <c r="E732" s="181">
        <v>0.5341</v>
      </c>
      <c r="F732" s="67">
        <v>1</v>
      </c>
      <c r="G732" s="182">
        <v>7.4</v>
      </c>
      <c r="H732" s="204">
        <f t="shared" si="378"/>
        <v>62.6211307731622</v>
      </c>
      <c r="I732" s="195">
        <f t="shared" si="386"/>
        <v>62.5967499131295</v>
      </c>
      <c r="J732" s="183">
        <f t="shared" si="387"/>
        <v>0.0778981658522759</v>
      </c>
      <c r="L732" s="142">
        <v>8.45</v>
      </c>
      <c r="M732" s="201">
        <f>I732/(100-L732)*100</f>
        <v>68.3743854867608</v>
      </c>
      <c r="N732" s="143">
        <f t="shared" si="388"/>
        <v>68.4010166828643</v>
      </c>
      <c r="O732" s="47"/>
    </row>
    <row r="733" spans="2:15">
      <c r="B733" s="179"/>
      <c r="C733" s="180"/>
      <c r="D733" s="67">
        <v>11</v>
      </c>
      <c r="E733" s="203">
        <v>0.5948</v>
      </c>
      <c r="F733" s="67">
        <v>1</v>
      </c>
      <c r="G733" s="182">
        <v>6.65</v>
      </c>
      <c r="H733" s="204">
        <f t="shared" si="378"/>
        <v>62.5723690530968</v>
      </c>
      <c r="I733" s="195"/>
      <c r="J733" s="183"/>
      <c r="L733" s="142">
        <v>8.45</v>
      </c>
      <c r="M733" s="202"/>
      <c r="N733" s="143">
        <f t="shared" si="388"/>
        <v>68.3477542906573</v>
      </c>
      <c r="O733" s="47"/>
    </row>
    <row r="734" spans="2:14">
      <c r="B734" s="179" t="s">
        <v>1821</v>
      </c>
      <c r="C734" s="180"/>
      <c r="D734" s="67">
        <v>11</v>
      </c>
      <c r="E734" s="181">
        <v>0.5449</v>
      </c>
      <c r="F734" s="67">
        <v>1</v>
      </c>
      <c r="G734" s="182">
        <v>7.2</v>
      </c>
      <c r="H734" s="204">
        <f t="shared" si="378"/>
        <v>63.0849697192145</v>
      </c>
      <c r="I734" s="195">
        <f t="shared" ref="I734:I738" si="389">(H734+H735)/2</f>
        <v>62.8819130258392</v>
      </c>
      <c r="J734" s="183">
        <f t="shared" ref="J734:J738" si="390">(H734-H735)/I734*100</f>
        <v>0.645834974174218</v>
      </c>
      <c r="L734" s="142">
        <v>9.12</v>
      </c>
      <c r="M734" s="201">
        <f>I734/(100-L734)*100</f>
        <v>69.1922458470942</v>
      </c>
      <c r="N734" s="143">
        <f t="shared" si="388"/>
        <v>69.4156797086428</v>
      </c>
    </row>
    <row r="735" spans="2:14">
      <c r="B735" s="179"/>
      <c r="C735" s="180"/>
      <c r="D735" s="67">
        <v>11</v>
      </c>
      <c r="E735" s="203">
        <v>0.5641</v>
      </c>
      <c r="F735" s="67">
        <v>1</v>
      </c>
      <c r="G735" s="182">
        <v>7</v>
      </c>
      <c r="H735" s="204">
        <f t="shared" si="378"/>
        <v>62.6788563324638</v>
      </c>
      <c r="I735" s="195"/>
      <c r="J735" s="183"/>
      <c r="L735" s="142">
        <v>9.12</v>
      </c>
      <c r="M735" s="202"/>
      <c r="N735" s="143">
        <f t="shared" si="388"/>
        <v>68.9688119855456</v>
      </c>
    </row>
    <row r="736" spans="1:10">
      <c r="A736">
        <v>5.26</v>
      </c>
      <c r="B736" s="179" t="s">
        <v>1822</v>
      </c>
      <c r="C736" s="180"/>
      <c r="D736" s="67">
        <v>11</v>
      </c>
      <c r="E736" s="181">
        <v>1.4842</v>
      </c>
      <c r="F736" s="67">
        <v>1</v>
      </c>
      <c r="G736" s="182">
        <v>5.2</v>
      </c>
      <c r="H736" s="204">
        <f t="shared" si="378"/>
        <v>32.0685580421465</v>
      </c>
      <c r="I736" s="182">
        <f t="shared" si="389"/>
        <v>31.9801288478917</v>
      </c>
      <c r="J736" s="183">
        <f t="shared" si="390"/>
        <v>0.553025878510043</v>
      </c>
    </row>
    <row r="737" spans="2:10">
      <c r="B737" s="179"/>
      <c r="C737" s="180"/>
      <c r="D737" s="67">
        <v>11</v>
      </c>
      <c r="E737" s="203">
        <v>1.2032</v>
      </c>
      <c r="F737" s="67">
        <v>1</v>
      </c>
      <c r="G737" s="182">
        <v>6.45</v>
      </c>
      <c r="H737" s="204">
        <f t="shared" si="378"/>
        <v>31.8916996536368</v>
      </c>
      <c r="I737" s="182"/>
      <c r="J737" s="183"/>
    </row>
    <row r="738" spans="2:10">
      <c r="B738" s="179" t="s">
        <v>1823</v>
      </c>
      <c r="C738" s="180"/>
      <c r="D738" s="67">
        <v>11</v>
      </c>
      <c r="E738" s="181">
        <v>1.2325</v>
      </c>
      <c r="F738" s="67">
        <v>1</v>
      </c>
      <c r="G738" s="182">
        <v>6.1</v>
      </c>
      <c r="H738" s="204">
        <f t="shared" si="378"/>
        <v>32.9198949223556</v>
      </c>
      <c r="I738" s="182">
        <f t="shared" si="389"/>
        <v>32.8028162256305</v>
      </c>
      <c r="J738" s="183">
        <f t="shared" si="390"/>
        <v>0.713833202123757</v>
      </c>
    </row>
    <row r="739" spans="2:10">
      <c r="B739" s="179"/>
      <c r="C739" s="180"/>
      <c r="D739" s="67">
        <v>11</v>
      </c>
      <c r="E739" s="203">
        <v>1.4287</v>
      </c>
      <c r="F739" s="67">
        <v>1</v>
      </c>
      <c r="G739" s="182">
        <v>5.3</v>
      </c>
      <c r="H739" s="204">
        <f t="shared" si="378"/>
        <v>32.6857375289054</v>
      </c>
      <c r="I739" s="182"/>
      <c r="J739" s="183"/>
    </row>
    <row r="740" spans="2:10">
      <c r="B740" s="179" t="s">
        <v>1824</v>
      </c>
      <c r="C740" s="180"/>
      <c r="D740" s="67">
        <v>11</v>
      </c>
      <c r="E740" s="181">
        <v>1.1252</v>
      </c>
      <c r="F740" s="67">
        <v>1</v>
      </c>
      <c r="G740" s="182">
        <v>6.65</v>
      </c>
      <c r="H740" s="204">
        <f t="shared" si="378"/>
        <v>33.0768264422165</v>
      </c>
      <c r="I740" s="182">
        <f t="shared" ref="I740:I744" si="391">(H740+H741)/2</f>
        <v>33.2014443173539</v>
      </c>
      <c r="J740" s="183">
        <f t="shared" ref="J740:J744" si="392">(H740-H741)/I740*100</f>
        <v>-0.750677434067568</v>
      </c>
    </row>
    <row r="741" spans="2:10">
      <c r="B741" s="179"/>
      <c r="C741" s="180"/>
      <c r="D741" s="67">
        <v>11</v>
      </c>
      <c r="E741" s="203">
        <v>1.3753</v>
      </c>
      <c r="F741" s="67">
        <v>1</v>
      </c>
      <c r="G741" s="182">
        <v>5.4</v>
      </c>
      <c r="H741" s="204">
        <f t="shared" si="378"/>
        <v>33.3260621924913</v>
      </c>
      <c r="I741" s="182"/>
      <c r="J741" s="183"/>
    </row>
    <row r="742" spans="2:10">
      <c r="B742" s="179" t="s">
        <v>1825</v>
      </c>
      <c r="C742" s="180"/>
      <c r="D742" s="67">
        <v>11</v>
      </c>
      <c r="E742" s="181">
        <v>1.3052</v>
      </c>
      <c r="F742" s="67">
        <v>1</v>
      </c>
      <c r="G742" s="182">
        <v>5.7</v>
      </c>
      <c r="H742" s="204">
        <f t="shared" si="378"/>
        <v>33.267738761553</v>
      </c>
      <c r="I742" s="182">
        <f t="shared" si="391"/>
        <v>33.382553847742</v>
      </c>
      <c r="J742" s="183">
        <f t="shared" si="392"/>
        <v>-0.687874790602803</v>
      </c>
    </row>
    <row r="743" spans="2:10">
      <c r="B743" s="179"/>
      <c r="C743" s="180"/>
      <c r="D743" s="67">
        <v>11</v>
      </c>
      <c r="E743" s="203">
        <v>1.0262</v>
      </c>
      <c r="F743" s="67">
        <v>1</v>
      </c>
      <c r="G743" s="182">
        <v>7.2</v>
      </c>
      <c r="H743" s="204">
        <f t="shared" si="378"/>
        <v>33.497368933931</v>
      </c>
      <c r="I743" s="182"/>
      <c r="J743" s="183"/>
    </row>
    <row r="744" spans="2:10">
      <c r="B744" s="179" t="s">
        <v>1826</v>
      </c>
      <c r="C744" s="180"/>
      <c r="D744" s="67">
        <v>11</v>
      </c>
      <c r="E744" s="181">
        <v>1.166</v>
      </c>
      <c r="F744" s="67">
        <v>1</v>
      </c>
      <c r="G744" s="182">
        <v>6.65</v>
      </c>
      <c r="H744" s="204">
        <f t="shared" si="378"/>
        <v>31.9194211944957</v>
      </c>
      <c r="I744" s="182">
        <f t="shared" si="391"/>
        <v>31.805267951123</v>
      </c>
      <c r="J744" s="183">
        <f t="shared" si="392"/>
        <v>0.7178260126474</v>
      </c>
    </row>
    <row r="745" spans="2:10">
      <c r="B745" s="179"/>
      <c r="C745" s="180"/>
      <c r="D745" s="67">
        <v>11</v>
      </c>
      <c r="E745" s="203">
        <v>1.3946</v>
      </c>
      <c r="F745" s="67">
        <v>1</v>
      </c>
      <c r="G745" s="182">
        <v>5.6</v>
      </c>
      <c r="H745" s="204">
        <f t="shared" si="378"/>
        <v>31.6911147077503</v>
      </c>
      <c r="I745" s="182"/>
      <c r="J745" s="183"/>
    </row>
    <row r="746" spans="2:10">
      <c r="B746" s="179" t="s">
        <v>1827</v>
      </c>
      <c r="C746" s="180"/>
      <c r="D746" s="67">
        <v>11</v>
      </c>
      <c r="E746" s="181">
        <v>1.206</v>
      </c>
      <c r="F746" s="67">
        <v>1</v>
      </c>
      <c r="G746" s="182">
        <v>5.8</v>
      </c>
      <c r="H746" s="204">
        <f t="shared" si="378"/>
        <v>35.3834276891405</v>
      </c>
      <c r="I746" s="182">
        <f t="shared" ref="I746:I750" si="393">(H746+H747)/2</f>
        <v>35.4776104549736</v>
      </c>
      <c r="J746" s="183">
        <f t="shared" ref="J746:J750" si="394">(H746-H747)/I746*100</f>
        <v>-0.530941992007164</v>
      </c>
    </row>
    <row r="747" spans="2:10">
      <c r="B747" s="179"/>
      <c r="C747" s="180"/>
      <c r="D747" s="67">
        <v>11</v>
      </c>
      <c r="E747" s="203">
        <v>1.0232</v>
      </c>
      <c r="F747" s="67">
        <v>1</v>
      </c>
      <c r="G747" s="182">
        <v>6.8</v>
      </c>
      <c r="H747" s="204">
        <f t="shared" si="378"/>
        <v>35.5717932208067</v>
      </c>
      <c r="I747" s="182"/>
      <c r="J747" s="183"/>
    </row>
    <row r="748" spans="2:10">
      <c r="B748" s="179" t="s">
        <v>1828</v>
      </c>
      <c r="C748" s="180"/>
      <c r="D748" s="67">
        <v>11</v>
      </c>
      <c r="E748" s="181">
        <v>1.4212</v>
      </c>
      <c r="F748" s="67">
        <v>1</v>
      </c>
      <c r="G748" s="182">
        <v>5.5</v>
      </c>
      <c r="H748" s="204">
        <f t="shared" si="378"/>
        <v>31.6633830565719</v>
      </c>
      <c r="I748" s="182">
        <f t="shared" si="393"/>
        <v>31.915548534674</v>
      </c>
      <c r="J748" s="183">
        <f t="shared" si="394"/>
        <v>-1.58020456911866</v>
      </c>
    </row>
    <row r="749" spans="2:10">
      <c r="B749" s="179"/>
      <c r="C749" s="180"/>
      <c r="D749" s="67">
        <v>11</v>
      </c>
      <c r="E749" s="203">
        <v>1.1837</v>
      </c>
      <c r="F749" s="67">
        <v>1</v>
      </c>
      <c r="G749" s="182">
        <v>6.5</v>
      </c>
      <c r="H749" s="204">
        <f t="shared" si="378"/>
        <v>32.1677140127761</v>
      </c>
      <c r="I749" s="182"/>
      <c r="J749" s="183"/>
    </row>
    <row r="750" spans="2:10">
      <c r="B750" s="179" t="s">
        <v>1829</v>
      </c>
      <c r="C750" s="180"/>
      <c r="D750" s="67">
        <v>11</v>
      </c>
      <c r="E750" s="181">
        <v>1.3927</v>
      </c>
      <c r="F750" s="67">
        <v>1</v>
      </c>
      <c r="G750" s="182">
        <v>5.55</v>
      </c>
      <c r="H750" s="204">
        <f t="shared" si="378"/>
        <v>32.0202445570436</v>
      </c>
      <c r="I750" s="182">
        <f t="shared" si="393"/>
        <v>32.3499915595675</v>
      </c>
      <c r="J750" s="183">
        <f t="shared" si="394"/>
        <v>-2.03862187671227</v>
      </c>
    </row>
    <row r="751" spans="2:10">
      <c r="B751" s="179"/>
      <c r="C751" s="180"/>
      <c r="D751" s="67">
        <v>11</v>
      </c>
      <c r="E751" s="203">
        <v>1.0098</v>
      </c>
      <c r="F751" s="67">
        <v>1</v>
      </c>
      <c r="G751" s="182">
        <v>7.5</v>
      </c>
      <c r="H751" s="204">
        <f t="shared" si="378"/>
        <v>32.6797385620915</v>
      </c>
      <c r="I751" s="182"/>
      <c r="J751" s="183"/>
    </row>
    <row r="752" spans="1:10">
      <c r="A752">
        <v>5.27</v>
      </c>
      <c r="B752" s="179" t="s">
        <v>1830</v>
      </c>
      <c r="C752" s="180"/>
      <c r="D752" s="67">
        <v>11</v>
      </c>
      <c r="E752" s="181">
        <v>1.6248</v>
      </c>
      <c r="F752" s="67">
        <v>1</v>
      </c>
      <c r="G752" s="182">
        <v>10.7</v>
      </c>
      <c r="H752" s="204">
        <f t="shared" si="378"/>
        <v>14.2361159044161</v>
      </c>
      <c r="I752" s="182">
        <f t="shared" ref="I752:I756" si="395">(H752+H753)/2</f>
        <v>14.2609150950652</v>
      </c>
      <c r="J752" s="183">
        <f t="shared" ref="J752:J756" si="396">(H752-H753)/I752*100</f>
        <v>-0.347792417019017</v>
      </c>
    </row>
    <row r="753" spans="2:10">
      <c r="B753" s="179"/>
      <c r="C753" s="180"/>
      <c r="D753" s="67">
        <v>11</v>
      </c>
      <c r="E753" s="203">
        <v>1.65</v>
      </c>
      <c r="F753" s="67">
        <v>1</v>
      </c>
      <c r="G753" s="182">
        <v>10.5</v>
      </c>
      <c r="H753" s="204">
        <f t="shared" si="378"/>
        <v>14.2857142857143</v>
      </c>
      <c r="I753" s="182"/>
      <c r="J753" s="183"/>
    </row>
    <row r="754" spans="2:14">
      <c r="B754" s="179" t="s">
        <v>1831</v>
      </c>
      <c r="C754" s="180"/>
      <c r="D754" s="67">
        <v>11</v>
      </c>
      <c r="E754" s="181">
        <v>0.5694</v>
      </c>
      <c r="F754" s="67">
        <v>1</v>
      </c>
      <c r="G754" s="182">
        <v>6.9</v>
      </c>
      <c r="H754" s="204">
        <f t="shared" si="378"/>
        <v>62.9953727035323</v>
      </c>
      <c r="I754" s="182">
        <f t="shared" si="395"/>
        <v>63.0504655460548</v>
      </c>
      <c r="J754" s="183">
        <f t="shared" si="396"/>
        <v>-0.17475792460953</v>
      </c>
      <c r="L754" s="142">
        <v>8.45</v>
      </c>
      <c r="M754" s="201">
        <f>I754/(100-L754)*100</f>
        <v>68.8699787504695</v>
      </c>
      <c r="N754" s="143">
        <f t="shared" ref="N754:N757" si="397">H754/(100-L754)*100</f>
        <v>68.8098008776978</v>
      </c>
    </row>
    <row r="755" spans="2:14">
      <c r="B755" s="179"/>
      <c r="C755" s="180"/>
      <c r="D755" s="67">
        <v>11</v>
      </c>
      <c r="E755" s="203">
        <v>0.53</v>
      </c>
      <c r="F755" s="67">
        <v>1</v>
      </c>
      <c r="G755" s="182">
        <v>7.4</v>
      </c>
      <c r="H755" s="204">
        <f t="shared" si="378"/>
        <v>63.1055583885773</v>
      </c>
      <c r="I755" s="182"/>
      <c r="J755" s="183"/>
      <c r="L755" s="142">
        <v>8.45</v>
      </c>
      <c r="M755" s="202"/>
      <c r="N755" s="143">
        <f t="shared" si="397"/>
        <v>68.9301566232411</v>
      </c>
    </row>
    <row r="756" spans="2:14">
      <c r="B756" s="179" t="s">
        <v>1820</v>
      </c>
      <c r="C756" s="180"/>
      <c r="D756" s="67">
        <v>11</v>
      </c>
      <c r="E756" s="181">
        <v>0.5537</v>
      </c>
      <c r="F756" s="67">
        <v>1</v>
      </c>
      <c r="G756" s="182">
        <v>6.8</v>
      </c>
      <c r="H756" s="204">
        <f t="shared" ref="H756:H791" si="398">D756*100*F756*250*0.9/E756/G756/1000</f>
        <v>65.734258305092</v>
      </c>
      <c r="I756" s="182">
        <f t="shared" si="395"/>
        <v>64.4913490884542</v>
      </c>
      <c r="J756" s="183">
        <f t="shared" si="396"/>
        <v>3.85449904275686</v>
      </c>
      <c r="L756" s="142">
        <v>8.45</v>
      </c>
      <c r="M756" s="201">
        <f>I756/(100-L756)*100</f>
        <v>70.4438548208129</v>
      </c>
      <c r="N756" s="143">
        <f t="shared" si="397"/>
        <v>71.8014836756876</v>
      </c>
    </row>
    <row r="757" spans="2:14">
      <c r="B757" s="179"/>
      <c r="C757" s="180"/>
      <c r="D757" s="67">
        <v>11</v>
      </c>
      <c r="E757" s="203">
        <v>0.5324</v>
      </c>
      <c r="F757" s="67">
        <v>1</v>
      </c>
      <c r="G757" s="182">
        <v>7.35</v>
      </c>
      <c r="H757" s="204">
        <f t="shared" si="398"/>
        <v>63.2484398718165</v>
      </c>
      <c r="I757" s="182"/>
      <c r="J757" s="183"/>
      <c r="L757" s="142">
        <v>8.45</v>
      </c>
      <c r="M757" s="202"/>
      <c r="N757" s="143">
        <f t="shared" si="397"/>
        <v>69.0862259659383</v>
      </c>
    </row>
    <row r="758" spans="2:10">
      <c r="B758" s="179" t="s">
        <v>1832</v>
      </c>
      <c r="C758" s="180"/>
      <c r="D758" s="67">
        <v>11.1</v>
      </c>
      <c r="E758" s="181">
        <v>2.394</v>
      </c>
      <c r="F758" s="67">
        <v>1</v>
      </c>
      <c r="G758" s="182">
        <v>11.8</v>
      </c>
      <c r="H758" s="204">
        <f t="shared" si="398"/>
        <v>8.84095832802345</v>
      </c>
      <c r="I758" s="182">
        <f t="shared" ref="I758:I762" si="399">(H758+H759)/2</f>
        <v>8.80381144429226</v>
      </c>
      <c r="J758" s="183">
        <f t="shared" ref="J758:J762" si="400">(H758-H759)/I758*100</f>
        <v>0.84388185654007</v>
      </c>
    </row>
    <row r="759" spans="2:10">
      <c r="B759" s="179"/>
      <c r="C759" s="180"/>
      <c r="D759" s="67">
        <v>11.1</v>
      </c>
      <c r="E759" s="203">
        <v>2.394</v>
      </c>
      <c r="F759" s="67">
        <v>1</v>
      </c>
      <c r="G759" s="182">
        <v>11.9</v>
      </c>
      <c r="H759" s="204">
        <f t="shared" si="398"/>
        <v>8.76666456056107</v>
      </c>
      <c r="I759" s="182"/>
      <c r="J759" s="183"/>
    </row>
    <row r="760" spans="1:10">
      <c r="A760">
        <v>6.2</v>
      </c>
      <c r="B760" s="179" t="s">
        <v>1833</v>
      </c>
      <c r="C760" s="180"/>
      <c r="D760" s="67">
        <v>11.1</v>
      </c>
      <c r="E760" s="181">
        <v>0.363</v>
      </c>
      <c r="F760" s="67">
        <v>1</v>
      </c>
      <c r="G760" s="182">
        <v>8.6</v>
      </c>
      <c r="H760" s="204">
        <f t="shared" si="398"/>
        <v>80.0019219680953</v>
      </c>
      <c r="I760" s="182">
        <f t="shared" si="399"/>
        <v>80.1812130537932</v>
      </c>
      <c r="J760" s="183">
        <f t="shared" si="400"/>
        <v>-0.447214699976089</v>
      </c>
    </row>
    <row r="761" spans="2:10">
      <c r="B761" s="179"/>
      <c r="C761" s="180"/>
      <c r="D761" s="67">
        <v>11.1</v>
      </c>
      <c r="E761" s="203">
        <v>0.3722</v>
      </c>
      <c r="F761" s="67">
        <v>1</v>
      </c>
      <c r="G761" s="182">
        <v>8.35</v>
      </c>
      <c r="H761" s="204">
        <f t="shared" si="398"/>
        <v>80.3605041394911</v>
      </c>
      <c r="I761" s="182"/>
      <c r="J761" s="183"/>
    </row>
    <row r="762" spans="2:10">
      <c r="B762" s="179" t="s">
        <v>1834</v>
      </c>
      <c r="C762" s="180"/>
      <c r="D762" s="67">
        <v>11.1</v>
      </c>
      <c r="E762" s="181">
        <v>0.3314</v>
      </c>
      <c r="F762" s="67">
        <v>1</v>
      </c>
      <c r="G762" s="182">
        <v>8.7</v>
      </c>
      <c r="H762" s="204">
        <f t="shared" si="398"/>
        <v>86.6231036563794</v>
      </c>
      <c r="I762" s="182">
        <f t="shared" si="399"/>
        <v>86.0938119648874</v>
      </c>
      <c r="J762" s="183">
        <f t="shared" si="400"/>
        <v>1.22956965062231</v>
      </c>
    </row>
    <row r="763" spans="2:10">
      <c r="B763" s="179"/>
      <c r="C763" s="180"/>
      <c r="D763" s="67">
        <v>11.1</v>
      </c>
      <c r="E763" s="203">
        <v>0.319</v>
      </c>
      <c r="F763" s="67">
        <v>1</v>
      </c>
      <c r="G763" s="182">
        <v>9.15</v>
      </c>
      <c r="H763" s="204">
        <f t="shared" si="398"/>
        <v>85.5645202733953</v>
      </c>
      <c r="I763" s="182"/>
      <c r="J763" s="183"/>
    </row>
    <row r="764" spans="2:10">
      <c r="B764" s="179" t="s">
        <v>1835</v>
      </c>
      <c r="C764" s="180"/>
      <c r="D764" s="67">
        <v>11.1</v>
      </c>
      <c r="E764" s="181">
        <v>0.401</v>
      </c>
      <c r="F764" s="67">
        <v>1</v>
      </c>
      <c r="G764" s="182">
        <v>7.75</v>
      </c>
      <c r="H764" s="204">
        <f t="shared" si="398"/>
        <v>80.3636071112541</v>
      </c>
      <c r="I764" s="182">
        <f t="shared" ref="I764:I768" si="401">(H764+H765)/2</f>
        <v>80.1853273895584</v>
      </c>
      <c r="J764" s="183">
        <f t="shared" ref="J764:J768" si="402">(H764-H765)/I764*100</f>
        <v>0.444669186993847</v>
      </c>
    </row>
    <row r="765" spans="2:10">
      <c r="B765" s="179"/>
      <c r="C765" s="180"/>
      <c r="D765" s="67">
        <v>11.1</v>
      </c>
      <c r="E765" s="203">
        <v>0.3902</v>
      </c>
      <c r="F765" s="67">
        <v>1</v>
      </c>
      <c r="G765" s="182">
        <v>8</v>
      </c>
      <c r="H765" s="204">
        <f t="shared" si="398"/>
        <v>80.0070476678626</v>
      </c>
      <c r="I765" s="182"/>
      <c r="J765" s="183"/>
    </row>
    <row r="766" spans="2:10">
      <c r="B766" s="179" t="s">
        <v>1836</v>
      </c>
      <c r="C766" s="180"/>
      <c r="D766" s="67">
        <v>11.1</v>
      </c>
      <c r="E766" s="181">
        <v>0.3599</v>
      </c>
      <c r="F766" s="67">
        <v>1</v>
      </c>
      <c r="G766" s="182">
        <v>8.5</v>
      </c>
      <c r="H766" s="204">
        <f t="shared" si="398"/>
        <v>81.6403249268588</v>
      </c>
      <c r="I766" s="182">
        <f t="shared" si="401"/>
        <v>81.0485663743229</v>
      </c>
      <c r="J766" s="183">
        <f t="shared" si="402"/>
        <v>1.46025668067433</v>
      </c>
    </row>
    <row r="767" spans="2:10">
      <c r="B767" s="179"/>
      <c r="C767" s="180"/>
      <c r="D767" s="67">
        <v>11.1</v>
      </c>
      <c r="E767" s="203">
        <v>0.343</v>
      </c>
      <c r="F767" s="67">
        <v>1</v>
      </c>
      <c r="G767" s="182">
        <v>9.05</v>
      </c>
      <c r="H767" s="204">
        <f t="shared" si="398"/>
        <v>80.456807821787</v>
      </c>
      <c r="I767" s="182"/>
      <c r="J767" s="183"/>
    </row>
    <row r="768" spans="2:10">
      <c r="B768" s="179" t="s">
        <v>1837</v>
      </c>
      <c r="C768" s="180"/>
      <c r="D768" s="67">
        <v>11.1</v>
      </c>
      <c r="E768" s="181">
        <v>0.3443</v>
      </c>
      <c r="F768" s="67">
        <v>1</v>
      </c>
      <c r="G768" s="182">
        <v>8.8</v>
      </c>
      <c r="H768" s="204">
        <f t="shared" si="398"/>
        <v>82.4300953185647</v>
      </c>
      <c r="I768" s="182">
        <f t="shared" si="401"/>
        <v>81.242165129857</v>
      </c>
      <c r="J768" s="183">
        <f t="shared" si="402"/>
        <v>2.92441784831536</v>
      </c>
    </row>
    <row r="769" spans="2:10">
      <c r="B769" s="179"/>
      <c r="C769" s="180"/>
      <c r="D769" s="67">
        <v>11.1</v>
      </c>
      <c r="E769" s="203">
        <v>0.3714</v>
      </c>
      <c r="F769" s="67">
        <v>1</v>
      </c>
      <c r="G769" s="182">
        <v>8.4</v>
      </c>
      <c r="H769" s="204">
        <f t="shared" si="398"/>
        <v>80.0542349411493</v>
      </c>
      <c r="I769" s="182"/>
      <c r="J769" s="183"/>
    </row>
    <row r="770" spans="2:10">
      <c r="B770" s="179" t="s">
        <v>1838</v>
      </c>
      <c r="C770" s="180"/>
      <c r="D770" s="67">
        <v>11.1</v>
      </c>
      <c r="E770" s="181">
        <v>0.4016</v>
      </c>
      <c r="F770" s="67">
        <v>1</v>
      </c>
      <c r="G770" s="182">
        <v>7.85</v>
      </c>
      <c r="H770" s="204">
        <f t="shared" si="398"/>
        <v>79.2213312355673</v>
      </c>
      <c r="I770" s="182">
        <f t="shared" ref="I770:I774" si="403">(H770+H771)/2</f>
        <v>79.8761031205043</v>
      </c>
      <c r="J770" s="183">
        <f t="shared" ref="J770:J774" si="404">(H770-H771)/I770*100</f>
        <v>-1.63946877565918</v>
      </c>
    </row>
    <row r="771" ht="15.95" customHeight="1" spans="2:10">
      <c r="B771" s="179"/>
      <c r="C771" s="180"/>
      <c r="D771" s="67">
        <v>11.1</v>
      </c>
      <c r="E771" s="203">
        <v>0.4399</v>
      </c>
      <c r="F771" s="67">
        <v>1</v>
      </c>
      <c r="G771" s="182">
        <v>7.05</v>
      </c>
      <c r="H771" s="204">
        <f t="shared" si="398"/>
        <v>80.5308750054413</v>
      </c>
      <c r="I771" s="182"/>
      <c r="J771" s="183"/>
    </row>
    <row r="772" spans="1:10">
      <c r="A772">
        <v>6.3</v>
      </c>
      <c r="B772" s="179" t="s">
        <v>1839</v>
      </c>
      <c r="C772" s="180"/>
      <c r="D772" s="67">
        <v>11.1</v>
      </c>
      <c r="E772" s="181">
        <v>2.0808</v>
      </c>
      <c r="F772" s="67">
        <v>1</v>
      </c>
      <c r="G772" s="182">
        <v>7.7</v>
      </c>
      <c r="H772" s="204">
        <f t="shared" si="398"/>
        <v>15.5877859165056</v>
      </c>
      <c r="I772" s="182">
        <f t="shared" si="403"/>
        <v>15.6548155331228</v>
      </c>
      <c r="J772" s="183">
        <f t="shared" si="404"/>
        <v>-0.856345020167534</v>
      </c>
    </row>
    <row r="773" spans="2:10">
      <c r="B773" s="179"/>
      <c r="C773" s="180"/>
      <c r="D773" s="67">
        <v>11.1</v>
      </c>
      <c r="E773" s="203">
        <v>1.6046</v>
      </c>
      <c r="F773" s="67">
        <v>1</v>
      </c>
      <c r="G773" s="182">
        <v>9.9</v>
      </c>
      <c r="H773" s="204">
        <f t="shared" si="398"/>
        <v>15.72184514974</v>
      </c>
      <c r="I773" s="182"/>
      <c r="J773" s="183"/>
    </row>
    <row r="774" spans="1:10">
      <c r="A774">
        <v>6.17</v>
      </c>
      <c r="B774" s="179" t="s">
        <v>1840</v>
      </c>
      <c r="C774" s="180"/>
      <c r="D774" s="67">
        <v>11</v>
      </c>
      <c r="E774" s="181">
        <v>0.641</v>
      </c>
      <c r="F774" s="67">
        <v>1</v>
      </c>
      <c r="G774" s="182">
        <v>9.7</v>
      </c>
      <c r="H774" s="204">
        <f t="shared" si="398"/>
        <v>39.8057159399778</v>
      </c>
      <c r="I774" s="182">
        <f t="shared" si="403"/>
        <v>39.8057159399778</v>
      </c>
      <c r="J774" s="183">
        <f t="shared" si="404"/>
        <v>0</v>
      </c>
    </row>
    <row r="775" spans="2:10">
      <c r="B775" s="179"/>
      <c r="C775" s="180"/>
      <c r="D775" s="67">
        <v>11</v>
      </c>
      <c r="E775" s="203">
        <v>0.641</v>
      </c>
      <c r="F775" s="67">
        <v>1</v>
      </c>
      <c r="G775" s="182">
        <v>9.7</v>
      </c>
      <c r="H775" s="204">
        <f t="shared" si="398"/>
        <v>39.8057159399778</v>
      </c>
      <c r="I775" s="182"/>
      <c r="J775" s="183"/>
    </row>
    <row r="776" spans="2:10">
      <c r="B776" s="179" t="s">
        <v>1841</v>
      </c>
      <c r="C776" s="180"/>
      <c r="D776" s="67">
        <v>11</v>
      </c>
      <c r="E776" s="181">
        <v>0.6422</v>
      </c>
      <c r="F776" s="67">
        <v>1</v>
      </c>
      <c r="G776" s="182">
        <v>9.6</v>
      </c>
      <c r="H776" s="204">
        <f t="shared" si="398"/>
        <v>40.1452039862971</v>
      </c>
      <c r="I776" s="182">
        <f t="shared" ref="I776:I780" si="405">(H776+H777)/2</f>
        <v>40.1452039862971</v>
      </c>
      <c r="J776" s="183">
        <f t="shared" ref="J776:J780" si="406">(H776-H777)/I776*100</f>
        <v>0</v>
      </c>
    </row>
    <row r="777" spans="2:10">
      <c r="B777" s="179"/>
      <c r="C777" s="180"/>
      <c r="D777" s="67">
        <v>11</v>
      </c>
      <c r="E777" s="203">
        <v>0.6422</v>
      </c>
      <c r="F777" s="67">
        <v>1</v>
      </c>
      <c r="G777" s="182">
        <v>9.6</v>
      </c>
      <c r="H777" s="204">
        <f t="shared" si="398"/>
        <v>40.1452039862971</v>
      </c>
      <c r="I777" s="182"/>
      <c r="J777" s="183"/>
    </row>
    <row r="778" spans="2:10">
      <c r="B778" s="179" t="s">
        <v>1842</v>
      </c>
      <c r="C778" s="180"/>
      <c r="D778" s="67">
        <v>11</v>
      </c>
      <c r="E778" s="181">
        <v>0.6972</v>
      </c>
      <c r="F778" s="67">
        <v>1</v>
      </c>
      <c r="G778" s="182">
        <v>9.35</v>
      </c>
      <c r="H778" s="204">
        <f t="shared" si="398"/>
        <v>37.9669940265263</v>
      </c>
      <c r="I778" s="182">
        <f t="shared" si="405"/>
        <v>37.9669940265263</v>
      </c>
      <c r="J778" s="183">
        <f t="shared" si="406"/>
        <v>0</v>
      </c>
    </row>
    <row r="779" spans="2:10">
      <c r="B779" s="179"/>
      <c r="C779" s="180"/>
      <c r="D779" s="67">
        <v>11</v>
      </c>
      <c r="E779" s="203">
        <v>0.6972</v>
      </c>
      <c r="F779" s="67">
        <v>1</v>
      </c>
      <c r="G779" s="182">
        <v>9.35</v>
      </c>
      <c r="H779" s="204">
        <f t="shared" si="398"/>
        <v>37.9669940265263</v>
      </c>
      <c r="I779" s="182"/>
      <c r="J779" s="183"/>
    </row>
    <row r="780" spans="2:10">
      <c r="B780" s="179" t="s">
        <v>1843</v>
      </c>
      <c r="C780" s="180"/>
      <c r="D780" s="67">
        <v>11</v>
      </c>
      <c r="E780" s="181">
        <v>0.6642</v>
      </c>
      <c r="F780" s="67">
        <v>1</v>
      </c>
      <c r="G780" s="182">
        <v>10.5</v>
      </c>
      <c r="H780" s="204">
        <f t="shared" si="398"/>
        <v>35.4884501225965</v>
      </c>
      <c r="I780" s="182">
        <f t="shared" si="405"/>
        <v>35.4884501225965</v>
      </c>
      <c r="J780" s="183">
        <f t="shared" si="406"/>
        <v>0</v>
      </c>
    </row>
    <row r="781" spans="2:10">
      <c r="B781" s="179"/>
      <c r="C781" s="180"/>
      <c r="D781" s="67">
        <v>11</v>
      </c>
      <c r="E781" s="203">
        <v>0.6642</v>
      </c>
      <c r="F781" s="67">
        <v>1</v>
      </c>
      <c r="G781" s="182">
        <v>10.5</v>
      </c>
      <c r="H781" s="204">
        <f t="shared" si="398"/>
        <v>35.4884501225965</v>
      </c>
      <c r="I781" s="182"/>
      <c r="J781" s="183"/>
    </row>
    <row r="782" spans="2:10">
      <c r="B782" s="179" t="s">
        <v>1844</v>
      </c>
      <c r="C782" s="180"/>
      <c r="D782" s="67">
        <v>11</v>
      </c>
      <c r="E782" s="181">
        <v>0.6759</v>
      </c>
      <c r="F782" s="67">
        <v>1</v>
      </c>
      <c r="G782" s="182">
        <v>11.15</v>
      </c>
      <c r="H782" s="204">
        <f t="shared" si="398"/>
        <v>32.8411146871436</v>
      </c>
      <c r="I782" s="182">
        <f t="shared" ref="I782:I786" si="407">(H782+H783)/2</f>
        <v>32.8411146871436</v>
      </c>
      <c r="J782" s="183">
        <f t="shared" ref="J782:J786" si="408">(H782-H783)/I782*100</f>
        <v>0</v>
      </c>
    </row>
    <row r="783" spans="2:10">
      <c r="B783" s="179"/>
      <c r="C783" s="180"/>
      <c r="D783" s="67">
        <v>11</v>
      </c>
      <c r="E783" s="203">
        <v>0.6759</v>
      </c>
      <c r="F783" s="67">
        <v>1</v>
      </c>
      <c r="G783" s="182">
        <v>11.15</v>
      </c>
      <c r="H783" s="204">
        <f t="shared" si="398"/>
        <v>32.8411146871436</v>
      </c>
      <c r="I783" s="182"/>
      <c r="J783" s="183"/>
    </row>
    <row r="784" spans="2:10">
      <c r="B784" s="179" t="s">
        <v>1845</v>
      </c>
      <c r="C784" s="180"/>
      <c r="D784" s="67">
        <v>11</v>
      </c>
      <c r="E784" s="181">
        <v>0.6944</v>
      </c>
      <c r="F784" s="67">
        <v>1</v>
      </c>
      <c r="G784" s="182">
        <v>5.8</v>
      </c>
      <c r="H784" s="204">
        <f t="shared" si="398"/>
        <v>61.4522088034324</v>
      </c>
      <c r="I784" s="182">
        <f t="shared" si="407"/>
        <v>61.4522088034324</v>
      </c>
      <c r="J784" s="183">
        <f t="shared" si="408"/>
        <v>0</v>
      </c>
    </row>
    <row r="785" spans="2:10">
      <c r="B785" s="179"/>
      <c r="C785" s="180"/>
      <c r="D785" s="67">
        <v>11</v>
      </c>
      <c r="E785" s="203">
        <v>0.6944</v>
      </c>
      <c r="F785" s="67">
        <v>1</v>
      </c>
      <c r="G785" s="182">
        <v>5.8</v>
      </c>
      <c r="H785" s="204">
        <f t="shared" si="398"/>
        <v>61.4522088034324</v>
      </c>
      <c r="I785" s="182"/>
      <c r="J785" s="183"/>
    </row>
    <row r="786" spans="2:10">
      <c r="B786" s="179" t="s">
        <v>1846</v>
      </c>
      <c r="C786" s="180"/>
      <c r="D786" s="67">
        <v>11</v>
      </c>
      <c r="E786" s="181">
        <v>0.6636</v>
      </c>
      <c r="F786" s="67">
        <v>1</v>
      </c>
      <c r="G786" s="182">
        <v>6.3</v>
      </c>
      <c r="H786" s="204">
        <f t="shared" si="398"/>
        <v>59.2008955480927</v>
      </c>
      <c r="I786" s="182">
        <f t="shared" si="407"/>
        <v>59.2008955480927</v>
      </c>
      <c r="J786" s="183">
        <f t="shared" si="408"/>
        <v>0</v>
      </c>
    </row>
    <row r="787" spans="2:10">
      <c r="B787" s="179"/>
      <c r="C787" s="180"/>
      <c r="D787" s="67">
        <v>11</v>
      </c>
      <c r="E787" s="203">
        <v>0.6636</v>
      </c>
      <c r="F787" s="67">
        <v>1</v>
      </c>
      <c r="G787" s="182">
        <v>6.3</v>
      </c>
      <c r="H787" s="204">
        <f t="shared" si="398"/>
        <v>59.2008955480927</v>
      </c>
      <c r="I787" s="182"/>
      <c r="J787" s="183"/>
    </row>
    <row r="788" spans="2:10">
      <c r="B788" s="179" t="s">
        <v>454</v>
      </c>
      <c r="C788" s="180"/>
      <c r="D788" s="67">
        <v>11</v>
      </c>
      <c r="E788" s="181">
        <v>2.0907</v>
      </c>
      <c r="F788" s="67">
        <v>2</v>
      </c>
      <c r="G788" s="182">
        <v>8.2</v>
      </c>
      <c r="H788" s="204">
        <f t="shared" si="398"/>
        <v>28.8735130140798</v>
      </c>
      <c r="I788" s="182">
        <f>(H788+H789)/2</f>
        <v>28.7559276497734</v>
      </c>
      <c r="J788" s="183">
        <f>(H788-H789)/I788*100</f>
        <v>0.81781652630718</v>
      </c>
    </row>
    <row r="789" spans="2:10">
      <c r="B789" s="179"/>
      <c r="C789" s="180"/>
      <c r="D789" s="67">
        <v>11</v>
      </c>
      <c r="E789" s="203">
        <v>2.1208</v>
      </c>
      <c r="F789" s="67">
        <v>2</v>
      </c>
      <c r="G789" s="182">
        <v>8.15</v>
      </c>
      <c r="H789" s="204">
        <f t="shared" si="398"/>
        <v>28.638342285467</v>
      </c>
      <c r="I789" s="182"/>
      <c r="J789" s="183"/>
    </row>
    <row r="790" ht="17.25" spans="1:10">
      <c r="A790">
        <v>6.22</v>
      </c>
      <c r="B790" s="37" t="s">
        <v>1847</v>
      </c>
      <c r="C790" s="180" t="s">
        <v>222</v>
      </c>
      <c r="D790" s="39">
        <v>11.1</v>
      </c>
      <c r="E790" s="40">
        <v>0.5711</v>
      </c>
      <c r="F790" s="67">
        <v>1</v>
      </c>
      <c r="G790" s="182">
        <v>7</v>
      </c>
      <c r="H790" s="204">
        <f t="shared" si="398"/>
        <v>62.4734222177752</v>
      </c>
      <c r="I790" s="182">
        <f>(H790+H791)/2</f>
        <v>64.2058765236721</v>
      </c>
      <c r="J790" s="183">
        <f>(H790-H791)/I790*100</f>
        <v>-5.39655994029801</v>
      </c>
    </row>
    <row r="791" ht="17.25" spans="2:10">
      <c r="B791" s="41"/>
      <c r="C791" s="180"/>
      <c r="D791" s="39">
        <v>11.1</v>
      </c>
      <c r="E791" s="40">
        <v>0.4919</v>
      </c>
      <c r="F791" s="67">
        <v>1</v>
      </c>
      <c r="G791" s="182">
        <v>7.7</v>
      </c>
      <c r="H791" s="204">
        <f t="shared" si="398"/>
        <v>65.9383308295689</v>
      </c>
      <c r="I791" s="182"/>
      <c r="J791" s="183"/>
    </row>
    <row r="792" ht="17.25" spans="2:10">
      <c r="B792" s="37" t="s">
        <v>1848</v>
      </c>
      <c r="C792" s="180" t="s">
        <v>222</v>
      </c>
      <c r="D792" s="39">
        <v>11.1</v>
      </c>
      <c r="E792" s="40">
        <v>0.559</v>
      </c>
      <c r="F792" s="67">
        <v>1</v>
      </c>
      <c r="G792" s="182">
        <v>6.9</v>
      </c>
      <c r="H792" s="204">
        <f t="shared" ref="H792:H799" si="409">D792*100*F792*250*0.9/E792/G792/1000</f>
        <v>64.7507194524383</v>
      </c>
      <c r="I792" s="182">
        <f>(H792+H793)/2</f>
        <v>63.8903506408164</v>
      </c>
      <c r="J792" s="183">
        <f>(H792-H793)/I792*100</f>
        <v>2.69326683291767</v>
      </c>
    </row>
    <row r="793" ht="17.25" spans="2:10">
      <c r="B793" s="41"/>
      <c r="C793" s="180"/>
      <c r="D793" s="39">
        <v>11.1</v>
      </c>
      <c r="E793" s="40">
        <v>0.508</v>
      </c>
      <c r="F793" s="67">
        <v>1</v>
      </c>
      <c r="G793" s="182">
        <v>7.8</v>
      </c>
      <c r="H793" s="204">
        <f t="shared" si="409"/>
        <v>63.0299818291944</v>
      </c>
      <c r="I793" s="182"/>
      <c r="J793" s="183"/>
    </row>
    <row r="794" ht="17.25" spans="2:10">
      <c r="B794" s="37" t="s">
        <v>1849</v>
      </c>
      <c r="C794" s="180" t="s">
        <v>222</v>
      </c>
      <c r="D794" s="39">
        <v>11.1</v>
      </c>
      <c r="E794" s="40">
        <v>0.512336</v>
      </c>
      <c r="F794" s="67">
        <v>1</v>
      </c>
      <c r="G794" s="182">
        <v>7.9</v>
      </c>
      <c r="H794" s="204">
        <f t="shared" si="409"/>
        <v>61.7054512090365</v>
      </c>
      <c r="I794" s="182">
        <f t="shared" ref="I794:I798" si="410">(H794+H795)/2</f>
        <v>62.0605528649771</v>
      </c>
      <c r="J794" s="183">
        <f t="shared" ref="J794:J798" si="411">(H794-H795)/I794*100</f>
        <v>-1.14437155180743</v>
      </c>
    </row>
    <row r="795" ht="17.25" spans="2:10">
      <c r="B795" s="41"/>
      <c r="C795" s="180"/>
      <c r="D795" s="39">
        <v>11.1</v>
      </c>
      <c r="E795" s="40">
        <v>0.5265</v>
      </c>
      <c r="F795" s="67">
        <v>1</v>
      </c>
      <c r="G795" s="182">
        <v>7.6</v>
      </c>
      <c r="H795" s="204">
        <f t="shared" si="409"/>
        <v>62.4156545209177</v>
      </c>
      <c r="I795" s="182"/>
      <c r="J795" s="183"/>
    </row>
    <row r="796" ht="17.25" spans="2:10">
      <c r="B796" s="37" t="s">
        <v>1850</v>
      </c>
      <c r="C796" s="180" t="s">
        <v>222</v>
      </c>
      <c r="D796" s="39">
        <v>11.1</v>
      </c>
      <c r="E796" s="40">
        <v>0.52695</v>
      </c>
      <c r="F796" s="67">
        <v>1</v>
      </c>
      <c r="G796" s="182">
        <v>7.7</v>
      </c>
      <c r="H796" s="204">
        <f t="shared" si="409"/>
        <v>61.5524526711546</v>
      </c>
      <c r="I796" s="182">
        <f t="shared" si="410"/>
        <v>61.4379298372114</v>
      </c>
      <c r="J796" s="183">
        <f t="shared" si="411"/>
        <v>0.372808244830804</v>
      </c>
    </row>
    <row r="797" ht="17.25" spans="2:10">
      <c r="B797" s="41"/>
      <c r="C797" s="180"/>
      <c r="D797" s="39">
        <v>11.1</v>
      </c>
      <c r="E797" s="40">
        <v>0.5579</v>
      </c>
      <c r="F797" s="67">
        <v>1</v>
      </c>
      <c r="G797" s="182">
        <v>7.3</v>
      </c>
      <c r="H797" s="204">
        <f t="shared" si="409"/>
        <v>61.3234070032681</v>
      </c>
      <c r="I797" s="182"/>
      <c r="J797" s="183"/>
    </row>
    <row r="798" ht="17.25" spans="1:10">
      <c r="A798">
        <v>6.29</v>
      </c>
      <c r="B798" s="37" t="s">
        <v>1851</v>
      </c>
      <c r="C798" s="180"/>
      <c r="D798" s="39">
        <v>11.1</v>
      </c>
      <c r="E798" s="40">
        <v>5.2005</v>
      </c>
      <c r="F798" s="67">
        <v>1</v>
      </c>
      <c r="G798" s="182">
        <v>7.7</v>
      </c>
      <c r="H798" s="204">
        <f t="shared" si="409"/>
        <v>6.23691278436015</v>
      </c>
      <c r="I798" s="182">
        <f t="shared" si="410"/>
        <v>33.7801598938141</v>
      </c>
      <c r="J798" s="183">
        <f t="shared" si="411"/>
        <v>-163.073515318071</v>
      </c>
    </row>
    <row r="799" ht="17.25" spans="2:10">
      <c r="B799" s="41"/>
      <c r="C799" s="180"/>
      <c r="D799" s="39">
        <v>11.1</v>
      </c>
      <c r="E799" s="40">
        <v>0.5579</v>
      </c>
      <c r="F799" s="67">
        <v>1</v>
      </c>
      <c r="G799" s="182">
        <v>7.3</v>
      </c>
      <c r="H799" s="204">
        <f t="shared" si="409"/>
        <v>61.3234070032681</v>
      </c>
      <c r="I799" s="182"/>
      <c r="J799" s="183"/>
    </row>
    <row r="800" ht="17.25" spans="1:10">
      <c r="A800">
        <v>630</v>
      </c>
      <c r="B800" s="37" t="s">
        <v>1852</v>
      </c>
      <c r="C800" s="180"/>
      <c r="D800" s="39">
        <v>11</v>
      </c>
      <c r="E800" s="40">
        <v>1.6021</v>
      </c>
      <c r="F800" s="67">
        <v>1</v>
      </c>
      <c r="G800" s="182">
        <v>13.6</v>
      </c>
      <c r="H800" s="204">
        <f t="shared" ref="H800:H801" si="412">D800*100*F800*250*0.9/E800/G800/1000</f>
        <v>11.3591719691434</v>
      </c>
      <c r="I800" s="182">
        <f t="shared" ref="I800" si="413">(H800+H801)/2</f>
        <v>11.3591719691434</v>
      </c>
      <c r="J800" s="183">
        <f t="shared" ref="J800" si="414">(H800-H801)/I800*100</f>
        <v>0</v>
      </c>
    </row>
    <row r="801" ht="17.25" spans="2:10">
      <c r="B801" s="41"/>
      <c r="C801" s="180"/>
      <c r="D801" s="39">
        <v>11</v>
      </c>
      <c r="E801" s="40">
        <v>1.6021</v>
      </c>
      <c r="F801" s="67">
        <v>1</v>
      </c>
      <c r="G801" s="182">
        <v>13.6</v>
      </c>
      <c r="H801" s="204">
        <f t="shared" si="412"/>
        <v>11.3591719691434</v>
      </c>
      <c r="I801" s="182"/>
      <c r="J801" s="183"/>
    </row>
    <row r="802" ht="17.25" spans="1:10">
      <c r="A802" s="207">
        <v>7.01</v>
      </c>
      <c r="B802" s="37" t="s">
        <v>1853</v>
      </c>
      <c r="C802" s="180"/>
      <c r="D802" s="39">
        <v>11</v>
      </c>
      <c r="E802" s="40">
        <v>1.9846</v>
      </c>
      <c r="F802" s="67">
        <v>1</v>
      </c>
      <c r="G802" s="67">
        <v>9.3</v>
      </c>
      <c r="H802" s="204">
        <f t="shared" ref="H802:H817" si="415">D802*100*F802*250*0.9/E802/G802/1000</f>
        <v>13.4097063518122</v>
      </c>
      <c r="I802" s="182">
        <f>(H802+H803)/2</f>
        <v>13.6652338454525</v>
      </c>
      <c r="J802" s="183">
        <f>(H802-H803)/I802*100</f>
        <v>-3.73981882096195</v>
      </c>
    </row>
    <row r="803" ht="17.25" spans="2:10">
      <c r="B803" s="41"/>
      <c r="C803" s="180"/>
      <c r="D803" s="39">
        <v>11</v>
      </c>
      <c r="E803" s="40">
        <v>1.852</v>
      </c>
      <c r="F803" s="67">
        <v>1</v>
      </c>
      <c r="G803" s="67">
        <v>9.6</v>
      </c>
      <c r="H803" s="204">
        <f t="shared" si="415"/>
        <v>13.9207613390929</v>
      </c>
      <c r="I803" s="182"/>
      <c r="J803" s="183"/>
    </row>
    <row r="804" ht="17.25" spans="2:10">
      <c r="B804" s="37" t="s">
        <v>1854</v>
      </c>
      <c r="C804" s="180"/>
      <c r="D804" s="39">
        <v>11</v>
      </c>
      <c r="E804" s="40">
        <v>2.4222</v>
      </c>
      <c r="F804" s="67">
        <v>1</v>
      </c>
      <c r="G804" s="67">
        <v>7.4</v>
      </c>
      <c r="H804" s="204">
        <f t="shared" si="415"/>
        <v>13.8080860151705</v>
      </c>
      <c r="I804" s="182">
        <f>(H804+H805)/2</f>
        <v>13.8645939794891</v>
      </c>
      <c r="J804" s="183">
        <f>(H804-H805)/I804*100</f>
        <v>-0.81514055733901</v>
      </c>
    </row>
    <row r="805" ht="17.25" spans="2:10">
      <c r="B805" s="41"/>
      <c r="C805" s="180"/>
      <c r="D805" s="39">
        <v>11</v>
      </c>
      <c r="E805" s="40">
        <v>2.0089</v>
      </c>
      <c r="F805" s="67">
        <v>1</v>
      </c>
      <c r="G805" s="67">
        <v>8.85</v>
      </c>
      <c r="H805" s="204">
        <f t="shared" si="415"/>
        <v>13.9211019438077</v>
      </c>
      <c r="I805" s="182"/>
      <c r="J805" s="183"/>
    </row>
    <row r="806" ht="17.25" spans="2:10">
      <c r="B806" s="37" t="s">
        <v>1855</v>
      </c>
      <c r="C806" s="180"/>
      <c r="D806" s="39">
        <v>11</v>
      </c>
      <c r="E806" s="40">
        <v>2.4336</v>
      </c>
      <c r="F806" s="67">
        <v>1</v>
      </c>
      <c r="G806" s="67">
        <v>7.1</v>
      </c>
      <c r="H806" s="204">
        <f t="shared" si="415"/>
        <v>14.3241103425285</v>
      </c>
      <c r="I806" s="182">
        <f>(H806+H807)/2</f>
        <v>14.3218022918888</v>
      </c>
      <c r="J806" s="183">
        <f>(H806-H807)/I806*100</f>
        <v>0.0322312875531345</v>
      </c>
    </row>
    <row r="807" ht="17.25" spans="2:10">
      <c r="B807" s="41"/>
      <c r="C807" s="180"/>
      <c r="D807" s="39">
        <v>11</v>
      </c>
      <c r="E807" s="40">
        <v>2.2018</v>
      </c>
      <c r="F807" s="67">
        <v>1</v>
      </c>
      <c r="G807" s="67">
        <v>7.85</v>
      </c>
      <c r="H807" s="204">
        <f t="shared" si="415"/>
        <v>14.3194942412491</v>
      </c>
      <c r="I807" s="182"/>
      <c r="J807" s="183"/>
    </row>
    <row r="808" ht="17.25" spans="2:10">
      <c r="B808" s="37" t="s">
        <v>1856</v>
      </c>
      <c r="C808" s="180"/>
      <c r="D808" s="39">
        <v>11</v>
      </c>
      <c r="E808" s="40">
        <v>2.6626</v>
      </c>
      <c r="F808" s="67">
        <v>1</v>
      </c>
      <c r="G808" s="67">
        <v>6.5</v>
      </c>
      <c r="H808" s="204">
        <f t="shared" si="415"/>
        <v>14.3006546521907</v>
      </c>
      <c r="I808" s="182">
        <f>(H808+H809)/2</f>
        <v>14.4430010324266</v>
      </c>
      <c r="J808" s="183">
        <f>(H808-H809)/I808*100</f>
        <v>-1.97114685398538</v>
      </c>
    </row>
    <row r="809" ht="17.25" spans="2:10">
      <c r="B809" s="41"/>
      <c r="C809" s="180"/>
      <c r="D809" s="39">
        <v>11</v>
      </c>
      <c r="E809" s="40">
        <v>2.5907</v>
      </c>
      <c r="F809" s="67">
        <v>1</v>
      </c>
      <c r="G809" s="67">
        <v>6.55</v>
      </c>
      <c r="H809" s="204">
        <f t="shared" si="415"/>
        <v>14.5853474126625</v>
      </c>
      <c r="I809" s="182"/>
      <c r="J809" s="183"/>
    </row>
    <row r="810" ht="17.25" spans="2:10">
      <c r="B810" s="37" t="s">
        <v>1857</v>
      </c>
      <c r="C810" s="180"/>
      <c r="D810" s="39">
        <v>11</v>
      </c>
      <c r="E810" s="40">
        <v>2.8336</v>
      </c>
      <c r="F810" s="67">
        <v>1</v>
      </c>
      <c r="G810" s="67">
        <v>6.75</v>
      </c>
      <c r="H810" s="204">
        <f t="shared" si="415"/>
        <v>12.9399585921325</v>
      </c>
      <c r="I810" s="182">
        <f>(H810+H811)/2</f>
        <v>13.1089634107879</v>
      </c>
      <c r="J810" s="183">
        <f>(H810-H811)/I810*100</f>
        <v>-2.57846197840955</v>
      </c>
    </row>
    <row r="811" ht="17.25" spans="2:10">
      <c r="B811" s="41"/>
      <c r="C811" s="180"/>
      <c r="D811" s="39">
        <v>11</v>
      </c>
      <c r="E811" s="40">
        <v>2.502</v>
      </c>
      <c r="F811" s="67">
        <v>1</v>
      </c>
      <c r="G811" s="67">
        <v>7.45</v>
      </c>
      <c r="H811" s="204">
        <f t="shared" si="415"/>
        <v>13.2779682294433</v>
      </c>
      <c r="I811" s="182"/>
      <c r="J811" s="183"/>
    </row>
    <row r="812" ht="17.25" spans="2:10">
      <c r="B812" s="37" t="s">
        <v>1858</v>
      </c>
      <c r="C812" s="180"/>
      <c r="D812" s="39">
        <v>11</v>
      </c>
      <c r="E812" s="40">
        <v>2.7357</v>
      </c>
      <c r="F812" s="67">
        <v>1</v>
      </c>
      <c r="G812" s="67">
        <v>6.2</v>
      </c>
      <c r="H812" s="204">
        <f t="shared" si="415"/>
        <v>14.5920074711078</v>
      </c>
      <c r="I812" s="182">
        <f>(H812+H813)/2</f>
        <v>14.4934974373834</v>
      </c>
      <c r="J812" s="183">
        <f>(H812-H813)/I812*100</f>
        <v>1.35936869827322</v>
      </c>
    </row>
    <row r="813" ht="17.25" spans="2:10">
      <c r="B813" s="41"/>
      <c r="C813" s="180"/>
      <c r="D813" s="39">
        <v>11</v>
      </c>
      <c r="E813" s="40">
        <v>2.0591</v>
      </c>
      <c r="F813" s="67">
        <v>1</v>
      </c>
      <c r="G813" s="67">
        <v>8.35</v>
      </c>
      <c r="H813" s="204">
        <f t="shared" si="415"/>
        <v>14.394987403659</v>
      </c>
      <c r="I813" s="182"/>
      <c r="J813" s="183"/>
    </row>
    <row r="814" ht="17.25" spans="2:10">
      <c r="B814" s="37" t="s">
        <v>1859</v>
      </c>
      <c r="C814" s="180"/>
      <c r="D814" s="39">
        <v>11</v>
      </c>
      <c r="E814" s="40">
        <v>2.9753</v>
      </c>
      <c r="F814" s="67">
        <v>2</v>
      </c>
      <c r="G814" s="67">
        <v>9.05</v>
      </c>
      <c r="H814" s="204">
        <f t="shared" si="415"/>
        <v>18.3834008660253</v>
      </c>
      <c r="I814" s="182">
        <f>(H814+H815)/2</f>
        <v>18.2586308649282</v>
      </c>
      <c r="J814" s="183">
        <f>(H814-H815)/I814*100</f>
        <v>1.36669613422896</v>
      </c>
    </row>
    <row r="815" ht="17.25" spans="2:10">
      <c r="B815" s="41"/>
      <c r="C815" s="180"/>
      <c r="D815" s="39">
        <v>11</v>
      </c>
      <c r="E815" s="40">
        <v>3.033</v>
      </c>
      <c r="F815" s="67">
        <v>2</v>
      </c>
      <c r="G815" s="67">
        <v>9</v>
      </c>
      <c r="H815" s="204">
        <f t="shared" si="415"/>
        <v>18.1338608638312</v>
      </c>
      <c r="I815" s="182"/>
      <c r="J815" s="183"/>
    </row>
    <row r="816" ht="17.25" spans="2:10">
      <c r="B816" s="37" t="s">
        <v>1860</v>
      </c>
      <c r="C816" s="180"/>
      <c r="D816" s="39">
        <v>11</v>
      </c>
      <c r="E816" s="40">
        <v>3.0534</v>
      </c>
      <c r="F816" s="67">
        <v>1</v>
      </c>
      <c r="G816" s="67">
        <v>6.3</v>
      </c>
      <c r="H816" s="204">
        <f t="shared" si="415"/>
        <v>12.8662193900944</v>
      </c>
      <c r="I816" s="182">
        <f>(H816+H817)/2</f>
        <v>12.9639903374642</v>
      </c>
      <c r="J816" s="183">
        <f>(H816-H817)/I816*100</f>
        <v>-1.50834650172868</v>
      </c>
    </row>
    <row r="817" ht="17.25" spans="2:10">
      <c r="B817" s="41"/>
      <c r="C817" s="180"/>
      <c r="D817" s="39">
        <v>11</v>
      </c>
      <c r="E817" s="40">
        <v>2.5606</v>
      </c>
      <c r="F817" s="67">
        <v>1</v>
      </c>
      <c r="G817" s="67">
        <v>7.4</v>
      </c>
      <c r="H817" s="204">
        <f t="shared" si="415"/>
        <v>13.061761284834</v>
      </c>
      <c r="I817" s="182"/>
      <c r="J817" s="183"/>
    </row>
    <row r="818" ht="17.25" spans="1:10">
      <c r="A818">
        <v>7.2</v>
      </c>
      <c r="B818" s="37" t="s">
        <v>1861</v>
      </c>
      <c r="C818" s="180"/>
      <c r="D818" s="39">
        <v>11</v>
      </c>
      <c r="E818" s="40">
        <v>1.7268</v>
      </c>
      <c r="F818" s="67">
        <v>1</v>
      </c>
      <c r="G818" s="67">
        <v>14.5</v>
      </c>
      <c r="H818" s="204">
        <f t="shared" ref="H818:H827" si="416">D818*100*F818*250*0.9/E818/G818/1000</f>
        <v>9.88473796458269</v>
      </c>
      <c r="I818" s="182">
        <f>(H818+H819)/2</f>
        <v>9.74472533847678</v>
      </c>
      <c r="J818" s="183">
        <f>(H818-H819)/I818*100</f>
        <v>2.87360846494199</v>
      </c>
    </row>
    <row r="819" ht="17.25" spans="2:10">
      <c r="B819" s="41"/>
      <c r="C819" s="180"/>
      <c r="D819" s="39">
        <v>11</v>
      </c>
      <c r="E819" s="40">
        <v>1.802</v>
      </c>
      <c r="F819" s="67">
        <v>1</v>
      </c>
      <c r="G819" s="67">
        <v>14.3</v>
      </c>
      <c r="H819" s="204">
        <f t="shared" si="416"/>
        <v>9.60471271237087</v>
      </c>
      <c r="I819" s="182"/>
      <c r="J819" s="183"/>
    </row>
    <row r="820" ht="17.25" spans="2:10">
      <c r="B820" s="37" t="s">
        <v>1862</v>
      </c>
      <c r="C820" s="180"/>
      <c r="D820" s="39">
        <v>11</v>
      </c>
      <c r="E820" s="40">
        <v>1.675</v>
      </c>
      <c r="F820" s="67">
        <v>1</v>
      </c>
      <c r="G820" s="67">
        <v>14.5</v>
      </c>
      <c r="H820" s="204">
        <f t="shared" si="416"/>
        <v>10.1904271744725</v>
      </c>
      <c r="I820" s="182">
        <f>(H820+H821)/2</f>
        <v>10.0522277622939</v>
      </c>
      <c r="J820" s="183">
        <f>(H820-H821)/I820*100</f>
        <v>2.74962755414105</v>
      </c>
    </row>
    <row r="821" ht="17.25" spans="2:10">
      <c r="B821" s="41"/>
      <c r="C821" s="180"/>
      <c r="D821" s="39">
        <v>11</v>
      </c>
      <c r="E821" s="40">
        <v>1.8025</v>
      </c>
      <c r="F821" s="67">
        <v>1</v>
      </c>
      <c r="G821" s="67">
        <v>13.85</v>
      </c>
      <c r="H821" s="204">
        <f t="shared" si="416"/>
        <v>9.91402835011541</v>
      </c>
      <c r="I821" s="182"/>
      <c r="J821" s="183"/>
    </row>
    <row r="822" ht="17.25" spans="2:10">
      <c r="B822" s="37" t="s">
        <v>1863</v>
      </c>
      <c r="C822" s="180"/>
      <c r="D822" s="39">
        <v>11</v>
      </c>
      <c r="E822" s="40">
        <v>1.7901</v>
      </c>
      <c r="F822" s="67">
        <v>1</v>
      </c>
      <c r="G822" s="67">
        <v>13.8</v>
      </c>
      <c r="H822" s="204">
        <f t="shared" si="416"/>
        <v>10.018871911455</v>
      </c>
      <c r="I822" s="182">
        <f>(H822+H823)/2</f>
        <v>10.0002860638626</v>
      </c>
      <c r="J822" s="183">
        <f>(H822-H823)/I822*100</f>
        <v>0.371706318674052</v>
      </c>
    </row>
    <row r="823" ht="17.25" spans="2:10">
      <c r="B823" s="41"/>
      <c r="C823" s="180"/>
      <c r="D823" s="39">
        <v>11</v>
      </c>
      <c r="E823" s="40">
        <v>1.8033</v>
      </c>
      <c r="F823" s="67">
        <v>1</v>
      </c>
      <c r="G823" s="67">
        <v>13.75</v>
      </c>
      <c r="H823" s="204">
        <f t="shared" si="416"/>
        <v>9.98170021627017</v>
      </c>
      <c r="I823" s="182"/>
      <c r="J823" s="183"/>
    </row>
    <row r="824" ht="17.25" spans="2:10">
      <c r="B824" s="37" t="s">
        <v>1864</v>
      </c>
      <c r="C824" s="180"/>
      <c r="D824" s="39">
        <v>11</v>
      </c>
      <c r="E824" s="40">
        <v>1.6233</v>
      </c>
      <c r="F824" s="67">
        <v>1</v>
      </c>
      <c r="G824" s="67">
        <v>15.6</v>
      </c>
      <c r="H824" s="204">
        <f t="shared" si="416"/>
        <v>9.77353823408157</v>
      </c>
      <c r="I824" s="182">
        <f>(H824+H825)/2</f>
        <v>9.74964581806523</v>
      </c>
      <c r="J824" s="183">
        <f>(H824-H825)/I824*100</f>
        <v>0.490118645583393</v>
      </c>
    </row>
    <row r="825" ht="17.25" spans="2:10">
      <c r="B825" s="41"/>
      <c r="C825" s="180"/>
      <c r="D825" s="39">
        <v>11</v>
      </c>
      <c r="E825" s="40">
        <v>1.6418</v>
      </c>
      <c r="F825" s="67">
        <v>1</v>
      </c>
      <c r="G825" s="67">
        <v>15.5</v>
      </c>
      <c r="H825" s="204">
        <f t="shared" si="416"/>
        <v>9.72575340204889</v>
      </c>
      <c r="I825" s="182"/>
      <c r="J825" s="183"/>
    </row>
    <row r="826" ht="17.25" spans="2:10">
      <c r="B826" s="37" t="s">
        <v>1852</v>
      </c>
      <c r="C826" s="180"/>
      <c r="D826" s="39">
        <v>11</v>
      </c>
      <c r="E826" s="40">
        <v>1.6021</v>
      </c>
      <c r="F826" s="67">
        <v>1</v>
      </c>
      <c r="G826" s="67">
        <v>13.6</v>
      </c>
      <c r="H826" s="204">
        <f t="shared" si="416"/>
        <v>11.3591719691434</v>
      </c>
      <c r="I826" s="182">
        <f>(H826+H827)/2</f>
        <v>11.3022193670662</v>
      </c>
      <c r="J826" s="183">
        <f>(H826-H827)/I826*100</f>
        <v>1.00781271761926</v>
      </c>
    </row>
    <row r="827" ht="17.25" spans="2:10">
      <c r="B827" s="41"/>
      <c r="C827" s="180"/>
      <c r="D827" s="39">
        <v>11</v>
      </c>
      <c r="E827" s="40">
        <v>1.6124</v>
      </c>
      <c r="F827" s="67">
        <v>1</v>
      </c>
      <c r="G827" s="67">
        <v>13.65</v>
      </c>
      <c r="H827" s="204">
        <f t="shared" si="416"/>
        <v>11.2452667649889</v>
      </c>
      <c r="I827" s="182"/>
      <c r="J827" s="183"/>
    </row>
    <row r="828" ht="17.25" spans="2:10">
      <c r="B828" s="37" t="s">
        <v>1865</v>
      </c>
      <c r="C828" s="180"/>
      <c r="D828" s="39">
        <v>11</v>
      </c>
      <c r="E828" s="40">
        <v>1.7054</v>
      </c>
      <c r="F828" s="67">
        <v>1</v>
      </c>
      <c r="G828" s="67">
        <v>12.25</v>
      </c>
      <c r="H828" s="204">
        <f t="shared" ref="H828:H835" si="417">D828*100*F828*250*0.9/E828/G828/1000</f>
        <v>11.8471218673936</v>
      </c>
      <c r="I828" s="182">
        <f>(H828+H829)/2</f>
        <v>11.8451065551983</v>
      </c>
      <c r="J828" s="183">
        <f>(H828-H829)/I828*100</f>
        <v>0.0340277596644714</v>
      </c>
    </row>
    <row r="829" ht="17.25" spans="2:10">
      <c r="B829" s="41"/>
      <c r="C829" s="180"/>
      <c r="D829" s="39">
        <v>11</v>
      </c>
      <c r="E829" s="40">
        <v>1.6652</v>
      </c>
      <c r="F829" s="67">
        <v>1</v>
      </c>
      <c r="G829" s="67">
        <v>12.55</v>
      </c>
      <c r="H829" s="204">
        <f t="shared" si="417"/>
        <v>11.843091243003</v>
      </c>
      <c r="I829" s="182"/>
      <c r="J829" s="183"/>
    </row>
    <row r="830" ht="17.25" spans="2:10">
      <c r="B830" s="37" t="s">
        <v>1866</v>
      </c>
      <c r="C830" s="180"/>
      <c r="D830" s="39">
        <v>11</v>
      </c>
      <c r="E830" s="40">
        <v>1.59</v>
      </c>
      <c r="F830" s="67">
        <v>1</v>
      </c>
      <c r="G830" s="67">
        <v>13.05</v>
      </c>
      <c r="H830" s="204">
        <f t="shared" si="417"/>
        <v>11.9279982650184</v>
      </c>
      <c r="I830" s="182">
        <f t="shared" ref="I830:I834" si="418">(H830+H831)/2</f>
        <v>11.8320831805436</v>
      </c>
      <c r="J830" s="183">
        <f t="shared" ref="J830:J834" si="419">(H830-H831)/I830*100</f>
        <v>1.62127130127989</v>
      </c>
    </row>
    <row r="831" ht="17.25" spans="2:10">
      <c r="B831" s="41"/>
      <c r="C831" s="180"/>
      <c r="D831" s="39">
        <v>11</v>
      </c>
      <c r="E831" s="40">
        <v>1.6037</v>
      </c>
      <c r="F831" s="67">
        <v>1</v>
      </c>
      <c r="G831" s="67">
        <v>13.15</v>
      </c>
      <c r="H831" s="204">
        <f t="shared" si="417"/>
        <v>11.7361680960687</v>
      </c>
      <c r="I831" s="182"/>
      <c r="J831" s="183"/>
    </row>
    <row r="832" ht="17.25" spans="2:10">
      <c r="B832" s="37" t="s">
        <v>1867</v>
      </c>
      <c r="C832" s="180"/>
      <c r="D832" s="39">
        <v>11</v>
      </c>
      <c r="E832" s="40">
        <v>1.671</v>
      </c>
      <c r="F832" s="67">
        <v>1</v>
      </c>
      <c r="G832" s="67">
        <v>12.5</v>
      </c>
      <c r="H832" s="204">
        <f t="shared" si="417"/>
        <v>11.8491921005386</v>
      </c>
      <c r="I832" s="182">
        <f t="shared" si="418"/>
        <v>11.8379471786084</v>
      </c>
      <c r="J832" s="183">
        <f t="shared" si="419"/>
        <v>0.189980944509497</v>
      </c>
    </row>
    <row r="833" ht="17.25" spans="2:10">
      <c r="B833" s="41"/>
      <c r="C833" s="180"/>
      <c r="D833" s="39">
        <v>11</v>
      </c>
      <c r="E833" s="40">
        <v>1.7014</v>
      </c>
      <c r="F833" s="67">
        <v>1</v>
      </c>
      <c r="G833" s="67">
        <v>12.3</v>
      </c>
      <c r="H833" s="204">
        <f t="shared" si="417"/>
        <v>11.8267022566781</v>
      </c>
      <c r="I833" s="182"/>
      <c r="J833" s="183"/>
    </row>
    <row r="834" ht="17.25" spans="2:10">
      <c r="B834" s="37" t="s">
        <v>1868</v>
      </c>
      <c r="C834" s="180"/>
      <c r="D834" s="39">
        <v>11</v>
      </c>
      <c r="E834" s="40">
        <v>1.8769</v>
      </c>
      <c r="F834" s="67">
        <v>5</v>
      </c>
      <c r="G834" s="67">
        <v>13.3</v>
      </c>
      <c r="H834" s="204">
        <f t="shared" si="417"/>
        <v>49.5738253406974</v>
      </c>
      <c r="I834" s="182">
        <f t="shared" si="418"/>
        <v>49.5738253406974</v>
      </c>
      <c r="J834" s="183">
        <f t="shared" si="419"/>
        <v>0</v>
      </c>
    </row>
    <row r="835" ht="17.25" spans="2:10">
      <c r="B835" s="41"/>
      <c r="C835" s="180"/>
      <c r="D835" s="39">
        <v>11</v>
      </c>
      <c r="E835" s="40">
        <v>1.8769</v>
      </c>
      <c r="F835" s="67">
        <v>5</v>
      </c>
      <c r="G835" s="67">
        <v>13.3</v>
      </c>
      <c r="H835" s="204">
        <f t="shared" si="417"/>
        <v>49.5738253406974</v>
      </c>
      <c r="I835" s="182"/>
      <c r="J835" s="183"/>
    </row>
    <row r="836" ht="17.25" spans="1:10">
      <c r="A836">
        <v>7.6</v>
      </c>
      <c r="B836" s="37" t="s">
        <v>1869</v>
      </c>
      <c r="C836" s="180"/>
      <c r="D836" s="39">
        <v>11</v>
      </c>
      <c r="E836" s="40">
        <v>1.6661</v>
      </c>
      <c r="F836" s="67">
        <v>1</v>
      </c>
      <c r="G836" s="67">
        <v>15.6</v>
      </c>
      <c r="H836" s="204">
        <f t="shared" ref="H836:H858" si="420">D836*100*F836*250*0.9/E836/G836/1000</f>
        <v>9.52246840848966</v>
      </c>
      <c r="I836" s="182">
        <f t="shared" ref="I836" si="421">(H836+H837)/2</f>
        <v>9.55966520455193</v>
      </c>
      <c r="J836" s="183">
        <f t="shared" ref="J836" si="422">(H836-H837)/I836*100</f>
        <v>-0.778202902849746</v>
      </c>
    </row>
    <row r="837" ht="17.25" spans="2:10">
      <c r="B837" s="41"/>
      <c r="C837" s="180"/>
      <c r="D837" s="39">
        <v>11</v>
      </c>
      <c r="E837" s="40">
        <v>1.7136</v>
      </c>
      <c r="F837" s="67">
        <v>1</v>
      </c>
      <c r="G837" s="67">
        <v>15.05</v>
      </c>
      <c r="H837" s="204">
        <f t="shared" si="420"/>
        <v>9.5968620006142</v>
      </c>
      <c r="I837" s="182"/>
      <c r="J837" s="183"/>
    </row>
    <row r="838" ht="17.25" spans="2:10">
      <c r="B838" s="37" t="s">
        <v>1870</v>
      </c>
      <c r="C838" s="180"/>
      <c r="D838" s="39">
        <v>11</v>
      </c>
      <c r="E838" s="40">
        <v>1.7696</v>
      </c>
      <c r="F838" s="67">
        <v>1</v>
      </c>
      <c r="G838" s="67">
        <v>11.6</v>
      </c>
      <c r="H838" s="204">
        <f t="shared" si="420"/>
        <v>12.0570789424456</v>
      </c>
      <c r="I838" s="182">
        <f t="shared" ref="I838:I842" si="423">(H838+H839)/2</f>
        <v>12.0570789424456</v>
      </c>
      <c r="J838" s="183">
        <f t="shared" ref="J838:J842" si="424">(H838-H839)/I838*100</f>
        <v>0</v>
      </c>
    </row>
    <row r="839" ht="20.1" customHeight="1" spans="2:10">
      <c r="B839" s="41"/>
      <c r="C839" s="180"/>
      <c r="D839" s="39">
        <v>11</v>
      </c>
      <c r="E839" s="40">
        <v>1.7696</v>
      </c>
      <c r="F839" s="67">
        <v>1</v>
      </c>
      <c r="G839" s="67">
        <v>11.6</v>
      </c>
      <c r="H839" s="204">
        <f t="shared" si="420"/>
        <v>12.0570789424456</v>
      </c>
      <c r="I839" s="182"/>
      <c r="J839" s="183"/>
    </row>
    <row r="840" ht="17.25" spans="2:11">
      <c r="B840" s="37" t="s">
        <v>1871</v>
      </c>
      <c r="C840" s="180"/>
      <c r="D840" s="39">
        <v>11</v>
      </c>
      <c r="E840" s="40">
        <v>1.4696</v>
      </c>
      <c r="F840" s="67">
        <v>2</v>
      </c>
      <c r="G840" s="67">
        <v>9.2</v>
      </c>
      <c r="H840" s="204">
        <f t="shared" si="420"/>
        <v>36.6115594897162</v>
      </c>
      <c r="I840" s="182">
        <f t="shared" si="423"/>
        <v>36.516333478132</v>
      </c>
      <c r="J840" s="183">
        <f t="shared" si="424"/>
        <v>0.521552973774072</v>
      </c>
      <c r="K840" s="47">
        <f>I840/(100-9.74)*100</f>
        <v>40.4568285820208</v>
      </c>
    </row>
    <row r="841" ht="17.25" spans="2:10">
      <c r="B841" s="41"/>
      <c r="C841" s="180"/>
      <c r="D841" s="39">
        <v>11</v>
      </c>
      <c r="E841" s="40">
        <v>1.4614</v>
      </c>
      <c r="F841" s="67">
        <v>2</v>
      </c>
      <c r="G841" s="67">
        <v>9.3</v>
      </c>
      <c r="H841" s="204">
        <f t="shared" si="420"/>
        <v>36.4211074665478</v>
      </c>
      <c r="I841" s="182"/>
      <c r="J841" s="183"/>
    </row>
    <row r="842" ht="17.25" spans="2:11">
      <c r="B842" s="37" t="s">
        <v>1872</v>
      </c>
      <c r="C842" s="180"/>
      <c r="D842" s="39">
        <v>11</v>
      </c>
      <c r="E842" s="40">
        <v>1.4306</v>
      </c>
      <c r="F842" s="67">
        <v>2</v>
      </c>
      <c r="G842" s="67">
        <v>9.3</v>
      </c>
      <c r="H842" s="204">
        <f t="shared" si="420"/>
        <v>37.2052330851481</v>
      </c>
      <c r="I842" s="182">
        <f t="shared" si="423"/>
        <v>36.8491100825781</v>
      </c>
      <c r="J842" s="183">
        <f t="shared" si="424"/>
        <v>1.93287165834907</v>
      </c>
      <c r="K842" s="47">
        <f>I842/(100-10.08)*100</f>
        <v>40.9798822092728</v>
      </c>
    </row>
    <row r="843" ht="17.25" spans="2:10">
      <c r="B843" s="41"/>
      <c r="C843" s="180"/>
      <c r="D843" s="39">
        <v>11</v>
      </c>
      <c r="E843" s="40">
        <v>1.5502</v>
      </c>
      <c r="F843" s="67">
        <v>2</v>
      </c>
      <c r="G843" s="67">
        <v>8.75</v>
      </c>
      <c r="H843" s="204">
        <f t="shared" si="420"/>
        <v>36.4929870800081</v>
      </c>
      <c r="I843" s="182"/>
      <c r="J843" s="183"/>
    </row>
    <row r="844" ht="17.25" spans="1:10">
      <c r="A844">
        <v>710</v>
      </c>
      <c r="B844" s="37" t="s">
        <v>1869</v>
      </c>
      <c r="C844" s="180"/>
      <c r="D844" s="39">
        <v>11</v>
      </c>
      <c r="E844" s="40">
        <v>1.7809</v>
      </c>
      <c r="F844" s="67">
        <v>1</v>
      </c>
      <c r="G844" s="67">
        <v>14.1</v>
      </c>
      <c r="H844" s="204">
        <f t="shared" si="420"/>
        <v>9.85635998055012</v>
      </c>
      <c r="I844" s="182">
        <f t="shared" ref="I844:I848" si="425">(H844+H845)/2</f>
        <v>9.79335469624159</v>
      </c>
      <c r="J844" s="183">
        <f t="shared" ref="J844:J848" si="426">(H844-H845)/I844*100</f>
        <v>1.28669462636144</v>
      </c>
    </row>
    <row r="845" ht="17.25" spans="2:10">
      <c r="B845" s="41"/>
      <c r="C845" s="180"/>
      <c r="D845" s="39">
        <v>11</v>
      </c>
      <c r="E845" s="40">
        <v>1.8982</v>
      </c>
      <c r="F845" s="67">
        <v>1</v>
      </c>
      <c r="G845" s="67">
        <v>13.4</v>
      </c>
      <c r="H845" s="204">
        <f t="shared" si="420"/>
        <v>9.73034941193306</v>
      </c>
      <c r="I845" s="182"/>
      <c r="J845" s="183"/>
    </row>
    <row r="846" ht="17.25" spans="2:10">
      <c r="B846" s="37" t="s">
        <v>1873</v>
      </c>
      <c r="C846" s="180"/>
      <c r="D846" s="39">
        <v>11</v>
      </c>
      <c r="E846" s="40">
        <v>1.8102</v>
      </c>
      <c r="F846" s="67">
        <v>1</v>
      </c>
      <c r="G846" s="67">
        <v>14.1</v>
      </c>
      <c r="H846" s="204">
        <f t="shared" si="420"/>
        <v>9.6968243781691</v>
      </c>
      <c r="I846" s="182">
        <f t="shared" si="425"/>
        <v>9.68593021983357</v>
      </c>
      <c r="J846" s="183">
        <f t="shared" si="426"/>
        <v>0.224948106960711</v>
      </c>
    </row>
    <row r="847" ht="17.25" spans="2:10">
      <c r="B847" s="41"/>
      <c r="C847" s="180"/>
      <c r="D847" s="39">
        <v>11</v>
      </c>
      <c r="E847" s="40">
        <v>1.8015</v>
      </c>
      <c r="F847" s="67">
        <v>1</v>
      </c>
      <c r="G847" s="67">
        <v>14.2</v>
      </c>
      <c r="H847" s="204">
        <f t="shared" si="420"/>
        <v>9.67503606149805</v>
      </c>
      <c r="I847" s="182"/>
      <c r="J847" s="183"/>
    </row>
    <row r="848" ht="17.25" spans="2:10">
      <c r="B848" s="37" t="s">
        <v>1874</v>
      </c>
      <c r="C848" s="180"/>
      <c r="D848" s="39">
        <v>11</v>
      </c>
      <c r="E848" s="40">
        <v>1.7997</v>
      </c>
      <c r="F848" s="67">
        <v>1</v>
      </c>
      <c r="G848" s="67">
        <v>13.3</v>
      </c>
      <c r="H848" s="204">
        <f t="shared" si="420"/>
        <v>10.3400692095299</v>
      </c>
      <c r="I848" s="182">
        <f t="shared" si="425"/>
        <v>10.3293995713635</v>
      </c>
      <c r="J848" s="183">
        <f t="shared" si="426"/>
        <v>0.206587771005573</v>
      </c>
    </row>
    <row r="849" ht="17.25" spans="2:10">
      <c r="B849" s="41"/>
      <c r="C849" s="180"/>
      <c r="D849" s="39">
        <v>11</v>
      </c>
      <c r="E849" s="40">
        <v>1.7011</v>
      </c>
      <c r="F849" s="67">
        <v>1</v>
      </c>
      <c r="G849" s="208">
        <v>14.1</v>
      </c>
      <c r="H849" s="204">
        <f t="shared" si="420"/>
        <v>10.3187299331972</v>
      </c>
      <c r="I849" s="182"/>
      <c r="J849" s="183"/>
    </row>
    <row r="850" ht="17.25" spans="2:10">
      <c r="B850" s="37" t="s">
        <v>1852</v>
      </c>
      <c r="C850" s="180"/>
      <c r="D850" s="39">
        <v>11</v>
      </c>
      <c r="E850" s="40">
        <v>1.827</v>
      </c>
      <c r="F850" s="67">
        <v>1</v>
      </c>
      <c r="G850" s="67">
        <v>13.8</v>
      </c>
      <c r="H850" s="204">
        <f t="shared" si="420"/>
        <v>9.81652031127293</v>
      </c>
      <c r="I850" s="182">
        <f>(H850+H851)/2</f>
        <v>9.84897161808706</v>
      </c>
      <c r="J850" s="183">
        <f>(H850-H851)/I850*100</f>
        <v>-0.658978583196061</v>
      </c>
    </row>
    <row r="851" ht="17.25" spans="2:10">
      <c r="B851" s="41"/>
      <c r="C851" s="180"/>
      <c r="D851" s="39">
        <v>11</v>
      </c>
      <c r="E851" s="40">
        <v>1.6698</v>
      </c>
      <c r="F851" s="67">
        <v>1</v>
      </c>
      <c r="G851" s="67">
        <v>15</v>
      </c>
      <c r="H851" s="204">
        <f t="shared" si="420"/>
        <v>9.88142292490119</v>
      </c>
      <c r="I851" s="182"/>
      <c r="J851" s="183"/>
    </row>
    <row r="852" ht="17.25" spans="2:10">
      <c r="B852" s="37" t="s">
        <v>1865</v>
      </c>
      <c r="C852" s="180"/>
      <c r="D852" s="39">
        <v>11</v>
      </c>
      <c r="E852" s="40">
        <v>1.7054</v>
      </c>
      <c r="F852" s="67">
        <v>1</v>
      </c>
      <c r="G852" s="67">
        <v>14</v>
      </c>
      <c r="H852" s="204">
        <f t="shared" si="420"/>
        <v>10.3662316339694</v>
      </c>
      <c r="I852" s="182">
        <f>(H852+H853)/2</f>
        <v>10.3974183855818</v>
      </c>
      <c r="J852" s="183">
        <f>(H852-H853)/I852*100</f>
        <v>-0.599894136328881</v>
      </c>
    </row>
    <row r="853" ht="17.25" spans="2:10">
      <c r="B853" s="41"/>
      <c r="C853" s="180"/>
      <c r="D853" s="39">
        <v>11</v>
      </c>
      <c r="E853" s="40">
        <v>1.6952</v>
      </c>
      <c r="F853" s="67">
        <v>1</v>
      </c>
      <c r="G853" s="67">
        <v>14</v>
      </c>
      <c r="H853" s="204">
        <f t="shared" si="420"/>
        <v>10.4286051371941</v>
      </c>
      <c r="I853" s="182"/>
      <c r="J853" s="183"/>
    </row>
    <row r="854" ht="17.25" spans="2:10">
      <c r="B854" s="37" t="s">
        <v>1866</v>
      </c>
      <c r="C854" s="180"/>
      <c r="D854" s="39">
        <v>11</v>
      </c>
      <c r="E854" s="40">
        <v>1.8061</v>
      </c>
      <c r="F854" s="67">
        <v>1</v>
      </c>
      <c r="G854" s="67">
        <v>13.1</v>
      </c>
      <c r="H854" s="204">
        <f t="shared" si="420"/>
        <v>10.4607329444617</v>
      </c>
      <c r="I854" s="182">
        <f>(H854+H855)/2</f>
        <v>10.4628184140096</v>
      </c>
      <c r="J854" s="183">
        <f>(H854-H855)/I854*100</f>
        <v>-0.0398643934239411</v>
      </c>
    </row>
    <row r="855" ht="17.25" spans="2:10">
      <c r="B855" s="41"/>
      <c r="C855" s="180"/>
      <c r="D855" s="39">
        <v>11</v>
      </c>
      <c r="E855" s="40">
        <v>1.7584</v>
      </c>
      <c r="F855" s="67">
        <v>1</v>
      </c>
      <c r="G855" s="67">
        <v>13.45</v>
      </c>
      <c r="H855" s="204">
        <f t="shared" si="420"/>
        <v>10.4649038835575</v>
      </c>
      <c r="I855" s="182"/>
      <c r="J855" s="183"/>
    </row>
    <row r="856" ht="17.25" spans="2:10">
      <c r="B856" s="37" t="s">
        <v>1875</v>
      </c>
      <c r="C856" s="180"/>
      <c r="D856" s="39">
        <v>11</v>
      </c>
      <c r="E856" s="40">
        <v>1.6445</v>
      </c>
      <c r="F856" s="67">
        <v>1</v>
      </c>
      <c r="G856" s="67">
        <v>15.3</v>
      </c>
      <c r="H856" s="204">
        <f t="shared" si="420"/>
        <v>9.83671060397403</v>
      </c>
      <c r="I856" s="182">
        <f>(H856+H857)/2</f>
        <v>9.74534807963564</v>
      </c>
      <c r="J856" s="183">
        <f>(H856-H857)/I856*100</f>
        <v>1.87499766230631</v>
      </c>
    </row>
    <row r="857" ht="17.25" spans="2:10">
      <c r="B857" s="41"/>
      <c r="C857" s="180"/>
      <c r="D857" s="39">
        <v>11</v>
      </c>
      <c r="E857" s="40">
        <v>1.6226</v>
      </c>
      <c r="F857" s="67">
        <v>1</v>
      </c>
      <c r="G857" s="67">
        <v>15.8</v>
      </c>
      <c r="H857" s="204">
        <f t="shared" si="420"/>
        <v>9.65398555529725</v>
      </c>
      <c r="I857" s="182"/>
      <c r="J857" s="183"/>
    </row>
    <row r="858" ht="17.25" spans="2:10">
      <c r="B858" s="37" t="s">
        <v>1875</v>
      </c>
      <c r="C858" s="180"/>
      <c r="D858" s="39">
        <v>10.8</v>
      </c>
      <c r="E858" s="40">
        <v>1.24</v>
      </c>
      <c r="F858" s="67">
        <v>2</v>
      </c>
      <c r="G858" s="67">
        <v>9.55</v>
      </c>
      <c r="H858" s="204">
        <f t="shared" si="420"/>
        <v>41.0403648032427</v>
      </c>
      <c r="I858" s="182">
        <f>(H858+H859)/2</f>
        <v>41.0403648032427</v>
      </c>
      <c r="J858" s="183">
        <f>(H858-H859)/I858*100</f>
        <v>0</v>
      </c>
    </row>
    <row r="859" ht="17.25" spans="2:10">
      <c r="B859" s="41"/>
      <c r="C859" s="180"/>
      <c r="D859" s="39">
        <v>10.8</v>
      </c>
      <c r="E859" s="40">
        <v>1.24</v>
      </c>
      <c r="F859" s="67">
        <v>2</v>
      </c>
      <c r="G859" s="67">
        <v>9.55</v>
      </c>
      <c r="H859" s="204">
        <f t="shared" ref="H859:H891" si="427">D859*100*F859*250*0.9/E859/G859/1000</f>
        <v>41.0403648032427</v>
      </c>
      <c r="I859" s="182"/>
      <c r="J859" s="183"/>
    </row>
    <row r="860" ht="17.25" spans="1:10">
      <c r="A860">
        <v>8.14</v>
      </c>
      <c r="B860" s="37" t="s">
        <v>1876</v>
      </c>
      <c r="C860" s="180"/>
      <c r="D860" s="39">
        <v>11</v>
      </c>
      <c r="E860" s="40">
        <v>1.7932</v>
      </c>
      <c r="F860" s="67">
        <v>2</v>
      </c>
      <c r="G860" s="67">
        <v>8.9</v>
      </c>
      <c r="H860" s="204">
        <f t="shared" si="427"/>
        <v>31.0160481419194</v>
      </c>
      <c r="I860" s="182">
        <f t="shared" ref="I860:I864" si="428">(H860+H861)/2</f>
        <v>31.2745646053021</v>
      </c>
      <c r="J860" s="183">
        <f t="shared" ref="J860:J864" si="429">(H860-H861)/I860*100</f>
        <v>-1.65320583448735</v>
      </c>
    </row>
    <row r="861" ht="17.25" spans="2:10">
      <c r="B861" s="41"/>
      <c r="C861" s="180"/>
      <c r="D861" s="39">
        <v>11</v>
      </c>
      <c r="E861" s="40">
        <v>1.6524</v>
      </c>
      <c r="F861" s="67">
        <v>2</v>
      </c>
      <c r="G861" s="67">
        <v>9.5</v>
      </c>
      <c r="H861" s="204">
        <f t="shared" si="427"/>
        <v>31.5330810686848</v>
      </c>
      <c r="I861" s="182"/>
      <c r="J861" s="183"/>
    </row>
    <row r="862" ht="17.25" spans="2:10">
      <c r="B862" s="37" t="s">
        <v>1877</v>
      </c>
      <c r="C862" s="180"/>
      <c r="D862" s="39">
        <v>11</v>
      </c>
      <c r="E862" s="40">
        <v>1.5904</v>
      </c>
      <c r="F862" s="67">
        <v>2</v>
      </c>
      <c r="G862" s="67">
        <v>10.5</v>
      </c>
      <c r="H862" s="204">
        <f t="shared" si="427"/>
        <v>29.6421385455591</v>
      </c>
      <c r="I862" s="182">
        <f t="shared" si="428"/>
        <v>29.7088246203409</v>
      </c>
      <c r="J862" s="183">
        <f t="shared" si="429"/>
        <v>-0.448931087877645</v>
      </c>
    </row>
    <row r="863" ht="17.25" spans="2:10">
      <c r="B863" s="41"/>
      <c r="C863" s="180"/>
      <c r="D863" s="39">
        <v>11</v>
      </c>
      <c r="E863" s="40">
        <v>1.5985</v>
      </c>
      <c r="F863" s="67">
        <v>2</v>
      </c>
      <c r="G863" s="67">
        <v>10.4</v>
      </c>
      <c r="H863" s="204">
        <f t="shared" si="427"/>
        <v>29.7755106951228</v>
      </c>
      <c r="I863" s="182"/>
      <c r="J863" s="183"/>
    </row>
    <row r="864" ht="17.25" spans="2:14">
      <c r="B864" s="37" t="s">
        <v>1878</v>
      </c>
      <c r="C864" s="180"/>
      <c r="D864" s="39">
        <v>11</v>
      </c>
      <c r="E864" s="40">
        <v>2.3114</v>
      </c>
      <c r="F864" s="67">
        <v>4</v>
      </c>
      <c r="G864" s="67">
        <v>8.8</v>
      </c>
      <c r="H864" s="204">
        <v>49.31</v>
      </c>
      <c r="I864" s="204">
        <f t="shared" si="428"/>
        <v>49.335</v>
      </c>
      <c r="J864" s="203">
        <f t="shared" si="429"/>
        <v>-0.101347927434878</v>
      </c>
      <c r="L864" s="142">
        <v>32</v>
      </c>
      <c r="M864" s="209">
        <f>I864/(100-L864)*100</f>
        <v>72.5514705882353</v>
      </c>
      <c r="N864" s="142">
        <f>H864/(100-L864)*100</f>
        <v>72.5147058823529</v>
      </c>
    </row>
    <row r="865" ht="17.25" spans="2:14">
      <c r="B865" s="41"/>
      <c r="C865" s="180"/>
      <c r="D865" s="39">
        <v>11</v>
      </c>
      <c r="E865" s="40">
        <v>2.0018</v>
      </c>
      <c r="F865" s="67">
        <v>4</v>
      </c>
      <c r="G865" s="67">
        <v>9.95</v>
      </c>
      <c r="H865" s="204">
        <v>49.36</v>
      </c>
      <c r="I865" s="204"/>
      <c r="J865" s="203"/>
      <c r="L865" s="142">
        <v>32</v>
      </c>
      <c r="M865" s="210"/>
      <c r="N865" s="142">
        <f>H865/(100-L865)*100</f>
        <v>72.5882352941176</v>
      </c>
    </row>
    <row r="866" ht="17.25" spans="1:11">
      <c r="A866">
        <v>8.15</v>
      </c>
      <c r="B866" s="37" t="s">
        <v>1879</v>
      </c>
      <c r="C866" s="180"/>
      <c r="D866" s="39">
        <v>11</v>
      </c>
      <c r="E866" s="40">
        <v>2.0286</v>
      </c>
      <c r="F866" s="67">
        <v>4</v>
      </c>
      <c r="G866" s="67">
        <v>6.4</v>
      </c>
      <c r="H866" s="204">
        <v>65.183</v>
      </c>
      <c r="I866" s="182">
        <f t="shared" ref="I866:I870" si="430">(H866+H867)/2</f>
        <v>65.1815</v>
      </c>
      <c r="J866" s="203">
        <f t="shared" ref="J866:J870" si="431">(H866-H867)/I866*100</f>
        <v>0.00460253292728782</v>
      </c>
      <c r="K866" s="47" t="s">
        <v>1880</v>
      </c>
    </row>
    <row r="867" ht="17.25" spans="2:11">
      <c r="B867" s="41"/>
      <c r="C867" s="180"/>
      <c r="D867" s="39">
        <v>11</v>
      </c>
      <c r="E867" s="40">
        <v>2.0286</v>
      </c>
      <c r="F867" s="67">
        <v>4</v>
      </c>
      <c r="G867" s="67">
        <v>6.35</v>
      </c>
      <c r="H867" s="204">
        <v>65.18</v>
      </c>
      <c r="I867" s="182"/>
      <c r="J867" s="203"/>
      <c r="K867" s="47" t="s">
        <v>1881</v>
      </c>
    </row>
    <row r="868" ht="17.25" spans="2:11">
      <c r="B868" s="37" t="s">
        <v>1882</v>
      </c>
      <c r="C868" s="180"/>
      <c r="D868" s="39">
        <v>11</v>
      </c>
      <c r="E868" s="40">
        <v>2.0259</v>
      </c>
      <c r="F868" s="67">
        <v>4</v>
      </c>
      <c r="G868" s="67">
        <v>6.65</v>
      </c>
      <c r="H868" s="204">
        <f t="shared" si="427"/>
        <v>73.4844663858669</v>
      </c>
      <c r="I868" s="182">
        <f t="shared" si="430"/>
        <v>73.7628166373285</v>
      </c>
      <c r="J868" s="183">
        <f t="shared" si="431"/>
        <v>-0.754716981132076</v>
      </c>
      <c r="K868" s="47" t="s">
        <v>1883</v>
      </c>
    </row>
    <row r="869" ht="17.25" spans="2:11">
      <c r="B869" s="41"/>
      <c r="C869" s="180"/>
      <c r="D869" s="39">
        <v>11</v>
      </c>
      <c r="E869" s="40">
        <v>2.0259</v>
      </c>
      <c r="F869" s="67">
        <v>4</v>
      </c>
      <c r="G869" s="67">
        <v>6.6</v>
      </c>
      <c r="H869" s="204">
        <f t="shared" si="427"/>
        <v>74.0411668887902</v>
      </c>
      <c r="I869" s="182"/>
      <c r="J869" s="183"/>
      <c r="K869" s="47" t="s">
        <v>1884</v>
      </c>
    </row>
    <row r="870" ht="17.25" spans="2:11">
      <c r="B870" s="37" t="s">
        <v>1885</v>
      </c>
      <c r="C870" s="180"/>
      <c r="D870" s="39">
        <v>11</v>
      </c>
      <c r="E870" s="40">
        <v>2.02</v>
      </c>
      <c r="F870" s="67">
        <v>4</v>
      </c>
      <c r="G870" s="67">
        <v>12.9</v>
      </c>
      <c r="H870" s="204">
        <f t="shared" si="427"/>
        <v>37.9921713101543</v>
      </c>
      <c r="I870" s="182">
        <f t="shared" si="430"/>
        <v>37.9921713101543</v>
      </c>
      <c r="J870" s="183">
        <f t="shared" si="431"/>
        <v>0</v>
      </c>
      <c r="K870" s="47">
        <v>1.0058</v>
      </c>
    </row>
    <row r="871" ht="17.25" spans="2:11">
      <c r="B871" s="41"/>
      <c r="C871" s="180"/>
      <c r="D871" s="39">
        <v>11</v>
      </c>
      <c r="E871" s="40">
        <v>2.02</v>
      </c>
      <c r="F871" s="67">
        <v>4</v>
      </c>
      <c r="G871" s="67">
        <v>12.9</v>
      </c>
      <c r="H871" s="204">
        <f t="shared" si="427"/>
        <v>37.9921713101543</v>
      </c>
      <c r="I871" s="182"/>
      <c r="J871" s="183"/>
      <c r="K871" s="47">
        <v>1.0142</v>
      </c>
    </row>
    <row r="872" ht="17.25" spans="1:10">
      <c r="A872">
        <v>8.18</v>
      </c>
      <c r="B872" s="37" t="s">
        <v>1886</v>
      </c>
      <c r="C872" s="180"/>
      <c r="D872" s="39">
        <v>11</v>
      </c>
      <c r="E872" s="40">
        <v>1.4068</v>
      </c>
      <c r="F872" s="67">
        <v>1</v>
      </c>
      <c r="G872" s="67">
        <v>6.6</v>
      </c>
      <c r="H872" s="204">
        <f t="shared" si="427"/>
        <v>26.6562411145863</v>
      </c>
      <c r="I872" s="182">
        <f t="shared" ref="I872:I876" si="432">(H872+H873)/2</f>
        <v>26.5870112461769</v>
      </c>
      <c r="J872" s="183">
        <f t="shared" ref="J872:J876" si="433">(H872-H873)/I872*100</f>
        <v>0.520779622563691</v>
      </c>
    </row>
    <row r="873" ht="17.25" spans="2:10">
      <c r="B873" s="41"/>
      <c r="C873" s="180"/>
      <c r="D873" s="39">
        <v>11</v>
      </c>
      <c r="E873" s="40">
        <v>1.2963</v>
      </c>
      <c r="F873" s="67">
        <v>1</v>
      </c>
      <c r="G873" s="67">
        <v>7.2</v>
      </c>
      <c r="H873" s="204">
        <f t="shared" si="427"/>
        <v>26.5177813777675</v>
      </c>
      <c r="I873" s="182"/>
      <c r="J873" s="183"/>
    </row>
    <row r="874" ht="17.25" spans="2:10">
      <c r="B874" s="37" t="s">
        <v>1887</v>
      </c>
      <c r="C874" s="180"/>
      <c r="D874" s="39">
        <v>11</v>
      </c>
      <c r="E874" s="40">
        <v>1.2218</v>
      </c>
      <c r="F874" s="67">
        <v>1</v>
      </c>
      <c r="G874" s="67">
        <v>5.05</v>
      </c>
      <c r="H874" s="204">
        <f t="shared" si="427"/>
        <v>40.1128670732518</v>
      </c>
      <c r="I874" s="182">
        <f t="shared" si="432"/>
        <v>40.5378587459088</v>
      </c>
      <c r="J874" s="183">
        <f t="shared" si="433"/>
        <v>-2.09676428802462</v>
      </c>
    </row>
    <row r="875" ht="17.25" spans="2:10">
      <c r="B875" s="41"/>
      <c r="C875" s="180"/>
      <c r="D875" s="39">
        <v>11</v>
      </c>
      <c r="E875" s="40">
        <v>1.1189</v>
      </c>
      <c r="F875" s="67">
        <v>1</v>
      </c>
      <c r="G875" s="67">
        <v>5.4</v>
      </c>
      <c r="H875" s="204">
        <f t="shared" si="427"/>
        <v>40.9628504185658</v>
      </c>
      <c r="I875" s="182"/>
      <c r="J875" s="183"/>
    </row>
    <row r="876" ht="17.25" spans="2:10">
      <c r="B876" s="37" t="s">
        <v>1887</v>
      </c>
      <c r="C876" s="180"/>
      <c r="D876" s="39">
        <v>11</v>
      </c>
      <c r="E876" s="40">
        <v>1.2218</v>
      </c>
      <c r="F876" s="67">
        <v>1</v>
      </c>
      <c r="G876" s="67">
        <v>5.05</v>
      </c>
      <c r="H876" s="204">
        <f t="shared" si="427"/>
        <v>40.1128670732518</v>
      </c>
      <c r="I876" s="182">
        <f t="shared" si="432"/>
        <v>40.5378587459088</v>
      </c>
      <c r="J876" s="183">
        <f t="shared" si="433"/>
        <v>-2.09676428802462</v>
      </c>
    </row>
    <row r="877" ht="17.25" spans="2:10">
      <c r="B877" s="41"/>
      <c r="C877" s="180"/>
      <c r="D877" s="39">
        <v>11</v>
      </c>
      <c r="E877" s="40">
        <v>1.1189</v>
      </c>
      <c r="F877" s="67">
        <v>1</v>
      </c>
      <c r="G877" s="67">
        <v>5.4</v>
      </c>
      <c r="H877" s="204">
        <f t="shared" si="427"/>
        <v>40.9628504185658</v>
      </c>
      <c r="I877" s="182"/>
      <c r="J877" s="183"/>
    </row>
    <row r="878" ht="17.25" spans="1:10">
      <c r="A878">
        <v>8.21</v>
      </c>
      <c r="B878" s="37" t="s">
        <v>1888</v>
      </c>
      <c r="C878" s="180"/>
      <c r="D878" s="39">
        <v>10.95</v>
      </c>
      <c r="E878" s="40">
        <v>0.3556</v>
      </c>
      <c r="F878" s="67">
        <v>1</v>
      </c>
      <c r="G878" s="67">
        <v>8.4</v>
      </c>
      <c r="H878" s="204">
        <f t="shared" si="427"/>
        <v>82.4813192993733</v>
      </c>
      <c r="I878" s="182">
        <f t="shared" ref="I878:I880" si="434">(H878+H879)/2</f>
        <v>82.7847946548465</v>
      </c>
      <c r="J878" s="183">
        <f t="shared" ref="J878:J880" si="435">(H878-H879)/I878*100</f>
        <v>-0.733166897951388</v>
      </c>
    </row>
    <row r="879" ht="17.25" spans="2:10">
      <c r="B879" s="41"/>
      <c r="C879" s="180"/>
      <c r="D879" s="39">
        <v>10.95</v>
      </c>
      <c r="E879" s="40">
        <v>0.3428</v>
      </c>
      <c r="F879" s="67">
        <v>1</v>
      </c>
      <c r="G879" s="67">
        <v>8.65</v>
      </c>
      <c r="H879" s="204">
        <f t="shared" si="427"/>
        <v>83.0882700103196</v>
      </c>
      <c r="I879" s="182"/>
      <c r="J879" s="183"/>
    </row>
    <row r="880" ht="17.25" spans="2:10">
      <c r="B880" s="37" t="s">
        <v>1889</v>
      </c>
      <c r="C880" s="180"/>
      <c r="D880" s="39">
        <v>10.95</v>
      </c>
      <c r="E880" s="40">
        <v>0.3789</v>
      </c>
      <c r="F880" s="67">
        <v>1</v>
      </c>
      <c r="G880" s="67">
        <v>7.8</v>
      </c>
      <c r="H880" s="204">
        <f t="shared" si="427"/>
        <v>83.3637858578476</v>
      </c>
      <c r="I880" s="182">
        <f t="shared" si="434"/>
        <v>83.1361355214229</v>
      </c>
      <c r="J880" s="183">
        <f t="shared" si="435"/>
        <v>0.547656768015234</v>
      </c>
    </row>
    <row r="881" ht="17.25" spans="2:10">
      <c r="B881" s="41"/>
      <c r="C881" s="180"/>
      <c r="D881" s="39">
        <v>10.95</v>
      </c>
      <c r="E881" s="40">
        <v>0.3602</v>
      </c>
      <c r="F881" s="67">
        <v>1</v>
      </c>
      <c r="G881" s="67">
        <v>8.25</v>
      </c>
      <c r="H881" s="204">
        <f t="shared" si="427"/>
        <v>82.9084851849982</v>
      </c>
      <c r="I881" s="182"/>
      <c r="J881" s="183"/>
    </row>
    <row r="882" ht="17.25" spans="2:10">
      <c r="B882" s="37" t="s">
        <v>1890</v>
      </c>
      <c r="C882" s="180"/>
      <c r="D882" s="39">
        <v>10.95</v>
      </c>
      <c r="E882" s="40">
        <v>0.3842</v>
      </c>
      <c r="F882" s="67">
        <v>1</v>
      </c>
      <c r="G882" s="67">
        <v>7.4</v>
      </c>
      <c r="H882" s="204">
        <f t="shared" si="427"/>
        <v>86.6577795911476</v>
      </c>
      <c r="I882" s="182">
        <f t="shared" ref="I882:I886" si="436">(H882+H883)/2</f>
        <v>86.4868527572392</v>
      </c>
      <c r="J882" s="183">
        <f t="shared" ref="J882:J886" si="437">(H882-H883)/I882*100</f>
        <v>0.395266629456835</v>
      </c>
    </row>
    <row r="883" ht="17.25" spans="2:10">
      <c r="B883" s="41"/>
      <c r="C883" s="180"/>
      <c r="D883" s="39">
        <v>10.95</v>
      </c>
      <c r="E883" s="40">
        <v>0.3319</v>
      </c>
      <c r="F883" s="67">
        <v>1</v>
      </c>
      <c r="G883" s="67">
        <v>8.6</v>
      </c>
      <c r="H883" s="204">
        <f t="shared" si="427"/>
        <v>86.3159259233308</v>
      </c>
      <c r="I883" s="182"/>
      <c r="J883" s="183"/>
    </row>
    <row r="884" ht="17.25" spans="2:10">
      <c r="B884" s="37" t="s">
        <v>1891</v>
      </c>
      <c r="C884" s="180"/>
      <c r="D884" s="39">
        <v>10.95</v>
      </c>
      <c r="E884" s="40">
        <v>0.3668</v>
      </c>
      <c r="F884" s="67">
        <v>1</v>
      </c>
      <c r="G884" s="67">
        <v>8.1</v>
      </c>
      <c r="H884" s="204">
        <f t="shared" si="427"/>
        <v>82.924391130498</v>
      </c>
      <c r="I884" s="182">
        <f t="shared" si="436"/>
        <v>82.8044447849691</v>
      </c>
      <c r="J884" s="183">
        <f t="shared" si="437"/>
        <v>0.289709920380187</v>
      </c>
    </row>
    <row r="885" ht="17.25" spans="2:10">
      <c r="B885" s="41"/>
      <c r="C885" s="180"/>
      <c r="D885" s="39">
        <v>10.95</v>
      </c>
      <c r="E885" s="40">
        <v>0.359</v>
      </c>
      <c r="F885" s="67">
        <v>1</v>
      </c>
      <c r="G885" s="67">
        <v>8.3</v>
      </c>
      <c r="H885" s="204">
        <f t="shared" si="427"/>
        <v>82.6844984394402</v>
      </c>
      <c r="I885" s="182"/>
      <c r="J885" s="183"/>
    </row>
    <row r="886" ht="17.25" spans="1:10">
      <c r="A886">
        <v>8.21</v>
      </c>
      <c r="B886" s="37" t="s">
        <v>1892</v>
      </c>
      <c r="C886" s="180"/>
      <c r="D886" s="39">
        <v>10.95</v>
      </c>
      <c r="E886" s="40">
        <v>1.093</v>
      </c>
      <c r="F886" s="67">
        <v>2</v>
      </c>
      <c r="G886" s="67">
        <v>11.45</v>
      </c>
      <c r="H886" s="204">
        <f t="shared" si="427"/>
        <v>39.3732246091643</v>
      </c>
      <c r="I886" s="182">
        <f t="shared" si="436"/>
        <v>39.6591796641176</v>
      </c>
      <c r="J886" s="183">
        <f t="shared" si="437"/>
        <v>-1.44206237937875</v>
      </c>
    </row>
    <row r="887" ht="17.25" spans="2:10">
      <c r="B887" s="41"/>
      <c r="C887" s="180"/>
      <c r="D887" s="39">
        <v>10.95</v>
      </c>
      <c r="E887" s="40">
        <v>1.0029</v>
      </c>
      <c r="F887" s="67">
        <v>2</v>
      </c>
      <c r="G887" s="67">
        <v>12.3</v>
      </c>
      <c r="H887" s="204">
        <f t="shared" si="427"/>
        <v>39.9451347190708</v>
      </c>
      <c r="I887" s="182"/>
      <c r="J887" s="183"/>
    </row>
    <row r="888" ht="17.25" spans="1:10">
      <c r="A888">
        <v>8.25</v>
      </c>
      <c r="B888" s="37" t="s">
        <v>1893</v>
      </c>
      <c r="C888" s="180"/>
      <c r="D888" s="39">
        <v>10.95</v>
      </c>
      <c r="E888" s="40">
        <v>0.9291</v>
      </c>
      <c r="F888" s="67">
        <v>2</v>
      </c>
      <c r="G888" s="67">
        <v>8.75</v>
      </c>
      <c r="H888" s="204">
        <f t="shared" si="427"/>
        <v>60.6116518289589</v>
      </c>
      <c r="I888" s="182">
        <f>(H888+H889)/2</f>
        <v>60.7773224653719</v>
      </c>
      <c r="J888" s="183">
        <f>(H888-H889)/I888*100</f>
        <v>-0.545172540325191</v>
      </c>
    </row>
    <row r="889" ht="17.25" spans="2:10">
      <c r="B889" s="41"/>
      <c r="C889" s="180"/>
      <c r="D889" s="39">
        <v>10.95</v>
      </c>
      <c r="E889" s="40">
        <v>0.8741</v>
      </c>
      <c r="F889" s="67">
        <v>2</v>
      </c>
      <c r="G889" s="67">
        <v>9.25</v>
      </c>
      <c r="H889" s="204">
        <f t="shared" si="427"/>
        <v>60.942993101785</v>
      </c>
      <c r="I889" s="182"/>
      <c r="J889" s="183"/>
    </row>
    <row r="890" ht="17.25" spans="2:10">
      <c r="B890" s="37" t="s">
        <v>1894</v>
      </c>
      <c r="C890" s="180"/>
      <c r="D890" s="39">
        <v>10.95</v>
      </c>
      <c r="E890" s="40">
        <v>0.8352</v>
      </c>
      <c r="F890" s="67">
        <v>2</v>
      </c>
      <c r="G890" s="67">
        <v>9.75</v>
      </c>
      <c r="H890" s="204">
        <f t="shared" si="427"/>
        <v>60.5106100795756</v>
      </c>
      <c r="I890" s="182">
        <f>(H890+H891)/2</f>
        <v>60.6826024782756</v>
      </c>
      <c r="J890" s="183">
        <f>(H890-H891)/I890*100</f>
        <v>-0.566859006291115</v>
      </c>
    </row>
    <row r="891" ht="17.25" spans="2:10">
      <c r="B891" s="41"/>
      <c r="C891" s="180"/>
      <c r="D891" s="39">
        <v>10.95</v>
      </c>
      <c r="E891" s="40">
        <v>0.8017</v>
      </c>
      <c r="F891" s="67">
        <v>2</v>
      </c>
      <c r="G891" s="67">
        <v>10.1</v>
      </c>
      <c r="H891" s="204">
        <f t="shared" si="427"/>
        <v>60.8545948769755</v>
      </c>
      <c r="I891" s="182"/>
      <c r="J891" s="183"/>
    </row>
    <row r="892" ht="17.25" spans="2:10">
      <c r="B892" s="37" t="s">
        <v>1895</v>
      </c>
      <c r="C892" s="180"/>
      <c r="D892" s="39">
        <v>10.95</v>
      </c>
      <c r="E892" s="40">
        <v>0.8844</v>
      </c>
      <c r="F892" s="67">
        <v>2</v>
      </c>
      <c r="G892" s="67">
        <v>9.1</v>
      </c>
      <c r="H892" s="204">
        <f t="shared" ref="H892:H915" si="438">D892*100*F892*250*0.9/E892/G892/1000</f>
        <v>61.2260873454903</v>
      </c>
      <c r="I892" s="182">
        <f>(H892+H893)/2</f>
        <v>61.1253910336051</v>
      </c>
      <c r="J892" s="183">
        <f>(H892-H893)/I892*100</f>
        <v>0.329474577364509</v>
      </c>
    </row>
    <row r="893" ht="17.25" spans="2:10">
      <c r="B893" s="41"/>
      <c r="C893" s="180"/>
      <c r="D893" s="39">
        <v>10.95</v>
      </c>
      <c r="E893" s="40">
        <v>0.859</v>
      </c>
      <c r="F893" s="67">
        <v>2</v>
      </c>
      <c r="G893" s="67">
        <v>9.4</v>
      </c>
      <c r="H893" s="204">
        <f t="shared" si="438"/>
        <v>61.02469472172</v>
      </c>
      <c r="I893" s="182"/>
      <c r="J893" s="183"/>
    </row>
    <row r="894" ht="17.25" spans="2:10">
      <c r="B894" s="37" t="s">
        <v>1896</v>
      </c>
      <c r="C894" s="180"/>
      <c r="D894" s="39">
        <v>10.95</v>
      </c>
      <c r="E894" s="40">
        <v>0.9361</v>
      </c>
      <c r="F894" s="67">
        <v>2</v>
      </c>
      <c r="G894" s="67">
        <v>8.7</v>
      </c>
      <c r="H894" s="204">
        <f t="shared" si="438"/>
        <v>60.5041459614173</v>
      </c>
      <c r="I894" s="182">
        <f>(H894+H895)/2</f>
        <v>60.3613278721259</v>
      </c>
      <c r="J894" s="183">
        <f>(H894-H895)/I894*100</f>
        <v>0.473210561550147</v>
      </c>
    </row>
    <row r="895" ht="17.25" spans="2:10">
      <c r="B895" s="41"/>
      <c r="C895" s="180"/>
      <c r="D895" s="39">
        <v>10.95</v>
      </c>
      <c r="E895" s="40">
        <v>0.8705</v>
      </c>
      <c r="F895" s="67">
        <v>2</v>
      </c>
      <c r="G895" s="67">
        <v>9.4</v>
      </c>
      <c r="H895" s="204">
        <f t="shared" si="438"/>
        <v>60.2185097828345</v>
      </c>
      <c r="I895" s="182"/>
      <c r="J895" s="183"/>
    </row>
    <row r="896" ht="17.25" spans="2:10">
      <c r="B896" s="37" t="s">
        <v>1897</v>
      </c>
      <c r="C896" s="180"/>
      <c r="D896" s="39">
        <v>10.95</v>
      </c>
      <c r="E896" s="40">
        <v>0.8028</v>
      </c>
      <c r="F896" s="67">
        <v>2</v>
      </c>
      <c r="G896" s="67">
        <v>9.5</v>
      </c>
      <c r="H896" s="204">
        <f t="shared" si="438"/>
        <v>64.6093934387538</v>
      </c>
      <c r="I896" s="182">
        <f>(H896+H897)/2</f>
        <v>64.6860308763451</v>
      </c>
      <c r="J896" s="183">
        <f>(H896-H897)/I896*100</f>
        <v>-0.236952048388104</v>
      </c>
    </row>
    <row r="897" ht="17.25" spans="2:10">
      <c r="B897" s="41"/>
      <c r="C897" s="180"/>
      <c r="D897" s="39">
        <v>10.95</v>
      </c>
      <c r="E897" s="40">
        <v>0.8009</v>
      </c>
      <c r="F897" s="67">
        <v>2</v>
      </c>
      <c r="G897" s="67">
        <v>9.5</v>
      </c>
      <c r="H897" s="204">
        <f t="shared" si="438"/>
        <v>64.7626683139363</v>
      </c>
      <c r="I897" s="182"/>
      <c r="J897" s="183"/>
    </row>
    <row r="898" ht="17.25" spans="2:10">
      <c r="B898" s="37" t="s">
        <v>1898</v>
      </c>
      <c r="C898" s="180"/>
      <c r="D898" s="39">
        <v>10.95</v>
      </c>
      <c r="E898" s="40">
        <v>0.8097</v>
      </c>
      <c r="F898" s="67">
        <v>2</v>
      </c>
      <c r="G898" s="67">
        <v>9.8</v>
      </c>
      <c r="H898" s="204">
        <f t="shared" si="438"/>
        <v>62.0978291279461</v>
      </c>
      <c r="I898" s="182">
        <f>(H898+H899)/2</f>
        <v>62.0518817885987</v>
      </c>
      <c r="J898" s="183">
        <f>(H898-H899)/I898*100</f>
        <v>0.148093298778225</v>
      </c>
    </row>
    <row r="899" ht="17.25" spans="2:10">
      <c r="B899" s="41"/>
      <c r="C899" s="180"/>
      <c r="D899" s="39">
        <v>10.95</v>
      </c>
      <c r="E899" s="40">
        <v>0.8109</v>
      </c>
      <c r="F899" s="67">
        <v>2</v>
      </c>
      <c r="G899" s="67">
        <v>9.8</v>
      </c>
      <c r="H899" s="204">
        <f t="shared" si="438"/>
        <v>62.0059344492514</v>
      </c>
      <c r="I899" s="182"/>
      <c r="J899" s="183"/>
    </row>
    <row r="900" ht="17.25" spans="2:10">
      <c r="B900" s="37" t="s">
        <v>1899</v>
      </c>
      <c r="C900" s="180"/>
      <c r="D900" s="39">
        <v>10.95</v>
      </c>
      <c r="E900" s="40">
        <v>0.8367</v>
      </c>
      <c r="F900" s="67">
        <v>2</v>
      </c>
      <c r="G900" s="67">
        <v>9.35</v>
      </c>
      <c r="H900" s="204">
        <f t="shared" si="438"/>
        <v>62.9861775539121</v>
      </c>
      <c r="I900" s="182">
        <f>(H900+H901)/2</f>
        <v>62.9047889101251</v>
      </c>
      <c r="J900" s="183">
        <f>(H900-H901)/I900*100</f>
        <v>0.258767719269589</v>
      </c>
    </row>
    <row r="901" ht="17.25" spans="2:10">
      <c r="B901" s="41"/>
      <c r="C901" s="180"/>
      <c r="D901" s="39">
        <v>10.95</v>
      </c>
      <c r="E901" s="40">
        <v>0.8213</v>
      </c>
      <c r="F901" s="67">
        <v>2</v>
      </c>
      <c r="G901" s="67">
        <v>9.55</v>
      </c>
      <c r="H901" s="204">
        <f t="shared" si="438"/>
        <v>62.8234002663381</v>
      </c>
      <c r="I901" s="182"/>
      <c r="J901" s="183"/>
    </row>
    <row r="902" ht="17.25" spans="2:10">
      <c r="B902" s="37" t="s">
        <v>1900</v>
      </c>
      <c r="C902" s="180"/>
      <c r="D902" s="39">
        <v>10.95</v>
      </c>
      <c r="E902" s="40">
        <v>0.7781</v>
      </c>
      <c r="F902" s="67">
        <v>2</v>
      </c>
      <c r="G902" s="67">
        <v>10.4</v>
      </c>
      <c r="H902" s="204">
        <f t="shared" si="438"/>
        <v>60.8916690557868</v>
      </c>
      <c r="I902" s="182">
        <f>(H902+H903)/2</f>
        <v>60.4002418227262</v>
      </c>
      <c r="J902" s="183">
        <f>(H902-H903)/I902*100</f>
        <v>1.62723597863364</v>
      </c>
    </row>
    <row r="903" ht="17.25" spans="2:10">
      <c r="B903" s="41"/>
      <c r="C903" s="180"/>
      <c r="D903" s="39">
        <v>10.95</v>
      </c>
      <c r="E903" s="40">
        <v>0.875</v>
      </c>
      <c r="F903" s="67">
        <v>2</v>
      </c>
      <c r="G903" s="67">
        <v>9.4</v>
      </c>
      <c r="H903" s="204">
        <f t="shared" si="438"/>
        <v>59.9088145896657</v>
      </c>
      <c r="I903" s="182"/>
      <c r="J903" s="183"/>
    </row>
    <row r="904" ht="17.25" spans="2:10">
      <c r="B904" s="37" t="s">
        <v>1901</v>
      </c>
      <c r="C904" s="180"/>
      <c r="D904" s="39">
        <v>10.95</v>
      </c>
      <c r="E904" s="40">
        <v>0.8131</v>
      </c>
      <c r="F904" s="67">
        <v>2</v>
      </c>
      <c r="G904" s="67">
        <v>10</v>
      </c>
      <c r="H904" s="204">
        <f t="shared" si="438"/>
        <v>60.6014020415693</v>
      </c>
      <c r="I904" s="182">
        <f>(H904+H905)/2</f>
        <v>60.7737993510258</v>
      </c>
      <c r="J904" s="183">
        <f>(H904-H905)/I904*100</f>
        <v>-0.567340897878647</v>
      </c>
    </row>
    <row r="905" ht="17.25" spans="2:10">
      <c r="B905" s="41"/>
      <c r="C905" s="180"/>
      <c r="D905" s="39">
        <v>10.95</v>
      </c>
      <c r="E905" s="40">
        <v>0.8085</v>
      </c>
      <c r="F905" s="67">
        <v>2</v>
      </c>
      <c r="G905" s="67">
        <v>10</v>
      </c>
      <c r="H905" s="204">
        <f t="shared" si="438"/>
        <v>60.9461966604824</v>
      </c>
      <c r="I905" s="182"/>
      <c r="J905" s="183"/>
    </row>
    <row r="906" ht="17.25" spans="2:10">
      <c r="B906" s="37" t="s">
        <v>1902</v>
      </c>
      <c r="C906" s="180"/>
      <c r="D906" s="39">
        <v>10.95</v>
      </c>
      <c r="E906" s="40">
        <v>0.8118</v>
      </c>
      <c r="F906" s="67">
        <v>2</v>
      </c>
      <c r="G906" s="67">
        <v>9.8</v>
      </c>
      <c r="H906" s="204">
        <f t="shared" si="438"/>
        <v>61.9371917281325</v>
      </c>
      <c r="I906" s="182">
        <f t="shared" ref="I906:I910" si="439">(H906+H907)/2</f>
        <v>61.8661582956401</v>
      </c>
      <c r="J906" s="183">
        <f t="shared" ref="J906:J910" si="440">(H906-H907)/I906*100</f>
        <v>0.229635828211332</v>
      </c>
    </row>
    <row r="907" ht="17.25" spans="2:10">
      <c r="B907" s="41"/>
      <c r="C907" s="180"/>
      <c r="D907" s="39">
        <v>10.95</v>
      </c>
      <c r="E907" s="40">
        <v>0.8014</v>
      </c>
      <c r="F907" s="67">
        <v>2</v>
      </c>
      <c r="G907" s="67">
        <v>9.95</v>
      </c>
      <c r="H907" s="204">
        <f t="shared" si="438"/>
        <v>61.7951248631478</v>
      </c>
      <c r="I907" s="182"/>
      <c r="J907" s="183"/>
    </row>
    <row r="908" ht="17.25" spans="2:10">
      <c r="B908" s="37" t="s">
        <v>1903</v>
      </c>
      <c r="C908" s="180"/>
      <c r="D908" s="39">
        <v>10.95</v>
      </c>
      <c r="E908" s="40">
        <v>0.8037</v>
      </c>
      <c r="F908" s="67">
        <v>2</v>
      </c>
      <c r="G908" s="67">
        <v>10.1</v>
      </c>
      <c r="H908" s="204">
        <f t="shared" si="438"/>
        <v>60.7031587817236</v>
      </c>
      <c r="I908" s="182">
        <f t="shared" si="439"/>
        <v>60.8058439149656</v>
      </c>
      <c r="J908" s="183">
        <f t="shared" si="440"/>
        <v>-0.337747580267492</v>
      </c>
    </row>
    <row r="909" ht="17.25" spans="2:10">
      <c r="B909" s="41"/>
      <c r="C909" s="180"/>
      <c r="D909" s="39">
        <v>10.95</v>
      </c>
      <c r="E909" s="40">
        <v>0.809</v>
      </c>
      <c r="F909" s="67">
        <v>2</v>
      </c>
      <c r="G909" s="67">
        <v>10</v>
      </c>
      <c r="H909" s="204">
        <f t="shared" si="438"/>
        <v>60.9085290482077</v>
      </c>
      <c r="I909" s="182"/>
      <c r="J909" s="183"/>
    </row>
    <row r="910" ht="17.25" spans="2:10">
      <c r="B910" s="37" t="s">
        <v>1904</v>
      </c>
      <c r="C910" s="180"/>
      <c r="D910" s="39">
        <v>10.95</v>
      </c>
      <c r="E910" s="40">
        <v>2.4141</v>
      </c>
      <c r="F910" s="67">
        <v>1</v>
      </c>
      <c r="G910" s="67">
        <v>9.45</v>
      </c>
      <c r="H910" s="204">
        <f t="shared" si="438"/>
        <v>10.7996473101481</v>
      </c>
      <c r="I910" s="182">
        <f t="shared" si="439"/>
        <v>10.8717593710731</v>
      </c>
      <c r="J910" s="183">
        <f t="shared" si="440"/>
        <v>-1.32659413189099</v>
      </c>
    </row>
    <row r="911" ht="17.25" spans="2:10">
      <c r="B911" s="41"/>
      <c r="C911" s="180"/>
      <c r="D911" s="39">
        <v>10.95</v>
      </c>
      <c r="E911" s="40">
        <v>2.5014</v>
      </c>
      <c r="F911" s="67">
        <v>1</v>
      </c>
      <c r="G911" s="67">
        <v>9</v>
      </c>
      <c r="H911" s="204">
        <f t="shared" si="438"/>
        <v>10.9438714319981</v>
      </c>
      <c r="I911" s="182"/>
      <c r="J911" s="183"/>
    </row>
    <row r="912" ht="17.25" spans="1:10">
      <c r="A912">
        <v>8.25</v>
      </c>
      <c r="B912" s="37" t="s">
        <v>1905</v>
      </c>
      <c r="C912" s="180"/>
      <c r="D912" s="39">
        <v>11</v>
      </c>
      <c r="E912" s="40">
        <v>2.0938</v>
      </c>
      <c r="F912" s="67">
        <v>5</v>
      </c>
      <c r="G912" s="67">
        <v>9.2</v>
      </c>
      <c r="H912" s="204">
        <f t="shared" si="438"/>
        <v>64.2424632559067</v>
      </c>
      <c r="I912" s="182">
        <f>(H912+H913)/2</f>
        <v>64.3615096795745</v>
      </c>
      <c r="J912" s="183">
        <f>(H912-H913)/I912*100</f>
        <v>-0.369930488767148</v>
      </c>
    </row>
    <row r="913" ht="17.25" spans="2:10">
      <c r="B913" s="41"/>
      <c r="C913" s="180"/>
      <c r="D913" s="39">
        <v>11</v>
      </c>
      <c r="E913" s="40">
        <v>2.0548</v>
      </c>
      <c r="F913" s="67">
        <v>5</v>
      </c>
      <c r="G913" s="67">
        <v>9.34</v>
      </c>
      <c r="H913" s="204">
        <f t="shared" si="438"/>
        <v>64.4805561032423</v>
      </c>
      <c r="I913" s="182"/>
      <c r="J913" s="183"/>
    </row>
    <row r="914" ht="17.25" spans="2:10">
      <c r="B914" s="37" t="s">
        <v>1906</v>
      </c>
      <c r="C914" s="180"/>
      <c r="D914" s="39">
        <v>11</v>
      </c>
      <c r="E914" s="40">
        <v>2.0483</v>
      </c>
      <c r="F914" s="67">
        <v>5</v>
      </c>
      <c r="G914" s="67">
        <v>9.11</v>
      </c>
      <c r="H914" s="204">
        <f t="shared" si="438"/>
        <v>66.3182817718294</v>
      </c>
      <c r="I914" s="182">
        <f>(H914+H915)/2</f>
        <v>66.6242523916663</v>
      </c>
      <c r="J914" s="183">
        <f>(H914-H915)/I914*100</f>
        <v>-0.918496219779292</v>
      </c>
    </row>
    <row r="915" ht="17.25" spans="2:10">
      <c r="B915" s="41"/>
      <c r="C915" s="180"/>
      <c r="D915" s="39">
        <v>11</v>
      </c>
      <c r="E915" s="40">
        <v>2.2143</v>
      </c>
      <c r="F915" s="67">
        <v>5</v>
      </c>
      <c r="G915" s="67">
        <v>8.35</v>
      </c>
      <c r="H915" s="204">
        <f t="shared" si="438"/>
        <v>66.9302230115031</v>
      </c>
      <c r="I915" s="182"/>
      <c r="J915" s="183"/>
    </row>
    <row r="916" ht="17.25" spans="2:10">
      <c r="B916" s="37" t="s">
        <v>1907</v>
      </c>
      <c r="C916" s="180"/>
      <c r="D916" s="39">
        <v>11</v>
      </c>
      <c r="E916" s="40">
        <v>2.0752</v>
      </c>
      <c r="F916" s="67">
        <v>5</v>
      </c>
      <c r="G916" s="67">
        <v>9.5</v>
      </c>
      <c r="H916" s="204">
        <f t="shared" ref="H916:H935" si="441">D916*100*F916*250*0.9/E916/G916/1000</f>
        <v>62.7713752384044</v>
      </c>
      <c r="I916" s="182">
        <f>(H916+H917)/2</f>
        <v>62.8731155479783</v>
      </c>
      <c r="J916" s="183">
        <f>(H916-H917)/I916*100</f>
        <v>-0.323636927125804</v>
      </c>
    </row>
    <row r="917" ht="17.25" spans="2:10">
      <c r="B917" s="41"/>
      <c r="C917" s="180"/>
      <c r="D917" s="39">
        <v>11</v>
      </c>
      <c r="E917" s="40">
        <v>2.1244</v>
      </c>
      <c r="F917" s="67">
        <v>5</v>
      </c>
      <c r="G917" s="67">
        <v>9.25</v>
      </c>
      <c r="H917" s="204">
        <f t="shared" si="441"/>
        <v>62.9748558575521</v>
      </c>
      <c r="I917" s="182"/>
      <c r="J917" s="183"/>
    </row>
    <row r="918" ht="17.25" spans="2:10">
      <c r="B918" s="37" t="s">
        <v>1908</v>
      </c>
      <c r="C918" s="180"/>
      <c r="D918" s="39">
        <v>11</v>
      </c>
      <c r="E918" s="40">
        <v>2.0511</v>
      </c>
      <c r="F918" s="67">
        <v>5</v>
      </c>
      <c r="G918" s="67">
        <v>9.71</v>
      </c>
      <c r="H918" s="204">
        <f t="shared" si="441"/>
        <v>62.135406381374</v>
      </c>
      <c r="I918" s="182">
        <f>(H918+H919)/2</f>
        <v>62.6332872917336</v>
      </c>
      <c r="J918" s="183">
        <f>(H918-H919)/I918*100</f>
        <v>-1.58982845029533</v>
      </c>
    </row>
    <row r="919" ht="17.25" spans="2:10">
      <c r="B919" s="41"/>
      <c r="C919" s="180"/>
      <c r="D919" s="39">
        <v>11</v>
      </c>
      <c r="E919" s="40">
        <v>2.1423</v>
      </c>
      <c r="F919" s="67">
        <v>5</v>
      </c>
      <c r="G919" s="67">
        <v>9.15</v>
      </c>
      <c r="H919" s="204">
        <f t="shared" si="441"/>
        <v>63.1311682020932</v>
      </c>
      <c r="I919" s="182"/>
      <c r="J919" s="183"/>
    </row>
    <row r="920" ht="17.25" spans="2:10">
      <c r="B920" s="37" t="s">
        <v>1909</v>
      </c>
      <c r="C920" s="180"/>
      <c r="D920" s="39">
        <v>11</v>
      </c>
      <c r="E920" s="40">
        <v>2.048</v>
      </c>
      <c r="F920" s="67">
        <v>5</v>
      </c>
      <c r="G920" s="67">
        <v>9.7</v>
      </c>
      <c r="H920" s="204">
        <f t="shared" si="441"/>
        <v>62.2936130798969</v>
      </c>
      <c r="I920" s="182">
        <f>(H920+H921)/2</f>
        <v>62.0523378583527</v>
      </c>
      <c r="J920" s="183">
        <f>(H920-H921)/I920*100</f>
        <v>0.77765070542537</v>
      </c>
    </row>
    <row r="921" ht="17.25" spans="2:10">
      <c r="B921" s="41"/>
      <c r="C921" s="180"/>
      <c r="D921" s="39">
        <v>11</v>
      </c>
      <c r="E921" s="40">
        <v>2.0513</v>
      </c>
      <c r="F921" s="67">
        <v>5</v>
      </c>
      <c r="G921" s="67">
        <v>9.76</v>
      </c>
      <c r="H921" s="204">
        <f t="shared" si="441"/>
        <v>61.8110626368085</v>
      </c>
      <c r="I921" s="182"/>
      <c r="J921" s="183"/>
    </row>
    <row r="922" ht="17.25" spans="2:10">
      <c r="B922" s="37" t="s">
        <v>1910</v>
      </c>
      <c r="C922" s="180"/>
      <c r="D922" s="39">
        <v>11</v>
      </c>
      <c r="E922" s="40">
        <v>2.0675</v>
      </c>
      <c r="F922" s="67">
        <v>5</v>
      </c>
      <c r="G922" s="67">
        <v>9.72</v>
      </c>
      <c r="H922" s="204">
        <f t="shared" si="441"/>
        <v>61.5791123650858</v>
      </c>
      <c r="I922" s="182">
        <f>(H922+H923)/2</f>
        <v>61.4654597459302</v>
      </c>
      <c r="J922" s="183">
        <f>(H922-H923)/I922*100</f>
        <v>0.369809709795852</v>
      </c>
    </row>
    <row r="923" ht="17.25" spans="2:10">
      <c r="B923" s="41"/>
      <c r="C923" s="180"/>
      <c r="D923" s="39">
        <v>11</v>
      </c>
      <c r="E923" s="40">
        <v>2.1121</v>
      </c>
      <c r="F923" s="67">
        <v>5</v>
      </c>
      <c r="G923" s="67">
        <v>9.55</v>
      </c>
      <c r="H923" s="204">
        <f t="shared" si="441"/>
        <v>61.3518071267747</v>
      </c>
      <c r="I923" s="182"/>
      <c r="J923" s="183"/>
    </row>
    <row r="924" ht="17.25" spans="2:10">
      <c r="B924" s="37" t="s">
        <v>1911</v>
      </c>
      <c r="C924" s="180"/>
      <c r="D924" s="39">
        <v>11</v>
      </c>
      <c r="E924" s="40">
        <v>2.0839</v>
      </c>
      <c r="F924" s="67">
        <v>5</v>
      </c>
      <c r="G924" s="67">
        <v>9.72</v>
      </c>
      <c r="H924" s="204">
        <f t="shared" si="441"/>
        <v>61.0944934089039</v>
      </c>
      <c r="I924" s="182">
        <f>(H924+H925)/2</f>
        <v>61.146139358344</v>
      </c>
      <c r="J924" s="183">
        <f>(H924-H925)/I924*100</f>
        <v>-0.168926280488162</v>
      </c>
    </row>
    <row r="925" ht="17.25" spans="2:10">
      <c r="B925" s="41"/>
      <c r="C925" s="180"/>
      <c r="D925" s="39">
        <v>11</v>
      </c>
      <c r="E925" s="40">
        <v>2.0634</v>
      </c>
      <c r="F925" s="67">
        <v>5</v>
      </c>
      <c r="G925" s="67">
        <v>9.8</v>
      </c>
      <c r="H925" s="204">
        <f t="shared" si="441"/>
        <v>61.1977853077841</v>
      </c>
      <c r="I925" s="182"/>
      <c r="J925" s="183"/>
    </row>
    <row r="926" ht="17.25" spans="2:10">
      <c r="B926" s="37" t="s">
        <v>1912</v>
      </c>
      <c r="C926" s="180"/>
      <c r="D926" s="39">
        <v>11</v>
      </c>
      <c r="E926" s="40">
        <v>2.131</v>
      </c>
      <c r="F926" s="67">
        <v>5</v>
      </c>
      <c r="G926" s="67">
        <v>9.48</v>
      </c>
      <c r="H926" s="204">
        <f t="shared" si="441"/>
        <v>61.2566751213253</v>
      </c>
      <c r="I926" s="182">
        <f>(H926+H927)/2</f>
        <v>62.1957977971419</v>
      </c>
      <c r="J926" s="183">
        <f>(H926-H927)/I926*100</f>
        <v>-3.01989108292992</v>
      </c>
    </row>
    <row r="927" ht="17.25" spans="2:10">
      <c r="B927" s="41"/>
      <c r="C927" s="180"/>
      <c r="D927" s="39">
        <v>11</v>
      </c>
      <c r="E927" s="40">
        <v>2.0852</v>
      </c>
      <c r="F927" s="67">
        <v>5</v>
      </c>
      <c r="G927" s="67">
        <v>9.4</v>
      </c>
      <c r="H927" s="204">
        <f t="shared" si="441"/>
        <v>63.1349204729584</v>
      </c>
      <c r="I927" s="182"/>
      <c r="J927" s="183"/>
    </row>
    <row r="928" ht="17.25" spans="2:10">
      <c r="B928" s="37" t="s">
        <v>1913</v>
      </c>
      <c r="C928" s="180"/>
      <c r="D928" s="39">
        <v>11</v>
      </c>
      <c r="E928" s="40">
        <v>2.0863</v>
      </c>
      <c r="F928" s="67">
        <v>5</v>
      </c>
      <c r="G928" s="67">
        <v>9.6</v>
      </c>
      <c r="H928" s="204">
        <f t="shared" si="441"/>
        <v>61.7870152902267</v>
      </c>
      <c r="I928" s="182">
        <f>(H928+H929)/2</f>
        <v>61.2755330741935</v>
      </c>
      <c r="J928" s="183">
        <f>(H928-H929)/I928*100</f>
        <v>1.66945007369882</v>
      </c>
    </row>
    <row r="929" ht="17.25" spans="2:10">
      <c r="B929" s="41"/>
      <c r="C929" s="180"/>
      <c r="D929" s="39">
        <v>11</v>
      </c>
      <c r="E929" s="40">
        <v>2.0468</v>
      </c>
      <c r="F929" s="67">
        <v>5</v>
      </c>
      <c r="G929" s="67">
        <v>9.95</v>
      </c>
      <c r="H929" s="204">
        <f t="shared" si="441"/>
        <v>60.7640508581602</v>
      </c>
      <c r="I929" s="182"/>
      <c r="J929" s="183"/>
    </row>
    <row r="930" ht="17.25" spans="2:10">
      <c r="B930" s="37" t="s">
        <v>1914</v>
      </c>
      <c r="C930" s="180"/>
      <c r="D930" s="39">
        <v>11</v>
      </c>
      <c r="E930" s="40">
        <v>2.0113</v>
      </c>
      <c r="F930" s="67">
        <v>5</v>
      </c>
      <c r="G930" s="67">
        <v>9.95</v>
      </c>
      <c r="H930" s="204">
        <f t="shared" si="441"/>
        <v>61.8365531230957</v>
      </c>
      <c r="I930" s="182">
        <f t="shared" ref="I930:I931" si="442">(H930+H931)/2</f>
        <v>61.3647480480029</v>
      </c>
      <c r="J930" s="183">
        <f t="shared" ref="J930:J931" si="443">(H930-H931)/I930*100</f>
        <v>1.5377072019386</v>
      </c>
    </row>
    <row r="931" ht="17.25" spans="2:10">
      <c r="B931" s="41"/>
      <c r="C931" s="180"/>
      <c r="D931" s="39">
        <v>11</v>
      </c>
      <c r="E931" s="40">
        <v>2.0653</v>
      </c>
      <c r="F931" s="67">
        <v>5</v>
      </c>
      <c r="G931" s="67">
        <v>9.84</v>
      </c>
      <c r="H931" s="204">
        <f t="shared" si="441"/>
        <v>60.8929429729101</v>
      </c>
      <c r="I931" s="182"/>
      <c r="J931" s="183"/>
    </row>
    <row r="932" ht="17.25" spans="2:10">
      <c r="B932" s="37" t="s">
        <v>1915</v>
      </c>
      <c r="C932" s="180" t="s">
        <v>1916</v>
      </c>
      <c r="D932" s="39">
        <v>10.85</v>
      </c>
      <c r="E932" s="40">
        <v>1.112</v>
      </c>
      <c r="F932" s="67">
        <v>1</v>
      </c>
      <c r="G932" s="67">
        <v>17.05</v>
      </c>
      <c r="H932" s="204">
        <f t="shared" si="441"/>
        <v>12.8760627861347</v>
      </c>
      <c r="I932" s="182">
        <f>(H932+H933)/2</f>
        <v>12.8760627861347</v>
      </c>
      <c r="J932" s="183">
        <f>(H932-H933)/I932*100</f>
        <v>0</v>
      </c>
    </row>
    <row r="933" ht="17.25" spans="2:10">
      <c r="B933" s="41"/>
      <c r="C933" s="180"/>
      <c r="D933" s="39">
        <v>10.85</v>
      </c>
      <c r="E933" s="40">
        <v>1.112</v>
      </c>
      <c r="F933" s="67">
        <v>1</v>
      </c>
      <c r="G933" s="67">
        <v>17.05</v>
      </c>
      <c r="H933" s="204">
        <f t="shared" si="441"/>
        <v>12.8760627861347</v>
      </c>
      <c r="I933" s="182"/>
      <c r="J933" s="183"/>
    </row>
  </sheetData>
  <mergeCells count="1939"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3:B74"/>
    <mergeCell ref="B75:B76"/>
    <mergeCell ref="B77:B78"/>
    <mergeCell ref="B79:B80"/>
    <mergeCell ref="B81:B82"/>
    <mergeCell ref="B83:B84"/>
    <mergeCell ref="B85:B86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B664:B665"/>
    <mergeCell ref="B666:B667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B706:B707"/>
    <mergeCell ref="B708:B709"/>
    <mergeCell ref="B710:B711"/>
    <mergeCell ref="B712:B713"/>
    <mergeCell ref="B714:B715"/>
    <mergeCell ref="B716:B717"/>
    <mergeCell ref="B718:B719"/>
    <mergeCell ref="B720:B721"/>
    <mergeCell ref="B722:B723"/>
    <mergeCell ref="B724:B725"/>
    <mergeCell ref="B726:B727"/>
    <mergeCell ref="B728:B729"/>
    <mergeCell ref="B730:B73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  <mergeCell ref="B762:B763"/>
    <mergeCell ref="B764:B765"/>
    <mergeCell ref="B766:B767"/>
    <mergeCell ref="B768:B769"/>
    <mergeCell ref="B770:B771"/>
    <mergeCell ref="B772:B773"/>
    <mergeCell ref="B774:B775"/>
    <mergeCell ref="B776:B777"/>
    <mergeCell ref="B778:B7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0:B861"/>
    <mergeCell ref="B862:B863"/>
    <mergeCell ref="B864:B865"/>
    <mergeCell ref="B866:B867"/>
    <mergeCell ref="B868:B869"/>
    <mergeCell ref="B870:B871"/>
    <mergeCell ref="B872:B873"/>
    <mergeCell ref="B874:B875"/>
    <mergeCell ref="B876:B877"/>
    <mergeCell ref="B878:B879"/>
    <mergeCell ref="B880:B881"/>
    <mergeCell ref="B882:B883"/>
    <mergeCell ref="B884:B885"/>
    <mergeCell ref="B886:B887"/>
    <mergeCell ref="B888:B889"/>
    <mergeCell ref="B890:B891"/>
    <mergeCell ref="B892:B893"/>
    <mergeCell ref="B894:B895"/>
    <mergeCell ref="B896:B897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B916:B917"/>
    <mergeCell ref="B918:B919"/>
    <mergeCell ref="B920:B921"/>
    <mergeCell ref="B922:B923"/>
    <mergeCell ref="B924:B925"/>
    <mergeCell ref="B926:B927"/>
    <mergeCell ref="B928:B929"/>
    <mergeCell ref="B930:B931"/>
    <mergeCell ref="B932:B933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3:C74"/>
    <mergeCell ref="C75:C76"/>
    <mergeCell ref="C77:C78"/>
    <mergeCell ref="C79:C80"/>
    <mergeCell ref="C81:C82"/>
    <mergeCell ref="C83:C84"/>
    <mergeCell ref="C85:C86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4:C275"/>
    <mergeCell ref="C276:C277"/>
    <mergeCell ref="C278:C279"/>
    <mergeCell ref="C280:C281"/>
    <mergeCell ref="C282:C283"/>
    <mergeCell ref="C284:C285"/>
    <mergeCell ref="C286:C287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76:C877"/>
    <mergeCell ref="C878:C879"/>
    <mergeCell ref="C880:C881"/>
    <mergeCell ref="C882:C883"/>
    <mergeCell ref="C884:C885"/>
    <mergeCell ref="C886:C887"/>
    <mergeCell ref="C888:C889"/>
    <mergeCell ref="C890:C891"/>
    <mergeCell ref="C892:C893"/>
    <mergeCell ref="C894:C895"/>
    <mergeCell ref="C896:C897"/>
    <mergeCell ref="C898:C899"/>
    <mergeCell ref="C900:C901"/>
    <mergeCell ref="C902:C903"/>
    <mergeCell ref="C904:C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26:C927"/>
    <mergeCell ref="C928:C929"/>
    <mergeCell ref="C930:C931"/>
    <mergeCell ref="C932:C933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3:I74"/>
    <mergeCell ref="I75:I76"/>
    <mergeCell ref="I77:I78"/>
    <mergeCell ref="I79:I80"/>
    <mergeCell ref="I81:I82"/>
    <mergeCell ref="I83:I84"/>
    <mergeCell ref="I85:I86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9:I140"/>
    <mergeCell ref="I141:I142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2:I183"/>
    <mergeCell ref="I184:I185"/>
    <mergeCell ref="I186:I187"/>
    <mergeCell ref="I188:I189"/>
    <mergeCell ref="I190:I191"/>
    <mergeCell ref="I192:I193"/>
    <mergeCell ref="I194:I195"/>
    <mergeCell ref="I196:I197"/>
    <mergeCell ref="I198:I199"/>
    <mergeCell ref="I200:I201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30:I231"/>
    <mergeCell ref="I232:I233"/>
    <mergeCell ref="I234:I235"/>
    <mergeCell ref="I236:I237"/>
    <mergeCell ref="I238:I239"/>
    <mergeCell ref="I240:I241"/>
    <mergeCell ref="I242:I243"/>
    <mergeCell ref="I244:I245"/>
    <mergeCell ref="I246:I247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4:I275"/>
    <mergeCell ref="I276:I277"/>
    <mergeCell ref="I278:I279"/>
    <mergeCell ref="I280:I281"/>
    <mergeCell ref="I282:I283"/>
    <mergeCell ref="I284:I285"/>
    <mergeCell ref="I286:I287"/>
    <mergeCell ref="I288:I289"/>
    <mergeCell ref="I290:I291"/>
    <mergeCell ref="I292:I293"/>
    <mergeCell ref="I294:I295"/>
    <mergeCell ref="I296:I297"/>
    <mergeCell ref="I298:I299"/>
    <mergeCell ref="I300:I301"/>
    <mergeCell ref="I302:I303"/>
    <mergeCell ref="I304:I305"/>
    <mergeCell ref="I306:I307"/>
    <mergeCell ref="I308:I309"/>
    <mergeCell ref="I310:I311"/>
    <mergeCell ref="I312:I313"/>
    <mergeCell ref="I314:I315"/>
    <mergeCell ref="I316:I317"/>
    <mergeCell ref="I318:I319"/>
    <mergeCell ref="I320:I321"/>
    <mergeCell ref="I322:I323"/>
    <mergeCell ref="I324:I325"/>
    <mergeCell ref="I326:I327"/>
    <mergeCell ref="I328:I329"/>
    <mergeCell ref="I330:I331"/>
    <mergeCell ref="I332:I333"/>
    <mergeCell ref="I334:I335"/>
    <mergeCell ref="I336:I337"/>
    <mergeCell ref="I338:I339"/>
    <mergeCell ref="I340:I341"/>
    <mergeCell ref="I342:I343"/>
    <mergeCell ref="I344:I345"/>
    <mergeCell ref="I346:I347"/>
    <mergeCell ref="I348:I349"/>
    <mergeCell ref="I350:I351"/>
    <mergeCell ref="I352:I353"/>
    <mergeCell ref="I354:I355"/>
    <mergeCell ref="I356:I357"/>
    <mergeCell ref="I358:I359"/>
    <mergeCell ref="I360:I361"/>
    <mergeCell ref="I362:I363"/>
    <mergeCell ref="I364:I365"/>
    <mergeCell ref="I366:I367"/>
    <mergeCell ref="I368:I369"/>
    <mergeCell ref="I370:I371"/>
    <mergeCell ref="I372:I373"/>
    <mergeCell ref="I374:I375"/>
    <mergeCell ref="I376:I377"/>
    <mergeCell ref="I378:I379"/>
    <mergeCell ref="I380:I381"/>
    <mergeCell ref="I382:I383"/>
    <mergeCell ref="I384:I385"/>
    <mergeCell ref="I386:I387"/>
    <mergeCell ref="I388:I389"/>
    <mergeCell ref="I390:I391"/>
    <mergeCell ref="I392:I393"/>
    <mergeCell ref="I394:I395"/>
    <mergeCell ref="I396:I397"/>
    <mergeCell ref="I398:I399"/>
    <mergeCell ref="I400:I401"/>
    <mergeCell ref="I402:I403"/>
    <mergeCell ref="I404:I405"/>
    <mergeCell ref="I406:I407"/>
    <mergeCell ref="I408:I409"/>
    <mergeCell ref="I410:I411"/>
    <mergeCell ref="I412:I413"/>
    <mergeCell ref="I414:I415"/>
    <mergeCell ref="I416:I417"/>
    <mergeCell ref="I418:I419"/>
    <mergeCell ref="I420:I421"/>
    <mergeCell ref="I422:I423"/>
    <mergeCell ref="I424:I425"/>
    <mergeCell ref="I426:I427"/>
    <mergeCell ref="I428:I429"/>
    <mergeCell ref="I430:I431"/>
    <mergeCell ref="I432:I433"/>
    <mergeCell ref="I434:I435"/>
    <mergeCell ref="I436:I437"/>
    <mergeCell ref="I438:I439"/>
    <mergeCell ref="I440:I441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2:I473"/>
    <mergeCell ref="I474:I475"/>
    <mergeCell ref="I476:I477"/>
    <mergeCell ref="I478:I479"/>
    <mergeCell ref="I480:I481"/>
    <mergeCell ref="I482:I483"/>
    <mergeCell ref="I484:I485"/>
    <mergeCell ref="I486:I487"/>
    <mergeCell ref="I488:I489"/>
    <mergeCell ref="I490:I491"/>
    <mergeCell ref="I492:I493"/>
    <mergeCell ref="I494:I495"/>
    <mergeCell ref="I496:I497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I528:I529"/>
    <mergeCell ref="I530:I531"/>
    <mergeCell ref="I532:I533"/>
    <mergeCell ref="I534:I535"/>
    <mergeCell ref="I536:I537"/>
    <mergeCell ref="I538:I539"/>
    <mergeCell ref="I540:I541"/>
    <mergeCell ref="I542:I543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6:I567"/>
    <mergeCell ref="I568:I569"/>
    <mergeCell ref="I570:I571"/>
    <mergeCell ref="I572:I573"/>
    <mergeCell ref="I574:I575"/>
    <mergeCell ref="I576:I577"/>
    <mergeCell ref="I578:I579"/>
    <mergeCell ref="I580:I581"/>
    <mergeCell ref="I582:I583"/>
    <mergeCell ref="I584:I585"/>
    <mergeCell ref="I586:I587"/>
    <mergeCell ref="I588:I589"/>
    <mergeCell ref="I590:I591"/>
    <mergeCell ref="I592:I593"/>
    <mergeCell ref="I594:I595"/>
    <mergeCell ref="I596:I597"/>
    <mergeCell ref="I598:I599"/>
    <mergeCell ref="I600:I601"/>
    <mergeCell ref="I602:I603"/>
    <mergeCell ref="I604:I605"/>
    <mergeCell ref="I606:I607"/>
    <mergeCell ref="I608:I609"/>
    <mergeCell ref="I610:I611"/>
    <mergeCell ref="I612:I613"/>
    <mergeCell ref="I614:I615"/>
    <mergeCell ref="I616:I617"/>
    <mergeCell ref="I618:I619"/>
    <mergeCell ref="I620:I621"/>
    <mergeCell ref="I622:I623"/>
    <mergeCell ref="I624:I625"/>
    <mergeCell ref="I626:I627"/>
    <mergeCell ref="I628:I629"/>
    <mergeCell ref="I630:I631"/>
    <mergeCell ref="I632:I633"/>
    <mergeCell ref="I634:I635"/>
    <mergeCell ref="I636:I637"/>
    <mergeCell ref="I638:I639"/>
    <mergeCell ref="I640:I641"/>
    <mergeCell ref="I642:I643"/>
    <mergeCell ref="I644:I645"/>
    <mergeCell ref="I646:I647"/>
    <mergeCell ref="I648:I649"/>
    <mergeCell ref="I650:I651"/>
    <mergeCell ref="I652:I653"/>
    <mergeCell ref="I654:I655"/>
    <mergeCell ref="I656:I657"/>
    <mergeCell ref="I658:I659"/>
    <mergeCell ref="I660:I661"/>
    <mergeCell ref="I662:I663"/>
    <mergeCell ref="I664:I665"/>
    <mergeCell ref="I666:I667"/>
    <mergeCell ref="I668:I669"/>
    <mergeCell ref="I670:I671"/>
    <mergeCell ref="I672:I673"/>
    <mergeCell ref="I674:I675"/>
    <mergeCell ref="I676:I677"/>
    <mergeCell ref="I678:I679"/>
    <mergeCell ref="I680:I681"/>
    <mergeCell ref="I682:I683"/>
    <mergeCell ref="I684:I685"/>
    <mergeCell ref="I686:I687"/>
    <mergeCell ref="I688:I689"/>
    <mergeCell ref="I690:I691"/>
    <mergeCell ref="I692:I693"/>
    <mergeCell ref="I694:I695"/>
    <mergeCell ref="I696:I697"/>
    <mergeCell ref="I698:I699"/>
    <mergeCell ref="I700:I701"/>
    <mergeCell ref="I702:I703"/>
    <mergeCell ref="I704:I705"/>
    <mergeCell ref="I706:I707"/>
    <mergeCell ref="I708:I709"/>
    <mergeCell ref="I710:I711"/>
    <mergeCell ref="I712:I713"/>
    <mergeCell ref="I714:I715"/>
    <mergeCell ref="I716:I717"/>
    <mergeCell ref="I718:I719"/>
    <mergeCell ref="I720:I721"/>
    <mergeCell ref="I722:I723"/>
    <mergeCell ref="I724:I725"/>
    <mergeCell ref="I726:I727"/>
    <mergeCell ref="I728:I729"/>
    <mergeCell ref="I730:I731"/>
    <mergeCell ref="I732:I733"/>
    <mergeCell ref="I734:I735"/>
    <mergeCell ref="I736:I737"/>
    <mergeCell ref="I738:I739"/>
    <mergeCell ref="I740:I741"/>
    <mergeCell ref="I742:I743"/>
    <mergeCell ref="I744:I745"/>
    <mergeCell ref="I746:I747"/>
    <mergeCell ref="I748:I749"/>
    <mergeCell ref="I750:I751"/>
    <mergeCell ref="I752:I753"/>
    <mergeCell ref="I754:I755"/>
    <mergeCell ref="I756:I757"/>
    <mergeCell ref="I758:I759"/>
    <mergeCell ref="I760:I761"/>
    <mergeCell ref="I762:I763"/>
    <mergeCell ref="I764:I765"/>
    <mergeCell ref="I766:I767"/>
    <mergeCell ref="I768:I769"/>
    <mergeCell ref="I770:I771"/>
    <mergeCell ref="I772:I773"/>
    <mergeCell ref="I774:I775"/>
    <mergeCell ref="I776:I777"/>
    <mergeCell ref="I778:I779"/>
    <mergeCell ref="I780:I781"/>
    <mergeCell ref="I782:I783"/>
    <mergeCell ref="I784:I785"/>
    <mergeCell ref="I786:I787"/>
    <mergeCell ref="I788:I789"/>
    <mergeCell ref="I790:I791"/>
    <mergeCell ref="I792:I793"/>
    <mergeCell ref="I794:I795"/>
    <mergeCell ref="I796:I797"/>
    <mergeCell ref="I798:I799"/>
    <mergeCell ref="I800:I801"/>
    <mergeCell ref="I802:I803"/>
    <mergeCell ref="I804:I805"/>
    <mergeCell ref="I806:I807"/>
    <mergeCell ref="I808:I809"/>
    <mergeCell ref="I810:I811"/>
    <mergeCell ref="I812:I813"/>
    <mergeCell ref="I814:I815"/>
    <mergeCell ref="I816:I817"/>
    <mergeCell ref="I818:I819"/>
    <mergeCell ref="I820:I821"/>
    <mergeCell ref="I822:I823"/>
    <mergeCell ref="I824:I825"/>
    <mergeCell ref="I826:I827"/>
    <mergeCell ref="I828:I829"/>
    <mergeCell ref="I830:I831"/>
    <mergeCell ref="I832:I833"/>
    <mergeCell ref="I834:I835"/>
    <mergeCell ref="I836:I837"/>
    <mergeCell ref="I838:I839"/>
    <mergeCell ref="I840:I841"/>
    <mergeCell ref="I842:I843"/>
    <mergeCell ref="I844:I845"/>
    <mergeCell ref="I846:I847"/>
    <mergeCell ref="I848:I849"/>
    <mergeCell ref="I850:I851"/>
    <mergeCell ref="I852:I853"/>
    <mergeCell ref="I854:I855"/>
    <mergeCell ref="I856:I857"/>
    <mergeCell ref="I858:I859"/>
    <mergeCell ref="I860:I861"/>
    <mergeCell ref="I862:I863"/>
    <mergeCell ref="I864:I865"/>
    <mergeCell ref="I866:I867"/>
    <mergeCell ref="I868:I869"/>
    <mergeCell ref="I870:I871"/>
    <mergeCell ref="I872:I873"/>
    <mergeCell ref="I874:I875"/>
    <mergeCell ref="I876:I877"/>
    <mergeCell ref="I878:I879"/>
    <mergeCell ref="I880:I881"/>
    <mergeCell ref="I882:I883"/>
    <mergeCell ref="I884:I885"/>
    <mergeCell ref="I886:I887"/>
    <mergeCell ref="I888:I889"/>
    <mergeCell ref="I890:I891"/>
    <mergeCell ref="I892:I893"/>
    <mergeCell ref="I894:I895"/>
    <mergeCell ref="I896:I897"/>
    <mergeCell ref="I898:I899"/>
    <mergeCell ref="I900:I901"/>
    <mergeCell ref="I902:I903"/>
    <mergeCell ref="I904:I905"/>
    <mergeCell ref="I906:I907"/>
    <mergeCell ref="I908:I909"/>
    <mergeCell ref="I910:I911"/>
    <mergeCell ref="I912:I913"/>
    <mergeCell ref="I914:I915"/>
    <mergeCell ref="I916:I917"/>
    <mergeCell ref="I918:I919"/>
    <mergeCell ref="I920:I921"/>
    <mergeCell ref="I922:I923"/>
    <mergeCell ref="I924:I925"/>
    <mergeCell ref="I926:I927"/>
    <mergeCell ref="I928:I929"/>
    <mergeCell ref="I930:I931"/>
    <mergeCell ref="I932:I933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3:J74"/>
    <mergeCell ref="J75:J76"/>
    <mergeCell ref="J77:J78"/>
    <mergeCell ref="J79:J80"/>
    <mergeCell ref="J81:J82"/>
    <mergeCell ref="J83:J84"/>
    <mergeCell ref="J85:J86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9:J140"/>
    <mergeCell ref="J141:J142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492:J493"/>
    <mergeCell ref="J494:J495"/>
    <mergeCell ref="J496:J497"/>
    <mergeCell ref="J498:J499"/>
    <mergeCell ref="J500:J501"/>
    <mergeCell ref="J502:J503"/>
    <mergeCell ref="J504:J505"/>
    <mergeCell ref="J506:J507"/>
    <mergeCell ref="J508:J509"/>
    <mergeCell ref="J510:J511"/>
    <mergeCell ref="J512:J513"/>
    <mergeCell ref="J514:J515"/>
    <mergeCell ref="J516:J517"/>
    <mergeCell ref="J518:J519"/>
    <mergeCell ref="J520:J521"/>
    <mergeCell ref="J522:J523"/>
    <mergeCell ref="J524:J525"/>
    <mergeCell ref="J526:J527"/>
    <mergeCell ref="J528:J529"/>
    <mergeCell ref="J530:J531"/>
    <mergeCell ref="J532:J533"/>
    <mergeCell ref="J534:J535"/>
    <mergeCell ref="J536:J537"/>
    <mergeCell ref="J538:J539"/>
    <mergeCell ref="J540:J541"/>
    <mergeCell ref="J542:J543"/>
    <mergeCell ref="J544:J545"/>
    <mergeCell ref="J546:J547"/>
    <mergeCell ref="J548:J549"/>
    <mergeCell ref="J550:J551"/>
    <mergeCell ref="J552:J553"/>
    <mergeCell ref="J554:J555"/>
    <mergeCell ref="J556:J557"/>
    <mergeCell ref="J558:J559"/>
    <mergeCell ref="J560:J561"/>
    <mergeCell ref="J562:J563"/>
    <mergeCell ref="J564:J565"/>
    <mergeCell ref="J566:J567"/>
    <mergeCell ref="J568:J569"/>
    <mergeCell ref="J570:J571"/>
    <mergeCell ref="J572:J573"/>
    <mergeCell ref="J574:J575"/>
    <mergeCell ref="J576:J577"/>
    <mergeCell ref="J578:J579"/>
    <mergeCell ref="J580:J581"/>
    <mergeCell ref="J582:J583"/>
    <mergeCell ref="J584:J585"/>
    <mergeCell ref="J586:J587"/>
    <mergeCell ref="J588:J589"/>
    <mergeCell ref="J590:J591"/>
    <mergeCell ref="J592:J593"/>
    <mergeCell ref="J594:J595"/>
    <mergeCell ref="J596:J597"/>
    <mergeCell ref="J598:J599"/>
    <mergeCell ref="J600:J601"/>
    <mergeCell ref="J602:J603"/>
    <mergeCell ref="J604:J605"/>
    <mergeCell ref="J606:J607"/>
    <mergeCell ref="J608:J609"/>
    <mergeCell ref="J610:J611"/>
    <mergeCell ref="J612:J613"/>
    <mergeCell ref="J614:J615"/>
    <mergeCell ref="J616:J617"/>
    <mergeCell ref="J618:J619"/>
    <mergeCell ref="J620:J621"/>
    <mergeCell ref="J622:J623"/>
    <mergeCell ref="J624:J625"/>
    <mergeCell ref="J626:J627"/>
    <mergeCell ref="J628:J629"/>
    <mergeCell ref="J630:J631"/>
    <mergeCell ref="J632:J633"/>
    <mergeCell ref="J634:J635"/>
    <mergeCell ref="J636:J637"/>
    <mergeCell ref="J638:J639"/>
    <mergeCell ref="J640:J641"/>
    <mergeCell ref="J642:J643"/>
    <mergeCell ref="J644:J645"/>
    <mergeCell ref="J646:J647"/>
    <mergeCell ref="J648:J649"/>
    <mergeCell ref="J650:J651"/>
    <mergeCell ref="J652:J653"/>
    <mergeCell ref="J654:J655"/>
    <mergeCell ref="J656:J657"/>
    <mergeCell ref="J658:J659"/>
    <mergeCell ref="J660:J661"/>
    <mergeCell ref="J662:J663"/>
    <mergeCell ref="J664:J665"/>
    <mergeCell ref="J666:J667"/>
    <mergeCell ref="J668:J669"/>
    <mergeCell ref="J670:J671"/>
    <mergeCell ref="J672:J673"/>
    <mergeCell ref="J674:J675"/>
    <mergeCell ref="J676:J677"/>
    <mergeCell ref="J678:J679"/>
    <mergeCell ref="J680:J681"/>
    <mergeCell ref="J682:J683"/>
    <mergeCell ref="J684:J685"/>
    <mergeCell ref="J686:J687"/>
    <mergeCell ref="J688:J689"/>
    <mergeCell ref="J690:J691"/>
    <mergeCell ref="J692:J693"/>
    <mergeCell ref="J694:J695"/>
    <mergeCell ref="J696:J697"/>
    <mergeCell ref="J698:J699"/>
    <mergeCell ref="J700:J701"/>
    <mergeCell ref="J702:J703"/>
    <mergeCell ref="J704:J705"/>
    <mergeCell ref="J706:J707"/>
    <mergeCell ref="J708:J709"/>
    <mergeCell ref="J710:J711"/>
    <mergeCell ref="J712:J713"/>
    <mergeCell ref="J714:J715"/>
    <mergeCell ref="J716:J717"/>
    <mergeCell ref="J718:J719"/>
    <mergeCell ref="J720:J721"/>
    <mergeCell ref="J722:J723"/>
    <mergeCell ref="J724:J725"/>
    <mergeCell ref="J726:J727"/>
    <mergeCell ref="J728:J729"/>
    <mergeCell ref="J730:J731"/>
    <mergeCell ref="J732:J733"/>
    <mergeCell ref="J734:J735"/>
    <mergeCell ref="J736:J737"/>
    <mergeCell ref="J738:J739"/>
    <mergeCell ref="J740:J741"/>
    <mergeCell ref="J742:J743"/>
    <mergeCell ref="J744:J745"/>
    <mergeCell ref="J746:J747"/>
    <mergeCell ref="J748:J749"/>
    <mergeCell ref="J750:J751"/>
    <mergeCell ref="J752:J753"/>
    <mergeCell ref="J754:J755"/>
    <mergeCell ref="J756:J757"/>
    <mergeCell ref="J758:J759"/>
    <mergeCell ref="J760:J761"/>
    <mergeCell ref="J762:J763"/>
    <mergeCell ref="J764:J765"/>
    <mergeCell ref="J766:J767"/>
    <mergeCell ref="J768:J769"/>
    <mergeCell ref="J770:J771"/>
    <mergeCell ref="J772:J773"/>
    <mergeCell ref="J774:J775"/>
    <mergeCell ref="J776:J777"/>
    <mergeCell ref="J778:J779"/>
    <mergeCell ref="J780:J781"/>
    <mergeCell ref="J782:J783"/>
    <mergeCell ref="J784:J785"/>
    <mergeCell ref="J786:J787"/>
    <mergeCell ref="J788:J789"/>
    <mergeCell ref="J790:J791"/>
    <mergeCell ref="J792:J793"/>
    <mergeCell ref="J794:J795"/>
    <mergeCell ref="J796:J797"/>
    <mergeCell ref="J798:J799"/>
    <mergeCell ref="J800:J801"/>
    <mergeCell ref="J802:J803"/>
    <mergeCell ref="J804:J805"/>
    <mergeCell ref="J806:J807"/>
    <mergeCell ref="J808:J809"/>
    <mergeCell ref="J810:J811"/>
    <mergeCell ref="J812:J813"/>
    <mergeCell ref="J814:J815"/>
    <mergeCell ref="J816:J817"/>
    <mergeCell ref="J818:J819"/>
    <mergeCell ref="J820:J821"/>
    <mergeCell ref="J822:J823"/>
    <mergeCell ref="J824:J825"/>
    <mergeCell ref="J826:J827"/>
    <mergeCell ref="J828:J829"/>
    <mergeCell ref="J830:J831"/>
    <mergeCell ref="J832:J833"/>
    <mergeCell ref="J834:J835"/>
    <mergeCell ref="J836:J837"/>
    <mergeCell ref="J838:J839"/>
    <mergeCell ref="J840:J841"/>
    <mergeCell ref="J842:J843"/>
    <mergeCell ref="J844:J845"/>
    <mergeCell ref="J846:J847"/>
    <mergeCell ref="J848:J849"/>
    <mergeCell ref="J850:J851"/>
    <mergeCell ref="J852:J853"/>
    <mergeCell ref="J854:J855"/>
    <mergeCell ref="J856:J857"/>
    <mergeCell ref="J858:J859"/>
    <mergeCell ref="J860:J861"/>
    <mergeCell ref="J862:J863"/>
    <mergeCell ref="J864:J865"/>
    <mergeCell ref="J866:J867"/>
    <mergeCell ref="J868:J869"/>
    <mergeCell ref="J870:J871"/>
    <mergeCell ref="J872:J873"/>
    <mergeCell ref="J874:J875"/>
    <mergeCell ref="J876:J877"/>
    <mergeCell ref="J878:J879"/>
    <mergeCell ref="J880:J881"/>
    <mergeCell ref="J882:J883"/>
    <mergeCell ref="J884:J885"/>
    <mergeCell ref="J886:J887"/>
    <mergeCell ref="J888:J889"/>
    <mergeCell ref="J890:J891"/>
    <mergeCell ref="J892:J893"/>
    <mergeCell ref="J894:J895"/>
    <mergeCell ref="J896:J897"/>
    <mergeCell ref="J898:J899"/>
    <mergeCell ref="J900:J901"/>
    <mergeCell ref="J902:J903"/>
    <mergeCell ref="J904:J905"/>
    <mergeCell ref="J906:J907"/>
    <mergeCell ref="J908:J909"/>
    <mergeCell ref="J910:J911"/>
    <mergeCell ref="J912:J913"/>
    <mergeCell ref="J914:J915"/>
    <mergeCell ref="J916:J917"/>
    <mergeCell ref="J918:J919"/>
    <mergeCell ref="J920:J921"/>
    <mergeCell ref="J922:J923"/>
    <mergeCell ref="J924:J925"/>
    <mergeCell ref="J926:J927"/>
    <mergeCell ref="J928:J929"/>
    <mergeCell ref="J930:J931"/>
    <mergeCell ref="J932:J933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80:L481"/>
    <mergeCell ref="L482:L483"/>
    <mergeCell ref="L484:L485"/>
    <mergeCell ref="L486:L487"/>
    <mergeCell ref="L488:L489"/>
    <mergeCell ref="L490:L491"/>
    <mergeCell ref="L492:L493"/>
    <mergeCell ref="L494:L495"/>
    <mergeCell ref="L496:L497"/>
    <mergeCell ref="L498:L499"/>
    <mergeCell ref="L500:L501"/>
    <mergeCell ref="L502:L503"/>
    <mergeCell ref="L504:L505"/>
    <mergeCell ref="L506:L507"/>
    <mergeCell ref="L508:L509"/>
    <mergeCell ref="L510:L511"/>
    <mergeCell ref="L512:L513"/>
    <mergeCell ref="L514:L515"/>
    <mergeCell ref="L516:L517"/>
    <mergeCell ref="L518:L519"/>
    <mergeCell ref="L520:L521"/>
    <mergeCell ref="L522:L523"/>
    <mergeCell ref="L526:L527"/>
    <mergeCell ref="L528:L529"/>
    <mergeCell ref="L530:L531"/>
    <mergeCell ref="L532:L533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64:M565"/>
    <mergeCell ref="M566:M567"/>
    <mergeCell ref="M568:M569"/>
    <mergeCell ref="M642:M643"/>
    <mergeCell ref="M662:M663"/>
    <mergeCell ref="M718:M719"/>
    <mergeCell ref="M720:M721"/>
    <mergeCell ref="M722:M723"/>
    <mergeCell ref="M728:M729"/>
    <mergeCell ref="M730:M731"/>
    <mergeCell ref="M732:M733"/>
    <mergeCell ref="M734:M735"/>
    <mergeCell ref="M754:M755"/>
    <mergeCell ref="M756:M757"/>
    <mergeCell ref="M864:M865"/>
  </mergeCells>
  <pageMargins left="0.75" right="0.75" top="1" bottom="1" header="0.511805555555556" footer="0.511805555555556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4"/>
  <dimension ref="A1:L252"/>
  <sheetViews>
    <sheetView zoomScale="85" zoomScaleNormal="85" workbookViewId="0">
      <pane ySplit="1" topLeftCell="A235" activePane="bottomLeft" state="frozen"/>
      <selection/>
      <selection pane="bottomLeft" activeCell="G253" sqref="G253"/>
    </sheetView>
  </sheetViews>
  <sheetFormatPr defaultColWidth="9" defaultRowHeight="32.25" customHeight="1"/>
  <cols>
    <col min="4" max="4" width="14" customWidth="1"/>
    <col min="6" max="6" width="9.625" customWidth="1"/>
    <col min="11" max="12" width="12.625"/>
  </cols>
  <sheetData>
    <row r="1" customHeight="1" spans="1:10">
      <c r="A1" s="100" t="s">
        <v>368</v>
      </c>
      <c r="B1" s="101" t="s">
        <v>2</v>
      </c>
      <c r="C1" s="102" t="s">
        <v>140</v>
      </c>
      <c r="D1" s="103" t="s">
        <v>141</v>
      </c>
      <c r="E1" s="102" t="s">
        <v>142</v>
      </c>
      <c r="F1" s="104" t="s">
        <v>143</v>
      </c>
      <c r="G1" s="104" t="s">
        <v>144</v>
      </c>
      <c r="H1" s="105" t="s">
        <v>145</v>
      </c>
      <c r="I1" s="109" t="s">
        <v>146</v>
      </c>
      <c r="J1" s="102" t="s">
        <v>147</v>
      </c>
    </row>
    <row r="2" customHeight="1" spans="1:10">
      <c r="A2" s="37" t="s">
        <v>1917</v>
      </c>
      <c r="B2" s="38" t="s">
        <v>1918</v>
      </c>
      <c r="C2" s="39">
        <v>11.4</v>
      </c>
      <c r="D2" s="40">
        <v>1.4142</v>
      </c>
      <c r="E2" s="39">
        <v>2</v>
      </c>
      <c r="F2" s="106">
        <v>10.65</v>
      </c>
      <c r="G2" s="106">
        <f>ROUND(C2*100*E2*250*100*0.9/50/D2/F2/1000,2)</f>
        <v>68.12</v>
      </c>
      <c r="H2" s="107">
        <f t="shared" ref="H2" si="0">ROUND((G2+G3)/2,1)</f>
        <v>68.2</v>
      </c>
      <c r="I2" s="110">
        <f t="shared" ref="I2" si="1">(G2-G3)*100/H2</f>
        <v>-0.102639296187673</v>
      </c>
      <c r="J2" s="111" t="s">
        <v>150</v>
      </c>
    </row>
    <row r="3" customHeight="1" spans="1:10">
      <c r="A3" s="41"/>
      <c r="B3" s="42"/>
      <c r="C3" s="39">
        <v>11.4</v>
      </c>
      <c r="D3" s="40">
        <v>1.4127</v>
      </c>
      <c r="E3" s="39">
        <v>2</v>
      </c>
      <c r="F3" s="106">
        <v>10.65</v>
      </c>
      <c r="G3" s="106">
        <f>ROUND(C3*100*E3*250*100*0.9/50/D3/F3/1000,2)</f>
        <v>68.19</v>
      </c>
      <c r="H3" s="108"/>
      <c r="I3" s="112"/>
      <c r="J3" s="113"/>
    </row>
    <row r="5" customHeight="1" spans="1:10">
      <c r="A5" s="37" t="s">
        <v>1919</v>
      </c>
      <c r="B5" s="38" t="s">
        <v>1920</v>
      </c>
      <c r="C5" s="39">
        <v>11.35</v>
      </c>
      <c r="D5" s="40">
        <v>2.7991</v>
      </c>
      <c r="E5" s="39">
        <v>2</v>
      </c>
      <c r="F5" s="106">
        <v>6</v>
      </c>
      <c r="G5" s="106">
        <f>ROUND(C5*100*E5*250*100*0.9/50/D5/F5/1000,2)</f>
        <v>60.82</v>
      </c>
      <c r="H5" s="107">
        <f t="shared" ref="H5" si="2">ROUND((G5+G6)/2,1)</f>
        <v>60.8</v>
      </c>
      <c r="I5" s="110">
        <f t="shared" ref="I5" si="3">(G5-G6)*100/H5</f>
        <v>0.115131578947369</v>
      </c>
      <c r="J5" s="111" t="s">
        <v>150</v>
      </c>
    </row>
    <row r="6" customHeight="1" spans="1:10">
      <c r="A6" s="41"/>
      <c r="B6" s="42"/>
      <c r="C6" s="39">
        <v>11.35</v>
      </c>
      <c r="D6" s="40">
        <v>2.8024</v>
      </c>
      <c r="E6" s="39">
        <v>2</v>
      </c>
      <c r="F6" s="106">
        <v>6</v>
      </c>
      <c r="G6" s="106">
        <f>ROUND(C6*100*E6*250*100*0.9/50/D6/F6/1000,2)</f>
        <v>60.75</v>
      </c>
      <c r="H6" s="108"/>
      <c r="I6" s="112"/>
      <c r="J6" s="113"/>
    </row>
    <row r="8" customHeight="1" spans="1:10">
      <c r="A8" s="37" t="s">
        <v>1921</v>
      </c>
      <c r="B8" s="38" t="s">
        <v>1922</v>
      </c>
      <c r="C8" s="39">
        <v>11.5</v>
      </c>
      <c r="D8" s="40">
        <v>2.7051</v>
      </c>
      <c r="E8" s="39">
        <v>1</v>
      </c>
      <c r="F8" s="106">
        <v>10.7</v>
      </c>
      <c r="G8" s="106">
        <f>ROUND(C8*100*E8*250*100*0.9/50/D8/F8/1000,2)</f>
        <v>17.88</v>
      </c>
      <c r="H8" s="107">
        <f t="shared" ref="H8" si="4">ROUND((G8+G9)/2,1)</f>
        <v>17.9</v>
      </c>
      <c r="I8" s="110">
        <f t="shared" ref="I8" si="5">(G8-G9)*100/H8</f>
        <v>-0.279329608938551</v>
      </c>
      <c r="J8" s="111" t="s">
        <v>150</v>
      </c>
    </row>
    <row r="9" customHeight="1" spans="1:10">
      <c r="A9" s="41"/>
      <c r="B9" s="42"/>
      <c r="C9" s="39">
        <v>11.5</v>
      </c>
      <c r="D9" s="40">
        <v>2.7099</v>
      </c>
      <c r="E9" s="39">
        <v>1</v>
      </c>
      <c r="F9" s="106">
        <v>10.65</v>
      </c>
      <c r="G9" s="106">
        <f>ROUND(C9*100*E9*250*100*0.9/50/D9/F9/1000,2)</f>
        <v>17.93</v>
      </c>
      <c r="H9" s="108"/>
      <c r="I9" s="112"/>
      <c r="J9" s="113"/>
    </row>
    <row r="10" customHeight="1" spans="1:10">
      <c r="A10" s="37" t="s">
        <v>1923</v>
      </c>
      <c r="B10" s="38" t="s">
        <v>1924</v>
      </c>
      <c r="C10" s="39">
        <v>11.4</v>
      </c>
      <c r="D10" s="40">
        <v>2.9623</v>
      </c>
      <c r="E10" s="39">
        <v>2</v>
      </c>
      <c r="F10" s="106">
        <v>6.4</v>
      </c>
      <c r="G10" s="106">
        <f>ROUND(C10*100*E10*250*100*0.9/50/D10/F10/1000,2)</f>
        <v>54.12</v>
      </c>
      <c r="H10" s="107">
        <f t="shared" ref="H10" si="6">ROUND((G10+G11)/2,1)</f>
        <v>54.3</v>
      </c>
      <c r="I10" s="110">
        <f t="shared" ref="I10" si="7">(G10-G11)*100/H10</f>
        <v>-0.552486187845312</v>
      </c>
      <c r="J10" s="111" t="s">
        <v>150</v>
      </c>
    </row>
    <row r="11" customHeight="1" spans="1:10">
      <c r="A11" s="41"/>
      <c r="B11" s="42"/>
      <c r="C11" s="39">
        <v>11.4</v>
      </c>
      <c r="D11" s="40">
        <v>2.9003</v>
      </c>
      <c r="E11" s="39">
        <v>2</v>
      </c>
      <c r="F11" s="106">
        <v>6.5</v>
      </c>
      <c r="G11" s="106">
        <f>ROUND(C11*100*E11*250*100*0.9/50/D11/F11/1000,2)</f>
        <v>54.42</v>
      </c>
      <c r="H11" s="108"/>
      <c r="I11" s="112"/>
      <c r="J11" s="113"/>
    </row>
    <row r="14" customHeight="1" spans="1:10">
      <c r="A14" s="37" t="s">
        <v>1925</v>
      </c>
      <c r="B14" s="38" t="s">
        <v>1926</v>
      </c>
      <c r="C14" s="39">
        <v>11.6</v>
      </c>
      <c r="D14" s="40">
        <v>2.5041</v>
      </c>
      <c r="E14" s="39">
        <v>2</v>
      </c>
      <c r="F14" s="106">
        <v>10.5</v>
      </c>
      <c r="G14" s="106">
        <f t="shared" ref="G14:G21" si="8">ROUND(C14*100*E14*250*100*0.9/50/D14/F14/1000,2)</f>
        <v>39.71</v>
      </c>
      <c r="H14" s="107">
        <f t="shared" ref="H14" si="9">ROUND((G14+G15)/2,1)</f>
        <v>40.1</v>
      </c>
      <c r="I14" s="110">
        <f t="shared" ref="I14" si="10">(G14-G15)*100/H14</f>
        <v>-1.79551122194513</v>
      </c>
      <c r="J14" s="111" t="s">
        <v>150</v>
      </c>
    </row>
    <row r="15" customHeight="1" spans="1:10">
      <c r="A15" s="41"/>
      <c r="B15" s="42"/>
      <c r="C15" s="39">
        <v>11.6</v>
      </c>
      <c r="D15" s="40">
        <v>2.5071</v>
      </c>
      <c r="E15" s="39">
        <v>2</v>
      </c>
      <c r="F15" s="106">
        <v>10.3</v>
      </c>
      <c r="G15" s="106">
        <f t="shared" si="8"/>
        <v>40.43</v>
      </c>
      <c r="H15" s="108"/>
      <c r="I15" s="112"/>
      <c r="J15" s="113"/>
    </row>
    <row r="16" customHeight="1" spans="1:10">
      <c r="A16" s="37" t="s">
        <v>1927</v>
      </c>
      <c r="B16" s="38" t="s">
        <v>1926</v>
      </c>
      <c r="C16" s="39">
        <v>11.6</v>
      </c>
      <c r="D16" s="40">
        <v>2.5617</v>
      </c>
      <c r="E16" s="39">
        <v>2</v>
      </c>
      <c r="F16" s="106">
        <v>8</v>
      </c>
      <c r="G16" s="106">
        <f t="shared" si="8"/>
        <v>50.94</v>
      </c>
      <c r="H16" s="107">
        <f t="shared" ref="H16" si="11">ROUND((G16+G17)/2,1)</f>
        <v>50.6</v>
      </c>
      <c r="I16" s="110">
        <f t="shared" ref="I16" si="12">(G16-G17)*100/H16</f>
        <v>1.52173913043477</v>
      </c>
      <c r="J16" s="111" t="s">
        <v>150</v>
      </c>
    </row>
    <row r="17" customHeight="1" spans="1:10">
      <c r="A17" s="41"/>
      <c r="B17" s="42"/>
      <c r="C17" s="39">
        <v>11.6</v>
      </c>
      <c r="D17" s="40">
        <v>2.5379</v>
      </c>
      <c r="E17" s="39">
        <v>2</v>
      </c>
      <c r="F17" s="106">
        <v>8.2</v>
      </c>
      <c r="G17" s="106">
        <f t="shared" si="8"/>
        <v>50.17</v>
      </c>
      <c r="H17" s="108"/>
      <c r="I17" s="112"/>
      <c r="J17" s="113"/>
    </row>
    <row r="18" customHeight="1" spans="1:10">
      <c r="A18" s="37" t="s">
        <v>1928</v>
      </c>
      <c r="B18" s="38" t="s">
        <v>1926</v>
      </c>
      <c r="C18" s="39">
        <v>11.6</v>
      </c>
      <c r="D18" s="40">
        <v>2.5055</v>
      </c>
      <c r="E18" s="39">
        <v>2</v>
      </c>
      <c r="F18" s="106">
        <v>9</v>
      </c>
      <c r="G18" s="106">
        <f t="shared" si="8"/>
        <v>46.3</v>
      </c>
      <c r="H18" s="107">
        <f t="shared" ref="H18" si="13">ROUND((G18+G19)/2,1)</f>
        <v>47.4</v>
      </c>
      <c r="I18" s="110">
        <f t="shared" ref="I18" si="14">(G18-G19)*100/H18</f>
        <v>-4.45147679324894</v>
      </c>
      <c r="J18" s="111" t="s">
        <v>150</v>
      </c>
    </row>
    <row r="19" customHeight="1" spans="1:10">
      <c r="A19" s="41"/>
      <c r="B19" s="42"/>
      <c r="C19" s="39">
        <v>11.6</v>
      </c>
      <c r="D19" s="40">
        <v>2.3443</v>
      </c>
      <c r="E19" s="39">
        <v>2</v>
      </c>
      <c r="F19" s="106">
        <v>9.2</v>
      </c>
      <c r="G19" s="106">
        <f t="shared" si="8"/>
        <v>48.41</v>
      </c>
      <c r="H19" s="108"/>
      <c r="I19" s="112"/>
      <c r="J19" s="113"/>
    </row>
    <row r="20" customHeight="1" spans="1:10">
      <c r="A20" s="37" t="s">
        <v>1929</v>
      </c>
      <c r="B20" s="38" t="s">
        <v>1926</v>
      </c>
      <c r="C20" s="39">
        <v>11.6</v>
      </c>
      <c r="D20" s="40">
        <v>2.514</v>
      </c>
      <c r="E20" s="39">
        <v>1</v>
      </c>
      <c r="F20" s="106">
        <v>5.9</v>
      </c>
      <c r="G20" s="106">
        <f t="shared" si="8"/>
        <v>35.19</v>
      </c>
      <c r="H20" s="107">
        <f t="shared" ref="H20" si="15">ROUND((G20+G21)/2,1)</f>
        <v>35.6</v>
      </c>
      <c r="I20" s="110">
        <f t="shared" ref="I20" si="16">(G20-G21)*100/H20</f>
        <v>-2.16292134831462</v>
      </c>
      <c r="J20" s="111" t="s">
        <v>150</v>
      </c>
    </row>
    <row r="21" customHeight="1" spans="1:10">
      <c r="A21" s="41"/>
      <c r="B21" s="42"/>
      <c r="C21" s="39">
        <v>11.6</v>
      </c>
      <c r="D21" s="40">
        <v>2.5025</v>
      </c>
      <c r="E21" s="39">
        <v>1</v>
      </c>
      <c r="F21" s="106">
        <v>5.8</v>
      </c>
      <c r="G21" s="106">
        <f t="shared" si="8"/>
        <v>35.96</v>
      </c>
      <c r="H21" s="108"/>
      <c r="I21" s="112"/>
      <c r="J21" s="113"/>
    </row>
    <row r="24" customHeight="1" spans="1:10">
      <c r="A24" s="37" t="s">
        <v>1930</v>
      </c>
      <c r="B24" s="38" t="s">
        <v>1926</v>
      </c>
      <c r="C24" s="39">
        <v>11.6</v>
      </c>
      <c r="D24" s="40">
        <v>2.5398</v>
      </c>
      <c r="E24" s="39">
        <v>1</v>
      </c>
      <c r="F24" s="106">
        <v>6.1</v>
      </c>
      <c r="G24" s="106">
        <f t="shared" ref="G24:G31" si="17">ROUND(C24*100*E24*250*100*0.9/50/D24/F24/1000,2)</f>
        <v>33.69</v>
      </c>
      <c r="H24" s="107">
        <f t="shared" ref="H24" si="18">ROUND((G24+G25)/2,1)</f>
        <v>32.9</v>
      </c>
      <c r="I24" s="110">
        <f t="shared" ref="I24" si="19">(G24-G25)*100/H24</f>
        <v>4.741641337386</v>
      </c>
      <c r="J24" s="111" t="s">
        <v>150</v>
      </c>
    </row>
    <row r="25" customHeight="1" spans="1:10">
      <c r="A25" s="41"/>
      <c r="B25" s="42"/>
      <c r="C25" s="39">
        <v>11.6</v>
      </c>
      <c r="D25" s="40">
        <v>2.2566</v>
      </c>
      <c r="E25" s="39">
        <v>1</v>
      </c>
      <c r="F25" s="106">
        <v>7.2</v>
      </c>
      <c r="G25" s="106">
        <f t="shared" si="17"/>
        <v>32.13</v>
      </c>
      <c r="H25" s="108"/>
      <c r="I25" s="112"/>
      <c r="J25" s="113"/>
    </row>
    <row r="26" customHeight="1" spans="1:10">
      <c r="A26" s="37" t="s">
        <v>1931</v>
      </c>
      <c r="B26" s="38" t="s">
        <v>1926</v>
      </c>
      <c r="C26" s="39">
        <v>11.6</v>
      </c>
      <c r="D26" s="40">
        <v>2.5473</v>
      </c>
      <c r="E26" s="39">
        <v>2</v>
      </c>
      <c r="F26" s="106">
        <v>10.2</v>
      </c>
      <c r="G26" s="106">
        <f t="shared" si="17"/>
        <v>40.18</v>
      </c>
      <c r="H26" s="107">
        <f t="shared" ref="H26" si="20">ROUND((G26+G27)/2,1)</f>
        <v>39.1</v>
      </c>
      <c r="I26" s="110">
        <f t="shared" ref="I26" si="21">(G26-G27)*100/H26</f>
        <v>5.37084398976982</v>
      </c>
      <c r="J26" s="111" t="s">
        <v>150</v>
      </c>
    </row>
    <row r="27" customHeight="1" spans="1:10">
      <c r="A27" s="41"/>
      <c r="B27" s="42"/>
      <c r="C27" s="39">
        <v>11.6</v>
      </c>
      <c r="D27" s="40">
        <v>2.5989</v>
      </c>
      <c r="E27" s="39">
        <v>2</v>
      </c>
      <c r="F27" s="106">
        <v>10.55</v>
      </c>
      <c r="G27" s="106">
        <f t="shared" si="17"/>
        <v>38.08</v>
      </c>
      <c r="H27" s="108"/>
      <c r="I27" s="112"/>
      <c r="J27" s="113"/>
    </row>
    <row r="28" customHeight="1" spans="1:10">
      <c r="A28" s="37" t="s">
        <v>1932</v>
      </c>
      <c r="B28" s="38" t="s">
        <v>1926</v>
      </c>
      <c r="C28" s="39">
        <v>11.6</v>
      </c>
      <c r="D28" s="40">
        <v>2.5781</v>
      </c>
      <c r="E28" s="39">
        <v>2</v>
      </c>
      <c r="F28" s="106">
        <v>10.1</v>
      </c>
      <c r="G28" s="106">
        <f t="shared" si="17"/>
        <v>40.09</v>
      </c>
      <c r="H28" s="107">
        <f t="shared" ref="H28" si="22">ROUND((G28+G29)/2,1)</f>
        <v>40.7</v>
      </c>
      <c r="I28" s="110">
        <f t="shared" ref="I28" si="23">(G28-G29)*100/H28</f>
        <v>-2.85012285012284</v>
      </c>
      <c r="J28" s="111" t="s">
        <v>150</v>
      </c>
    </row>
    <row r="29" customHeight="1" spans="1:10">
      <c r="A29" s="41"/>
      <c r="B29" s="42"/>
      <c r="C29" s="39">
        <v>11.6</v>
      </c>
      <c r="D29" s="40">
        <v>2.5311</v>
      </c>
      <c r="E29" s="39">
        <v>2</v>
      </c>
      <c r="F29" s="106">
        <v>10</v>
      </c>
      <c r="G29" s="106">
        <f t="shared" si="17"/>
        <v>41.25</v>
      </c>
      <c r="H29" s="108"/>
      <c r="I29" s="112"/>
      <c r="J29" s="113"/>
    </row>
    <row r="30" customHeight="1" spans="1:10">
      <c r="A30" s="37" t="s">
        <v>1933</v>
      </c>
      <c r="B30" s="38" t="s">
        <v>1926</v>
      </c>
      <c r="C30" s="39">
        <v>11.6</v>
      </c>
      <c r="D30" s="40">
        <v>2.5632</v>
      </c>
      <c r="E30" s="39">
        <v>2</v>
      </c>
      <c r="F30" s="106">
        <v>9.8</v>
      </c>
      <c r="G30" s="106">
        <f t="shared" si="17"/>
        <v>41.56</v>
      </c>
      <c r="H30" s="107">
        <f t="shared" ref="H30" si="24">ROUND((G30+G31)/2,1)</f>
        <v>42.4</v>
      </c>
      <c r="I30" s="110">
        <f t="shared" ref="I30" si="25">(G30-G31)*100/H30</f>
        <v>-4.15094339622641</v>
      </c>
      <c r="J30" s="111" t="s">
        <v>150</v>
      </c>
    </row>
    <row r="31" customHeight="1" spans="1:10">
      <c r="A31" s="41"/>
      <c r="B31" s="42"/>
      <c r="C31" s="39">
        <v>11.6</v>
      </c>
      <c r="D31" s="40">
        <v>2.5368</v>
      </c>
      <c r="E31" s="39">
        <v>2</v>
      </c>
      <c r="F31" s="106">
        <v>9.5</v>
      </c>
      <c r="G31" s="106">
        <f t="shared" si="17"/>
        <v>43.32</v>
      </c>
      <c r="H31" s="108"/>
      <c r="I31" s="112"/>
      <c r="J31" s="113"/>
    </row>
    <row r="32" customHeight="1" spans="1:10">
      <c r="A32" s="37" t="s">
        <v>1934</v>
      </c>
      <c r="B32" s="38" t="s">
        <v>1918</v>
      </c>
      <c r="C32" s="39">
        <v>11.4</v>
      </c>
      <c r="D32" s="40">
        <v>3.262</v>
      </c>
      <c r="E32" s="39">
        <v>4</v>
      </c>
      <c r="F32" s="106">
        <v>7.1</v>
      </c>
      <c r="G32" s="106">
        <f t="shared" ref="G32:G33" si="26">ROUND(C32*100*E32*250*100*0.9/50/D32/F32/1000,2)</f>
        <v>88.6</v>
      </c>
      <c r="H32" s="107">
        <f t="shared" ref="H32" si="27">ROUND((G32+G33)/2,1)</f>
        <v>89.4</v>
      </c>
      <c r="I32" s="110">
        <f t="shared" ref="I32" si="28">(G32-G33)*100/H32</f>
        <v>-1.78970917225952</v>
      </c>
      <c r="J32" s="111" t="s">
        <v>150</v>
      </c>
    </row>
    <row r="33" customHeight="1" spans="1:10">
      <c r="A33" s="41"/>
      <c r="B33" s="42"/>
      <c r="C33" s="39">
        <v>11.4</v>
      </c>
      <c r="D33" s="40">
        <v>3.5001</v>
      </c>
      <c r="E33" s="39">
        <v>4</v>
      </c>
      <c r="F33" s="106">
        <v>6.5</v>
      </c>
      <c r="G33" s="106">
        <f t="shared" si="26"/>
        <v>90.2</v>
      </c>
      <c r="H33" s="108"/>
      <c r="I33" s="112"/>
      <c r="J33" s="113"/>
    </row>
    <row r="34" customHeight="1" spans="1:10">
      <c r="A34" s="37" t="s">
        <v>1935</v>
      </c>
      <c r="B34" s="38" t="s">
        <v>1936</v>
      </c>
      <c r="C34" s="39">
        <v>11.3</v>
      </c>
      <c r="D34" s="40">
        <v>3.0695</v>
      </c>
      <c r="E34" s="39">
        <v>1</v>
      </c>
      <c r="F34" s="106">
        <v>8.3</v>
      </c>
      <c r="G34" s="106">
        <f t="shared" ref="G34:G35" si="29">ROUND(C34*100*E34*250*100*0.9/50/D34/F34/1000,2)</f>
        <v>19.96</v>
      </c>
      <c r="H34" s="107">
        <f t="shared" ref="H34" si="30">ROUND((G34+G35)/2,1)</f>
        <v>18.1</v>
      </c>
      <c r="I34" s="110">
        <f t="shared" ref="I34" si="31">(G34-G35)*100/H34</f>
        <v>20.6629834254144</v>
      </c>
      <c r="J34" s="111" t="s">
        <v>150</v>
      </c>
    </row>
    <row r="35" customHeight="1" spans="1:10">
      <c r="A35" s="41"/>
      <c r="B35" s="42"/>
      <c r="C35" s="39">
        <v>11.3</v>
      </c>
      <c r="D35" s="40">
        <v>2.7025</v>
      </c>
      <c r="E35" s="39">
        <v>1</v>
      </c>
      <c r="F35" s="106">
        <v>11.6</v>
      </c>
      <c r="G35" s="106">
        <f t="shared" si="29"/>
        <v>16.22</v>
      </c>
      <c r="H35" s="108"/>
      <c r="I35" s="112"/>
      <c r="J35" s="113"/>
    </row>
    <row r="37" customHeight="1" spans="1:10">
      <c r="A37" s="37" t="s">
        <v>1935</v>
      </c>
      <c r="B37" s="38" t="s">
        <v>1936</v>
      </c>
      <c r="C37" s="39">
        <v>11.3</v>
      </c>
      <c r="D37" s="40">
        <v>2.62</v>
      </c>
      <c r="E37" s="39">
        <v>1</v>
      </c>
      <c r="F37" s="106">
        <v>8.3</v>
      </c>
      <c r="G37" s="106">
        <f t="shared" ref="G37:G38" si="32">ROUND(C37*100*E37*250*100*0.9/50/D37/F37/1000,2)</f>
        <v>23.38</v>
      </c>
      <c r="H37" s="107">
        <f t="shared" ref="H37" si="33">ROUND((G37+G38)/2,1)</f>
        <v>19.7</v>
      </c>
      <c r="I37" s="110">
        <f t="shared" ref="I37" si="34">(G37-G38)*100/H37</f>
        <v>37.7157360406091</v>
      </c>
      <c r="J37" s="111" t="s">
        <v>150</v>
      </c>
    </row>
    <row r="38" customHeight="1" spans="1:10">
      <c r="A38" s="41"/>
      <c r="B38" s="42"/>
      <c r="C38" s="39">
        <v>11.3</v>
      </c>
      <c r="D38" s="40">
        <v>2.7025</v>
      </c>
      <c r="E38" s="39">
        <v>1</v>
      </c>
      <c r="F38" s="106">
        <v>11.8</v>
      </c>
      <c r="G38" s="106">
        <f t="shared" si="32"/>
        <v>15.95</v>
      </c>
      <c r="H38" s="108"/>
      <c r="I38" s="112"/>
      <c r="J38" s="113"/>
    </row>
    <row r="40" customHeight="1" spans="1:10">
      <c r="A40" s="37" t="s">
        <v>1937</v>
      </c>
      <c r="B40" s="38" t="s">
        <v>1519</v>
      </c>
      <c r="C40" s="39">
        <v>11.2</v>
      </c>
      <c r="D40" s="40">
        <v>3.0473</v>
      </c>
      <c r="E40" s="39">
        <v>4</v>
      </c>
      <c r="F40" s="106">
        <v>11.3</v>
      </c>
      <c r="G40" s="106">
        <f t="shared" ref="G40:G41" si="35">ROUND(C40*100*E40*250*100*0.9/50/D40/F40/1000,2)</f>
        <v>58.55</v>
      </c>
      <c r="H40" s="107">
        <f t="shared" ref="H40" si="36">ROUND((G40+G41)/2,1)</f>
        <v>58.5</v>
      </c>
      <c r="I40" s="110">
        <f t="shared" ref="I40" si="37">(G40-G41)*100/H40</f>
        <v>0.256410256410254</v>
      </c>
      <c r="J40" s="111" t="s">
        <v>150</v>
      </c>
    </row>
    <row r="41" customHeight="1" spans="1:10">
      <c r="A41" s="41"/>
      <c r="B41" s="42"/>
      <c r="C41" s="39">
        <v>11.2</v>
      </c>
      <c r="D41" s="40">
        <v>3.211</v>
      </c>
      <c r="E41" s="39">
        <v>4</v>
      </c>
      <c r="F41" s="106">
        <v>10.75</v>
      </c>
      <c r="G41" s="106">
        <f t="shared" si="35"/>
        <v>58.4</v>
      </c>
      <c r="H41" s="108"/>
      <c r="I41" s="112"/>
      <c r="J41" s="113"/>
    </row>
    <row r="43" customHeight="1" spans="1:10">
      <c r="A43" s="37" t="s">
        <v>1938</v>
      </c>
      <c r="B43" s="38" t="s">
        <v>1918</v>
      </c>
      <c r="C43" s="39">
        <v>11.2</v>
      </c>
      <c r="D43" s="40">
        <v>2.3408</v>
      </c>
      <c r="E43" s="39">
        <v>4</v>
      </c>
      <c r="F43" s="106">
        <v>9.45</v>
      </c>
      <c r="G43" s="106">
        <f t="shared" ref="G43:G44" si="38">ROUND(C43*100*E43*250*100*0.9/50/D43/F43/1000,2)</f>
        <v>91.14</v>
      </c>
      <c r="H43" s="107">
        <f t="shared" ref="H43" si="39">ROUND((G43+G44)/2,1)</f>
        <v>91.2</v>
      </c>
      <c r="I43" s="110">
        <f t="shared" ref="I43" si="40">(G43-G44)*100/H43</f>
        <v>-0.0986842105263195</v>
      </c>
      <c r="J43" s="111" t="s">
        <v>150</v>
      </c>
    </row>
    <row r="44" customHeight="1" spans="1:10">
      <c r="A44" s="41"/>
      <c r="B44" s="42"/>
      <c r="C44" s="39">
        <v>11.2</v>
      </c>
      <c r="D44" s="40">
        <v>2.5255</v>
      </c>
      <c r="E44" s="39">
        <v>4</v>
      </c>
      <c r="F44" s="106">
        <v>8.75</v>
      </c>
      <c r="G44" s="106">
        <f t="shared" si="38"/>
        <v>91.23</v>
      </c>
      <c r="H44" s="108"/>
      <c r="I44" s="112"/>
      <c r="J44" s="113"/>
    </row>
    <row r="46" customHeight="1" spans="1:10">
      <c r="A46" s="37" t="s">
        <v>1939</v>
      </c>
      <c r="B46" s="38" t="s">
        <v>1280</v>
      </c>
      <c r="C46" s="39">
        <v>11.2</v>
      </c>
      <c r="D46" s="40">
        <v>3.1262</v>
      </c>
      <c r="E46" s="39">
        <v>2</v>
      </c>
      <c r="F46" s="106">
        <v>6.2</v>
      </c>
      <c r="G46" s="106">
        <f t="shared" ref="G46:G51" si="41">ROUND(C46*100*E46*250*100*0.9/50/D46/F46/1000,2)</f>
        <v>52.01</v>
      </c>
      <c r="H46" s="107">
        <f t="shared" ref="H46" si="42">ROUND((G46+G47)/2,1)</f>
        <v>51.8</v>
      </c>
      <c r="I46" s="110">
        <f t="shared" ref="I46" si="43">(G46-G47)*100/H46</f>
        <v>0.791505791505785</v>
      </c>
      <c r="J46" s="111" t="s">
        <v>150</v>
      </c>
    </row>
    <row r="47" customHeight="1" spans="1:10">
      <c r="A47" s="41"/>
      <c r="B47" s="42"/>
      <c r="C47" s="39">
        <v>11.2</v>
      </c>
      <c r="D47" s="40">
        <v>3.0284</v>
      </c>
      <c r="E47" s="39">
        <v>2</v>
      </c>
      <c r="F47" s="106">
        <v>6.45</v>
      </c>
      <c r="G47" s="106">
        <f t="shared" si="41"/>
        <v>51.6</v>
      </c>
      <c r="H47" s="108"/>
      <c r="I47" s="112"/>
      <c r="J47" s="113"/>
    </row>
    <row r="48" customHeight="1" spans="1:10">
      <c r="A48" s="37" t="s">
        <v>1940</v>
      </c>
      <c r="B48" s="38" t="s">
        <v>1924</v>
      </c>
      <c r="C48" s="39">
        <v>11.2</v>
      </c>
      <c r="D48" s="40">
        <v>3.0275</v>
      </c>
      <c r="E48" s="39">
        <v>2</v>
      </c>
      <c r="F48" s="106">
        <v>5.8</v>
      </c>
      <c r="G48" s="106">
        <f t="shared" si="41"/>
        <v>57.4</v>
      </c>
      <c r="H48" s="107">
        <f t="shared" ref="H48" si="44">ROUND((G48+G49)/2,1)</f>
        <v>57</v>
      </c>
      <c r="I48" s="110">
        <f t="shared" ref="I48" si="45">(G48-G49)*100/H48</f>
        <v>1.42105263157894</v>
      </c>
      <c r="J48" s="111" t="s">
        <v>150</v>
      </c>
    </row>
    <row r="49" customHeight="1" spans="1:10">
      <c r="A49" s="41"/>
      <c r="B49" s="42"/>
      <c r="C49" s="39">
        <v>11.2</v>
      </c>
      <c r="D49" s="40">
        <v>3.1247</v>
      </c>
      <c r="E49" s="39">
        <v>2</v>
      </c>
      <c r="F49" s="106">
        <v>5.7</v>
      </c>
      <c r="G49" s="106">
        <f t="shared" si="41"/>
        <v>56.59</v>
      </c>
      <c r="H49" s="108"/>
      <c r="I49" s="112"/>
      <c r="J49" s="113"/>
    </row>
    <row r="50" customHeight="1" spans="1:10">
      <c r="A50" s="37" t="s">
        <v>1941</v>
      </c>
      <c r="B50" s="38" t="s">
        <v>1942</v>
      </c>
      <c r="C50" s="39">
        <v>11.2</v>
      </c>
      <c r="D50" s="40">
        <v>2.7041</v>
      </c>
      <c r="E50" s="39">
        <v>2</v>
      </c>
      <c r="F50" s="106">
        <v>6.7</v>
      </c>
      <c r="G50" s="106">
        <f t="shared" si="41"/>
        <v>55.64</v>
      </c>
      <c r="H50" s="107">
        <f t="shared" ref="H50" si="46">ROUND((G50+G51)/2,1)</f>
        <v>55.6</v>
      </c>
      <c r="I50" s="110">
        <f t="shared" ref="I50" si="47">(G50-G51)*100/H50</f>
        <v>0.233812949640292</v>
      </c>
      <c r="J50" s="111" t="s">
        <v>150</v>
      </c>
    </row>
    <row r="51" customHeight="1" spans="1:10">
      <c r="A51" s="41"/>
      <c r="B51" s="42"/>
      <c r="C51" s="39">
        <v>11.2</v>
      </c>
      <c r="D51" s="40">
        <v>2.3585</v>
      </c>
      <c r="E51" s="39">
        <v>2</v>
      </c>
      <c r="F51" s="106">
        <v>7.7</v>
      </c>
      <c r="G51" s="106">
        <f t="shared" si="41"/>
        <v>55.51</v>
      </c>
      <c r="H51" s="108"/>
      <c r="I51" s="112"/>
      <c r="J51" s="113"/>
    </row>
    <row r="54" customHeight="1" spans="1:10">
      <c r="A54" s="37" t="s">
        <v>1941</v>
      </c>
      <c r="B54" s="38" t="s">
        <v>1942</v>
      </c>
      <c r="C54" s="39">
        <v>11.2</v>
      </c>
      <c r="D54" s="40">
        <v>2.7041</v>
      </c>
      <c r="E54" s="39">
        <v>2</v>
      </c>
      <c r="F54" s="106">
        <v>5.1</v>
      </c>
      <c r="G54" s="106">
        <f t="shared" ref="G54:G65" si="48">ROUND(C54*100*E54*250*100*0.9/50/D54/F54/1000,2)</f>
        <v>73.09</v>
      </c>
      <c r="H54" s="107">
        <f t="shared" ref="H54" si="49">ROUND((G54+G55)/2,1)</f>
        <v>72.2</v>
      </c>
      <c r="I54" s="110">
        <f t="shared" ref="I54" si="50">(G54-G55)*100/H54</f>
        <v>2.57617728531856</v>
      </c>
      <c r="J54" s="111" t="s">
        <v>150</v>
      </c>
    </row>
    <row r="55" customHeight="1" spans="1:10">
      <c r="A55" s="41"/>
      <c r="B55" s="42"/>
      <c r="C55" s="39">
        <v>11.2</v>
      </c>
      <c r="D55" s="40">
        <v>2.3585</v>
      </c>
      <c r="E55" s="39">
        <v>2</v>
      </c>
      <c r="F55" s="106">
        <v>6</v>
      </c>
      <c r="G55" s="106">
        <f t="shared" si="48"/>
        <v>71.23</v>
      </c>
      <c r="H55" s="108"/>
      <c r="I55" s="112"/>
      <c r="J55" s="113"/>
    </row>
    <row r="56" customHeight="1" spans="1:10">
      <c r="A56" s="37" t="s">
        <v>1943</v>
      </c>
      <c r="B56" s="38" t="s">
        <v>1944</v>
      </c>
      <c r="C56" s="39">
        <v>11.4</v>
      </c>
      <c r="D56" s="40">
        <v>2.0253</v>
      </c>
      <c r="E56" s="39">
        <v>1</v>
      </c>
      <c r="F56" s="106">
        <v>13</v>
      </c>
      <c r="G56" s="106">
        <f t="shared" si="48"/>
        <v>19.48</v>
      </c>
      <c r="H56" s="107">
        <f t="shared" ref="H56" si="51">ROUND((G56+G57)/2,1)</f>
        <v>19.1</v>
      </c>
      <c r="I56" s="110">
        <f t="shared" ref="I56" si="52">(G56-G57)*100/H56</f>
        <v>3.56020942408377</v>
      </c>
      <c r="J56" s="111" t="s">
        <v>150</v>
      </c>
    </row>
    <row r="57" customHeight="1" spans="1:10">
      <c r="A57" s="41"/>
      <c r="B57" s="42"/>
      <c r="C57" s="39">
        <v>11.4</v>
      </c>
      <c r="D57" s="40">
        <v>2.3321</v>
      </c>
      <c r="E57" s="39">
        <v>1</v>
      </c>
      <c r="F57" s="106">
        <v>11.7</v>
      </c>
      <c r="G57" s="106">
        <f t="shared" si="48"/>
        <v>18.8</v>
      </c>
      <c r="H57" s="108"/>
      <c r="I57" s="112"/>
      <c r="J57" s="113"/>
    </row>
    <row r="58" customHeight="1" spans="1:10">
      <c r="A58" s="37" t="s">
        <v>1945</v>
      </c>
      <c r="B58" s="38" t="s">
        <v>1946</v>
      </c>
      <c r="C58" s="39">
        <v>11.4</v>
      </c>
      <c r="D58" s="40">
        <v>2.694</v>
      </c>
      <c r="E58" s="39">
        <v>1</v>
      </c>
      <c r="F58" s="106">
        <v>7.05</v>
      </c>
      <c r="G58" s="106">
        <f t="shared" si="48"/>
        <v>27.01</v>
      </c>
      <c r="H58" s="107">
        <f t="shared" ref="H58" si="53">ROUND((G58+G59)/2,1)</f>
        <v>27.6</v>
      </c>
      <c r="I58" s="110">
        <f t="shared" ref="I58" si="54">(G58-G59)*100/H58</f>
        <v>-4.34782608695652</v>
      </c>
      <c r="J58" s="111" t="s">
        <v>150</v>
      </c>
    </row>
    <row r="59" customHeight="1" spans="1:10">
      <c r="A59" s="41"/>
      <c r="B59" s="42"/>
      <c r="C59" s="39">
        <v>11.4</v>
      </c>
      <c r="D59" s="40">
        <v>2.5085</v>
      </c>
      <c r="E59" s="39">
        <v>1</v>
      </c>
      <c r="F59" s="106">
        <v>7.25</v>
      </c>
      <c r="G59" s="106">
        <f t="shared" si="48"/>
        <v>28.21</v>
      </c>
      <c r="H59" s="108"/>
      <c r="I59" s="112"/>
      <c r="J59" s="113"/>
    </row>
    <row r="60" customHeight="1" spans="1:10">
      <c r="A60" s="37" t="s">
        <v>1947</v>
      </c>
      <c r="B60" s="38" t="s">
        <v>1948</v>
      </c>
      <c r="C60" s="39">
        <v>11.4</v>
      </c>
      <c r="D60" s="40">
        <v>2.6791</v>
      </c>
      <c r="E60" s="39">
        <v>1</v>
      </c>
      <c r="F60" s="106">
        <v>7.6</v>
      </c>
      <c r="G60" s="106">
        <f t="shared" si="48"/>
        <v>25.2</v>
      </c>
      <c r="H60" s="107">
        <f t="shared" ref="H60" si="55">ROUND((G60+G61)/2,1)</f>
        <v>24.7</v>
      </c>
      <c r="I60" s="110">
        <f t="shared" ref="I60" si="56">(G60-G61)*100/H60</f>
        <v>4.33198380566802</v>
      </c>
      <c r="J60" s="111" t="s">
        <v>150</v>
      </c>
    </row>
    <row r="61" customHeight="1" spans="1:10">
      <c r="A61" s="41"/>
      <c r="B61" s="42"/>
      <c r="C61" s="39">
        <v>11.4</v>
      </c>
      <c r="D61" s="40">
        <v>2.8541</v>
      </c>
      <c r="E61" s="39">
        <v>1</v>
      </c>
      <c r="F61" s="106">
        <v>7.45</v>
      </c>
      <c r="G61" s="106">
        <f t="shared" si="48"/>
        <v>24.13</v>
      </c>
      <c r="H61" s="108"/>
      <c r="I61" s="112"/>
      <c r="J61" s="113"/>
    </row>
    <row r="62" customHeight="1" spans="1:10">
      <c r="A62" s="37" t="s">
        <v>1949</v>
      </c>
      <c r="B62" s="38" t="s">
        <v>1950</v>
      </c>
      <c r="C62" s="39">
        <v>11.4</v>
      </c>
      <c r="D62" s="40">
        <v>2.4142</v>
      </c>
      <c r="E62" s="39">
        <v>1</v>
      </c>
      <c r="F62" s="106">
        <v>7.5</v>
      </c>
      <c r="G62" s="106">
        <f t="shared" si="48"/>
        <v>28.33</v>
      </c>
      <c r="H62" s="107">
        <f t="shared" ref="H62" si="57">ROUND((G62+G63)/2,1)</f>
        <v>28.2</v>
      </c>
      <c r="I62" s="110">
        <f t="shared" ref="I62" si="58">(G62-G63)*100/H62</f>
        <v>0.992907801418431</v>
      </c>
      <c r="J62" s="111" t="s">
        <v>150</v>
      </c>
    </row>
    <row r="63" customHeight="1" spans="1:10">
      <c r="A63" s="41"/>
      <c r="B63" s="42"/>
      <c r="C63" s="39">
        <v>11.4</v>
      </c>
      <c r="D63" s="40">
        <v>2.3598</v>
      </c>
      <c r="E63" s="39">
        <v>1</v>
      </c>
      <c r="F63" s="106">
        <v>7.75</v>
      </c>
      <c r="G63" s="106">
        <f t="shared" si="48"/>
        <v>28.05</v>
      </c>
      <c r="H63" s="108"/>
      <c r="I63" s="112"/>
      <c r="J63" s="113"/>
    </row>
    <row r="64" customHeight="1" spans="1:10">
      <c r="A64" s="37" t="s">
        <v>1951</v>
      </c>
      <c r="B64" s="38" t="s">
        <v>1952</v>
      </c>
      <c r="C64" s="39">
        <v>11.4</v>
      </c>
      <c r="D64" s="40">
        <v>2.6458</v>
      </c>
      <c r="E64" s="39">
        <v>1</v>
      </c>
      <c r="F64" s="106">
        <v>6.1</v>
      </c>
      <c r="G64" s="106">
        <f t="shared" si="48"/>
        <v>31.79</v>
      </c>
      <c r="H64" s="107">
        <f t="shared" ref="H64" si="59">ROUND((G64+G65)/2,1)</f>
        <v>31.2</v>
      </c>
      <c r="I64" s="110">
        <f t="shared" ref="I64" si="60">(G64-G65)*100/H64</f>
        <v>3.71794871794872</v>
      </c>
      <c r="J64" s="111" t="s">
        <v>150</v>
      </c>
    </row>
    <row r="65" customHeight="1" spans="1:10">
      <c r="A65" s="41"/>
      <c r="B65" s="42"/>
      <c r="C65" s="39">
        <v>11.4</v>
      </c>
      <c r="D65" s="40">
        <v>2.7015</v>
      </c>
      <c r="E65" s="39">
        <v>1</v>
      </c>
      <c r="F65" s="106">
        <v>6.2</v>
      </c>
      <c r="G65" s="106">
        <f t="shared" si="48"/>
        <v>30.63</v>
      </c>
      <c r="H65" s="108"/>
      <c r="I65" s="112"/>
      <c r="J65" s="113"/>
    </row>
    <row r="68" customHeight="1" spans="1:10">
      <c r="A68" s="37" t="s">
        <v>1951</v>
      </c>
      <c r="B68" s="38" t="s">
        <v>1952</v>
      </c>
      <c r="C68" s="39">
        <v>11.4</v>
      </c>
      <c r="D68" s="40">
        <v>1.0029</v>
      </c>
      <c r="E68" s="39">
        <v>1</v>
      </c>
      <c r="F68" s="106">
        <v>15.5</v>
      </c>
      <c r="G68" s="106">
        <f>ROUND(C68*100*E68*250*100*0.9/50/D68/F68/1000,2)</f>
        <v>33</v>
      </c>
      <c r="H68" s="107">
        <f t="shared" ref="H68" si="61">ROUND((G68+G69)/2,1)</f>
        <v>33</v>
      </c>
      <c r="I68" s="110">
        <f t="shared" ref="I68" si="62">(G68-G69)*100/H68</f>
        <v>0</v>
      </c>
      <c r="J68" s="111" t="s">
        <v>150</v>
      </c>
    </row>
    <row r="69" customHeight="1" spans="1:10">
      <c r="A69" s="41"/>
      <c r="B69" s="42"/>
      <c r="C69" s="39">
        <v>11.4</v>
      </c>
      <c r="D69" s="40">
        <v>1.0029</v>
      </c>
      <c r="E69" s="39">
        <v>1</v>
      </c>
      <c r="F69" s="106">
        <v>15.5</v>
      </c>
      <c r="G69" s="106">
        <f>ROUND(C69*100*E69*250*100*0.9/50/D69/F69/1000,2)</f>
        <v>33</v>
      </c>
      <c r="H69" s="108"/>
      <c r="I69" s="112"/>
      <c r="J69" s="113"/>
    </row>
    <row r="71" customHeight="1" spans="1:10">
      <c r="A71" s="37"/>
      <c r="B71" s="38"/>
      <c r="C71" s="39"/>
      <c r="D71" s="40"/>
      <c r="E71" s="39"/>
      <c r="F71" s="106"/>
      <c r="G71" s="106"/>
      <c r="H71" s="107"/>
      <c r="I71" s="110"/>
      <c r="J71" s="111"/>
    </row>
    <row r="72" customHeight="1" spans="1:10">
      <c r="A72" s="41"/>
      <c r="B72" s="42"/>
      <c r="C72" s="39"/>
      <c r="D72" s="40"/>
      <c r="E72" s="39"/>
      <c r="F72" s="106"/>
      <c r="G72" s="106"/>
      <c r="H72" s="108"/>
      <c r="I72" s="112"/>
      <c r="J72" s="113"/>
    </row>
    <row r="73" customHeight="1" spans="1:10">
      <c r="A73" s="37" t="s">
        <v>400</v>
      </c>
      <c r="B73" s="38" t="s">
        <v>1953</v>
      </c>
      <c r="C73" s="39">
        <v>11.4</v>
      </c>
      <c r="D73" s="40">
        <v>3.2807</v>
      </c>
      <c r="E73" s="39">
        <v>1</v>
      </c>
      <c r="F73" s="106">
        <v>11</v>
      </c>
      <c r="G73" s="106">
        <f t="shared" ref="G73:G76" si="63">ROUND(C73*100*E73*250*100*0.9/50/D73/F73/1000,2)</f>
        <v>14.22</v>
      </c>
      <c r="H73" s="107">
        <f t="shared" ref="H73" si="64">ROUND((G73+G74)/2,1)</f>
        <v>14.4</v>
      </c>
      <c r="I73" s="110">
        <f t="shared" ref="I73" si="65">(G73-G74)*100/H73</f>
        <v>-2.15277777777777</v>
      </c>
      <c r="J73" s="111" t="s">
        <v>150</v>
      </c>
    </row>
    <row r="74" customHeight="1" spans="1:10">
      <c r="A74" s="41"/>
      <c r="B74" s="42"/>
      <c r="C74" s="39">
        <v>11.4</v>
      </c>
      <c r="D74" s="40">
        <v>3.1952</v>
      </c>
      <c r="E74" s="39">
        <v>1</v>
      </c>
      <c r="F74" s="106">
        <v>11.05</v>
      </c>
      <c r="G74" s="106">
        <f t="shared" si="63"/>
        <v>14.53</v>
      </c>
      <c r="H74" s="108"/>
      <c r="I74" s="112"/>
      <c r="J74" s="113"/>
    </row>
    <row r="75" customHeight="1" spans="1:10">
      <c r="A75" s="37" t="s">
        <v>401</v>
      </c>
      <c r="B75" s="38" t="s">
        <v>1953</v>
      </c>
      <c r="C75" s="39">
        <v>11.4</v>
      </c>
      <c r="D75" s="114">
        <v>2.9284</v>
      </c>
      <c r="E75" s="39">
        <v>1</v>
      </c>
      <c r="F75" s="106">
        <v>13</v>
      </c>
      <c r="G75" s="106">
        <f t="shared" si="63"/>
        <v>13.48</v>
      </c>
      <c r="H75" s="107">
        <f t="shared" ref="H75" si="66">ROUND((G75+G76)/2,1)</f>
        <v>13.5</v>
      </c>
      <c r="I75" s="110">
        <f t="shared" ref="I75" si="67">(G75-G76)*100/H75</f>
        <v>-0.518518518518521</v>
      </c>
      <c r="J75" s="111" t="s">
        <v>150</v>
      </c>
    </row>
    <row r="76" customHeight="1" spans="1:10">
      <c r="A76" s="41"/>
      <c r="B76" s="42"/>
      <c r="C76" s="39">
        <v>11.4</v>
      </c>
      <c r="D76" s="40">
        <v>2.9124</v>
      </c>
      <c r="E76" s="39">
        <v>1</v>
      </c>
      <c r="F76" s="106">
        <v>13</v>
      </c>
      <c r="G76" s="106">
        <f t="shared" si="63"/>
        <v>13.55</v>
      </c>
      <c r="H76" s="108"/>
      <c r="I76" s="112"/>
      <c r="J76" s="113"/>
    </row>
    <row r="78" customHeight="1" spans="1:10">
      <c r="A78" s="37" t="s">
        <v>1954</v>
      </c>
      <c r="B78" s="38" t="s">
        <v>1918</v>
      </c>
      <c r="C78" s="39">
        <v>11.4</v>
      </c>
      <c r="D78" s="114">
        <v>1.5284</v>
      </c>
      <c r="E78" s="39">
        <v>1</v>
      </c>
      <c r="F78" s="106">
        <v>7.6</v>
      </c>
      <c r="G78" s="106">
        <f t="shared" ref="G78:G79" si="68">ROUND(C78*100*E78*250*100*0.9/50/D78/F78/1000,2)</f>
        <v>44.16</v>
      </c>
      <c r="H78" s="107">
        <f t="shared" ref="H78" si="69">ROUND((G78+G79)/2,1)</f>
        <v>44.2</v>
      </c>
      <c r="I78" s="110">
        <f t="shared" ref="I78" si="70">(G78-G79)*100/H78</f>
        <v>0</v>
      </c>
      <c r="J78" s="111" t="s">
        <v>150</v>
      </c>
    </row>
    <row r="79" customHeight="1" spans="1:10">
      <c r="A79" s="41"/>
      <c r="B79" s="42"/>
      <c r="C79" s="39">
        <v>11.4</v>
      </c>
      <c r="D79" s="40">
        <v>1.5284</v>
      </c>
      <c r="E79" s="39">
        <v>1</v>
      </c>
      <c r="F79" s="106">
        <v>7.6</v>
      </c>
      <c r="G79" s="106">
        <f t="shared" si="68"/>
        <v>44.16</v>
      </c>
      <c r="H79" s="108"/>
      <c r="I79" s="112"/>
      <c r="J79" s="113"/>
    </row>
    <row r="81" customHeight="1" spans="1:10">
      <c r="A81" s="37" t="s">
        <v>1955</v>
      </c>
      <c r="B81" s="38" t="s">
        <v>1918</v>
      </c>
      <c r="C81" s="39">
        <v>11.4</v>
      </c>
      <c r="D81" s="114">
        <v>2.1415</v>
      </c>
      <c r="E81" s="39">
        <v>4</v>
      </c>
      <c r="F81" s="106">
        <v>12.5</v>
      </c>
      <c r="G81" s="106">
        <f t="shared" ref="G81:G82" si="71">ROUND(C81*100*E81*250*100*0.9/50/D81/F81/1000,2)</f>
        <v>76.66</v>
      </c>
      <c r="H81" s="107">
        <f t="shared" ref="H81" si="72">ROUND((G81+G82)/2,1)</f>
        <v>76.3</v>
      </c>
      <c r="I81" s="110">
        <f t="shared" ref="I81" si="73">(G81-G82)*100/H81</f>
        <v>1.04849279161205</v>
      </c>
      <c r="J81" s="111" t="s">
        <v>150</v>
      </c>
    </row>
    <row r="82" customHeight="1" spans="1:10">
      <c r="A82" s="41"/>
      <c r="B82" s="42"/>
      <c r="C82" s="39">
        <v>11.4</v>
      </c>
      <c r="D82" s="40">
        <v>2.2541</v>
      </c>
      <c r="E82" s="39">
        <v>4</v>
      </c>
      <c r="F82" s="106">
        <v>12</v>
      </c>
      <c r="G82" s="106">
        <f t="shared" si="71"/>
        <v>75.86</v>
      </c>
      <c r="H82" s="108"/>
      <c r="I82" s="112"/>
      <c r="J82" s="113"/>
    </row>
    <row r="85" customHeight="1" spans="1:10">
      <c r="A85" s="37" t="s">
        <v>1956</v>
      </c>
      <c r="B85" s="38"/>
      <c r="C85" s="39">
        <v>10.8</v>
      </c>
      <c r="D85" s="40">
        <v>1.7269</v>
      </c>
      <c r="E85" s="39">
        <v>2</v>
      </c>
      <c r="F85" s="106">
        <v>10.8</v>
      </c>
      <c r="G85" s="106">
        <f t="shared" ref="G85:G94" si="74">ROUND(C85*100*E85*250*100*0.9/50/D85/F85/1000,2)</f>
        <v>52.12</v>
      </c>
      <c r="H85" s="107">
        <f t="shared" ref="H85" si="75">ROUND((G85+G86)/2,1)</f>
        <v>52.5</v>
      </c>
      <c r="I85" s="110">
        <f t="shared" ref="I85" si="76">(G85-G86)*100/H85</f>
        <v>-1.48571428571429</v>
      </c>
      <c r="J85" s="111" t="s">
        <v>150</v>
      </c>
    </row>
    <row r="86" customHeight="1" spans="1:10">
      <c r="A86" s="41"/>
      <c r="B86" s="42"/>
      <c r="C86" s="39">
        <v>10.8</v>
      </c>
      <c r="D86" s="40">
        <v>1.8014</v>
      </c>
      <c r="E86" s="39">
        <v>2</v>
      </c>
      <c r="F86" s="106">
        <v>10.2</v>
      </c>
      <c r="G86" s="106">
        <f t="shared" si="74"/>
        <v>52.9</v>
      </c>
      <c r="H86" s="108"/>
      <c r="I86" s="112"/>
      <c r="J86" s="113"/>
    </row>
    <row r="87" customHeight="1" spans="1:10">
      <c r="A87" s="37" t="s">
        <v>1957</v>
      </c>
      <c r="B87" s="38"/>
      <c r="C87" s="39">
        <v>10.8</v>
      </c>
      <c r="D87" s="40">
        <v>1.0726</v>
      </c>
      <c r="E87" s="39">
        <v>1</v>
      </c>
      <c r="F87" s="106">
        <v>9.6</v>
      </c>
      <c r="G87" s="106">
        <f t="shared" si="74"/>
        <v>47.2</v>
      </c>
      <c r="H87" s="107">
        <f t="shared" ref="H87" si="77">ROUND((G87+G88)/2,1)</f>
        <v>48.4</v>
      </c>
      <c r="I87" s="110">
        <f t="shared" ref="I87" si="78">(G87-G88)*100/H87</f>
        <v>-5.02066115702479</v>
      </c>
      <c r="J87" s="111" t="s">
        <v>150</v>
      </c>
    </row>
    <row r="88" customHeight="1" spans="1:10">
      <c r="A88" s="41"/>
      <c r="B88" s="42"/>
      <c r="C88" s="39">
        <v>10.8</v>
      </c>
      <c r="D88" s="40">
        <v>1.0201</v>
      </c>
      <c r="E88" s="39">
        <v>1</v>
      </c>
      <c r="F88" s="106">
        <v>9.6</v>
      </c>
      <c r="G88" s="106">
        <f t="shared" si="74"/>
        <v>49.63</v>
      </c>
      <c r="H88" s="108"/>
      <c r="I88" s="112"/>
      <c r="J88" s="113"/>
    </row>
    <row r="89" customHeight="1" spans="1:10">
      <c r="A89" s="37" t="s">
        <v>1958</v>
      </c>
      <c r="B89" s="38"/>
      <c r="C89" s="39">
        <v>10.8</v>
      </c>
      <c r="D89" s="40">
        <v>1.0417</v>
      </c>
      <c r="E89" s="39">
        <v>1</v>
      </c>
      <c r="F89" s="106">
        <v>8.9</v>
      </c>
      <c r="G89" s="106">
        <f t="shared" si="74"/>
        <v>52.42</v>
      </c>
      <c r="H89" s="107">
        <f t="shared" ref="H89" si="79">ROUND((G89+G90)/2,1)</f>
        <v>53</v>
      </c>
      <c r="I89" s="110">
        <f t="shared" ref="I89" si="80">(G89-G90)*100/H89</f>
        <v>-2.35849056603774</v>
      </c>
      <c r="J89" s="111" t="s">
        <v>150</v>
      </c>
    </row>
    <row r="90" customHeight="1" spans="1:10">
      <c r="A90" s="41"/>
      <c r="B90" s="42"/>
      <c r="C90" s="39">
        <v>10.8</v>
      </c>
      <c r="D90" s="40">
        <v>1.0174</v>
      </c>
      <c r="E90" s="39">
        <v>1</v>
      </c>
      <c r="F90" s="106">
        <v>8.9</v>
      </c>
      <c r="G90" s="106">
        <f t="shared" si="74"/>
        <v>53.67</v>
      </c>
      <c r="H90" s="108"/>
      <c r="I90" s="112"/>
      <c r="J90" s="113"/>
    </row>
    <row r="91" customHeight="1" spans="1:10">
      <c r="A91" s="37" t="s">
        <v>1959</v>
      </c>
      <c r="B91" s="38"/>
      <c r="C91" s="39">
        <v>10.8</v>
      </c>
      <c r="D91" s="40">
        <v>1.277</v>
      </c>
      <c r="E91" s="39">
        <v>1</v>
      </c>
      <c r="F91" s="106">
        <v>7.4</v>
      </c>
      <c r="G91" s="106">
        <f t="shared" si="74"/>
        <v>51.43</v>
      </c>
      <c r="H91" s="107">
        <f t="shared" ref="H91" si="81">ROUND((G91+G92)/2,1)</f>
        <v>51.3</v>
      </c>
      <c r="I91" s="110">
        <f t="shared" ref="I91" si="82">(G91-G92)*100/H91</f>
        <v>0.350877192982456</v>
      </c>
      <c r="J91" s="111" t="s">
        <v>150</v>
      </c>
    </row>
    <row r="92" customHeight="1" spans="1:10">
      <c r="A92" s="41"/>
      <c r="B92" s="42"/>
      <c r="C92" s="39">
        <v>10.8</v>
      </c>
      <c r="D92" s="40">
        <v>1.1289</v>
      </c>
      <c r="E92" s="39">
        <v>1</v>
      </c>
      <c r="F92" s="106">
        <v>8.4</v>
      </c>
      <c r="G92" s="106">
        <f t="shared" si="74"/>
        <v>51.25</v>
      </c>
      <c r="H92" s="108"/>
      <c r="I92" s="112"/>
      <c r="J92" s="113"/>
    </row>
    <row r="93" customHeight="1" spans="1:10">
      <c r="A93" s="37" t="s">
        <v>1960</v>
      </c>
      <c r="B93" s="38"/>
      <c r="C93" s="39">
        <v>10.8</v>
      </c>
      <c r="D93" s="40">
        <v>1.1042</v>
      </c>
      <c r="E93" s="39">
        <v>1</v>
      </c>
      <c r="F93" s="106">
        <v>8.5</v>
      </c>
      <c r="G93" s="106">
        <f t="shared" si="74"/>
        <v>51.78</v>
      </c>
      <c r="H93" s="107">
        <f t="shared" ref="H93" si="83">ROUND((G93+G94)/2,1)</f>
        <v>52</v>
      </c>
      <c r="I93" s="110">
        <f t="shared" ref="I93" si="84">(G93-G94)*100/H93</f>
        <v>-0.903846153846152</v>
      </c>
      <c r="J93" s="111" t="s">
        <v>150</v>
      </c>
    </row>
    <row r="94" customHeight="1" spans="1:10">
      <c r="A94" s="41"/>
      <c r="B94" s="42"/>
      <c r="C94" s="39">
        <v>10.8</v>
      </c>
      <c r="D94" s="40">
        <v>1.1701</v>
      </c>
      <c r="E94" s="39">
        <v>1</v>
      </c>
      <c r="F94" s="106">
        <v>7.95</v>
      </c>
      <c r="G94" s="106">
        <f t="shared" si="74"/>
        <v>52.25</v>
      </c>
      <c r="H94" s="108"/>
      <c r="I94" s="112"/>
      <c r="J94" s="113"/>
    </row>
    <row r="96" customHeight="1" spans="1:10">
      <c r="A96" s="37" t="s">
        <v>1961</v>
      </c>
      <c r="B96" s="38"/>
      <c r="C96" s="39">
        <v>11.4</v>
      </c>
      <c r="D96" s="40">
        <v>1.3114</v>
      </c>
      <c r="E96" s="39">
        <v>1</v>
      </c>
      <c r="F96" s="106">
        <v>11.65</v>
      </c>
      <c r="G96" s="106">
        <f t="shared" ref="G96:G138" si="85">ROUND(C96*100*E96*250*100*0.9/50/D96/F96/1000,2)</f>
        <v>33.58</v>
      </c>
      <c r="H96" s="107">
        <f t="shared" ref="H96" si="86">ROUND((G96+G97)/2,1)</f>
        <v>34.1</v>
      </c>
      <c r="I96" s="110">
        <f t="shared" ref="I96" si="87">(G96-G97)*100/H96</f>
        <v>-3.31378299120235</v>
      </c>
      <c r="J96" s="111" t="s">
        <v>150</v>
      </c>
    </row>
    <row r="97" customHeight="1" spans="1:10">
      <c r="A97" s="41"/>
      <c r="B97" s="42"/>
      <c r="C97" s="39">
        <v>11.4</v>
      </c>
      <c r="D97" s="40">
        <v>1.2851</v>
      </c>
      <c r="E97" s="39">
        <v>1</v>
      </c>
      <c r="F97" s="106">
        <v>11.5</v>
      </c>
      <c r="G97" s="106">
        <f t="shared" si="85"/>
        <v>34.71</v>
      </c>
      <c r="H97" s="108"/>
      <c r="I97" s="112"/>
      <c r="J97" s="113"/>
    </row>
    <row r="98" customHeight="1" spans="1:10">
      <c r="A98" s="37" t="s">
        <v>1962</v>
      </c>
      <c r="B98" s="38"/>
      <c r="C98" s="39">
        <v>11.4</v>
      </c>
      <c r="D98" s="40">
        <v>1.4553</v>
      </c>
      <c r="E98" s="39">
        <v>1</v>
      </c>
      <c r="F98" s="106">
        <v>8.95</v>
      </c>
      <c r="G98" s="106">
        <f t="shared" si="85"/>
        <v>39.39</v>
      </c>
      <c r="H98" s="107">
        <f t="shared" ref="H98" si="88">ROUND((G98+G99)/2,1)</f>
        <v>39.6</v>
      </c>
      <c r="I98" s="110">
        <f t="shared" ref="I98" si="89">(G98-G99)*100/H98</f>
        <v>-1.11111111111111</v>
      </c>
      <c r="J98" s="111" t="s">
        <v>150</v>
      </c>
    </row>
    <row r="99" customHeight="1" spans="1:10">
      <c r="A99" s="41"/>
      <c r="B99" s="42"/>
      <c r="C99" s="39">
        <v>11.4</v>
      </c>
      <c r="D99" s="40">
        <v>1.6514</v>
      </c>
      <c r="E99" s="39">
        <v>1</v>
      </c>
      <c r="F99" s="106">
        <v>7.8</v>
      </c>
      <c r="G99" s="106">
        <f t="shared" si="85"/>
        <v>39.83</v>
      </c>
      <c r="H99" s="108"/>
      <c r="I99" s="112"/>
      <c r="J99" s="113"/>
    </row>
    <row r="100" customHeight="1" spans="1:10">
      <c r="A100" s="37" t="s">
        <v>1963</v>
      </c>
      <c r="B100" s="38"/>
      <c r="C100" s="39">
        <v>11.4</v>
      </c>
      <c r="D100" s="40">
        <v>1.5975</v>
      </c>
      <c r="E100" s="39">
        <v>1</v>
      </c>
      <c r="F100" s="106">
        <v>7.95</v>
      </c>
      <c r="G100" s="106">
        <f t="shared" si="85"/>
        <v>40.39</v>
      </c>
      <c r="H100" s="107">
        <f t="shared" ref="H100" si="90">ROUND((G100+G101)/2,1)</f>
        <v>40.2</v>
      </c>
      <c r="I100" s="110">
        <f t="shared" ref="I100" si="91">(G100-G101)*100/H100</f>
        <v>0.796019900497513</v>
      </c>
      <c r="J100" s="111" t="s">
        <v>150</v>
      </c>
    </row>
    <row r="101" customHeight="1" spans="1:10">
      <c r="A101" s="41"/>
      <c r="B101" s="42"/>
      <c r="C101" s="39">
        <v>11.4</v>
      </c>
      <c r="D101" s="40">
        <v>1.4147</v>
      </c>
      <c r="E101" s="39">
        <v>1</v>
      </c>
      <c r="F101" s="106">
        <v>9.05</v>
      </c>
      <c r="G101" s="106">
        <f t="shared" si="85"/>
        <v>40.07</v>
      </c>
      <c r="H101" s="108"/>
      <c r="I101" s="112"/>
      <c r="J101" s="113"/>
    </row>
    <row r="102" customHeight="1" spans="1:10">
      <c r="A102" s="37" t="s">
        <v>1964</v>
      </c>
      <c r="B102" s="38"/>
      <c r="C102" s="39">
        <v>11.4</v>
      </c>
      <c r="D102" s="40">
        <v>1.5744</v>
      </c>
      <c r="E102" s="39">
        <v>1</v>
      </c>
      <c r="F102" s="106">
        <v>9.05</v>
      </c>
      <c r="G102" s="106">
        <f t="shared" si="85"/>
        <v>36</v>
      </c>
      <c r="H102" s="107">
        <f t="shared" ref="H102" si="92">ROUND((G102+G103)/2,1)</f>
        <v>35.5</v>
      </c>
      <c r="I102" s="110">
        <f t="shared" ref="I102" si="93">(G102-G103)*100/H102</f>
        <v>2.90140845070423</v>
      </c>
      <c r="J102" s="111" t="s">
        <v>150</v>
      </c>
    </row>
    <row r="103" customHeight="1" spans="1:10">
      <c r="A103" s="41"/>
      <c r="B103" s="42"/>
      <c r="C103" s="39">
        <v>11.4</v>
      </c>
      <c r="D103" s="40">
        <v>1.621</v>
      </c>
      <c r="E103" s="39">
        <v>1</v>
      </c>
      <c r="F103" s="106">
        <v>9.05</v>
      </c>
      <c r="G103" s="106">
        <f t="shared" si="85"/>
        <v>34.97</v>
      </c>
      <c r="H103" s="108"/>
      <c r="I103" s="112"/>
      <c r="J103" s="113"/>
    </row>
    <row r="104" customHeight="1" spans="1:10">
      <c r="A104" s="37" t="s">
        <v>1965</v>
      </c>
      <c r="B104" s="38"/>
      <c r="C104" s="39">
        <v>11.4</v>
      </c>
      <c r="D104" s="40">
        <v>1.513</v>
      </c>
      <c r="E104" s="39">
        <v>1</v>
      </c>
      <c r="F104" s="106">
        <v>8.65</v>
      </c>
      <c r="G104" s="106">
        <f t="shared" si="85"/>
        <v>39.2</v>
      </c>
      <c r="H104" s="107">
        <f t="shared" ref="H104" si="94">ROUND((G104+G105)/2,1)</f>
        <v>39.4</v>
      </c>
      <c r="I104" s="110">
        <f t="shared" ref="I104" si="95">(G104-G105)*100/H104</f>
        <v>-1.21827411167512</v>
      </c>
      <c r="J104" s="111" t="s">
        <v>150</v>
      </c>
    </row>
    <row r="105" customHeight="1" spans="1:10">
      <c r="A105" s="41"/>
      <c r="B105" s="42"/>
      <c r="C105" s="39">
        <v>11.4</v>
      </c>
      <c r="D105" s="40">
        <v>1.4284</v>
      </c>
      <c r="E105" s="39">
        <v>1</v>
      </c>
      <c r="F105" s="106">
        <v>9.05</v>
      </c>
      <c r="G105" s="106">
        <f t="shared" si="85"/>
        <v>39.68</v>
      </c>
      <c r="H105" s="108"/>
      <c r="I105" s="112"/>
      <c r="J105" s="113"/>
    </row>
    <row r="106" customHeight="1" spans="1:10">
      <c r="A106" s="37" t="s">
        <v>1966</v>
      </c>
      <c r="B106" s="38"/>
      <c r="C106" s="39">
        <v>11.4</v>
      </c>
      <c r="D106" s="40">
        <v>1.571</v>
      </c>
      <c r="E106" s="39">
        <v>1</v>
      </c>
      <c r="F106" s="106">
        <v>8.9</v>
      </c>
      <c r="G106" s="106">
        <f t="shared" si="85"/>
        <v>36.69</v>
      </c>
      <c r="H106" s="107">
        <f t="shared" ref="H106" si="96">ROUND((G106+G107)/2,1)</f>
        <v>37.3</v>
      </c>
      <c r="I106" s="110">
        <f t="shared" ref="I106" si="97">(G106-G107)*100/H106</f>
        <v>-3.3780160857909</v>
      </c>
      <c r="J106" s="111" t="s">
        <v>150</v>
      </c>
    </row>
    <row r="107" customHeight="1" spans="1:10">
      <c r="A107" s="41"/>
      <c r="B107" s="42"/>
      <c r="C107" s="39">
        <v>11.4</v>
      </c>
      <c r="D107" s="40">
        <v>1.3584</v>
      </c>
      <c r="E107" s="39">
        <v>1</v>
      </c>
      <c r="F107" s="106">
        <v>9.95</v>
      </c>
      <c r="G107" s="106">
        <f t="shared" si="85"/>
        <v>37.95</v>
      </c>
      <c r="H107" s="108"/>
      <c r="I107" s="112"/>
      <c r="J107" s="113"/>
    </row>
    <row r="108" customHeight="1" spans="1:10">
      <c r="A108" s="37" t="s">
        <v>1967</v>
      </c>
      <c r="B108" s="38"/>
      <c r="C108" s="39">
        <v>11.4</v>
      </c>
      <c r="D108" s="40">
        <v>1.5746</v>
      </c>
      <c r="E108" s="39">
        <v>1</v>
      </c>
      <c r="F108" s="106">
        <v>7</v>
      </c>
      <c r="G108" s="106">
        <f t="shared" si="85"/>
        <v>46.54</v>
      </c>
      <c r="H108" s="107">
        <f t="shared" ref="H108" si="98">ROUND((G108+G109)/2,1)</f>
        <v>46</v>
      </c>
      <c r="I108" s="110">
        <f t="shared" ref="I108" si="99">(G108-G109)*100/H108</f>
        <v>2.5</v>
      </c>
      <c r="J108" s="111" t="s">
        <v>150</v>
      </c>
    </row>
    <row r="109" customHeight="1" spans="1:10">
      <c r="A109" s="41"/>
      <c r="B109" s="42"/>
      <c r="C109" s="39">
        <v>11.4</v>
      </c>
      <c r="D109" s="40">
        <v>1.4129</v>
      </c>
      <c r="E109" s="39">
        <v>1</v>
      </c>
      <c r="F109" s="106">
        <v>8</v>
      </c>
      <c r="G109" s="106">
        <f t="shared" si="85"/>
        <v>45.39</v>
      </c>
      <c r="H109" s="108"/>
      <c r="I109" s="112"/>
      <c r="J109" s="113"/>
    </row>
    <row r="110" customHeight="1" spans="1:10">
      <c r="A110" s="37" t="s">
        <v>1968</v>
      </c>
      <c r="B110" s="38"/>
      <c r="C110" s="39">
        <v>11.4</v>
      </c>
      <c r="D110" s="40">
        <v>1.596</v>
      </c>
      <c r="E110" s="39">
        <v>1</v>
      </c>
      <c r="F110" s="106">
        <v>9.05</v>
      </c>
      <c r="G110" s="106">
        <f t="shared" si="85"/>
        <v>35.52</v>
      </c>
      <c r="H110" s="107">
        <f t="shared" ref="H110" si="100">ROUND((G110+G111)/2,1)</f>
        <v>36.4</v>
      </c>
      <c r="I110" s="110">
        <f t="shared" ref="I110" si="101">(G110-G111)*100/H110</f>
        <v>-4.72527472527472</v>
      </c>
      <c r="J110" s="111" t="s">
        <v>150</v>
      </c>
    </row>
    <row r="111" customHeight="1" spans="1:10">
      <c r="A111" s="41"/>
      <c r="B111" s="42"/>
      <c r="C111" s="39">
        <v>11.4</v>
      </c>
      <c r="D111" s="40">
        <v>1.522</v>
      </c>
      <c r="E111" s="39">
        <v>1</v>
      </c>
      <c r="F111" s="106">
        <v>9.05</v>
      </c>
      <c r="G111" s="106">
        <f t="shared" si="85"/>
        <v>37.24</v>
      </c>
      <c r="H111" s="108"/>
      <c r="I111" s="112"/>
      <c r="J111" s="113"/>
    </row>
    <row r="112" customHeight="1" spans="1:10">
      <c r="A112" s="37" t="s">
        <v>1969</v>
      </c>
      <c r="B112" s="38"/>
      <c r="C112" s="39">
        <v>11.4</v>
      </c>
      <c r="D112" s="40">
        <v>1.5166</v>
      </c>
      <c r="E112" s="39">
        <v>1</v>
      </c>
      <c r="F112" s="106">
        <v>9.25</v>
      </c>
      <c r="G112" s="106">
        <f t="shared" si="85"/>
        <v>36.57</v>
      </c>
      <c r="H112" s="107">
        <f t="shared" ref="H112" si="102">ROUND((G112+G113)/2,1)</f>
        <v>36.1</v>
      </c>
      <c r="I112" s="110">
        <f t="shared" ref="I112" si="103">(G112-G113)*100/H112</f>
        <v>2.65927977839335</v>
      </c>
      <c r="J112" s="111" t="s">
        <v>150</v>
      </c>
    </row>
    <row r="113" customHeight="1" spans="1:10">
      <c r="A113" s="41"/>
      <c r="B113" s="42"/>
      <c r="C113" s="39">
        <v>11.4</v>
      </c>
      <c r="D113" s="40">
        <v>1.4852</v>
      </c>
      <c r="E113" s="39">
        <v>1</v>
      </c>
      <c r="F113" s="106">
        <v>9.7</v>
      </c>
      <c r="G113" s="106">
        <f t="shared" si="85"/>
        <v>35.61</v>
      </c>
      <c r="H113" s="108"/>
      <c r="I113" s="112"/>
      <c r="J113" s="113"/>
    </row>
    <row r="114" customHeight="1" spans="1:10">
      <c r="A114" s="37"/>
      <c r="B114" s="38"/>
      <c r="C114" s="39">
        <v>11.4</v>
      </c>
      <c r="D114" s="40">
        <v>1.8364</v>
      </c>
      <c r="E114" s="39">
        <v>1</v>
      </c>
      <c r="F114" s="106">
        <v>7.2</v>
      </c>
      <c r="G114" s="106">
        <f t="shared" si="85"/>
        <v>38.8</v>
      </c>
      <c r="H114" s="107">
        <f t="shared" ref="H114" si="104">ROUND((G114+G115)/2,1)</f>
        <v>38.6</v>
      </c>
      <c r="I114" s="110">
        <f t="shared" ref="I114" si="105">(G114-G115)*100/H114</f>
        <v>1.08808290155439</v>
      </c>
      <c r="J114" s="111" t="s">
        <v>150</v>
      </c>
    </row>
    <row r="115" customHeight="1" spans="1:10">
      <c r="A115" s="41"/>
      <c r="B115" s="42"/>
      <c r="C115" s="39">
        <v>11.4</v>
      </c>
      <c r="D115" s="40">
        <v>1.7821</v>
      </c>
      <c r="E115" s="39">
        <v>1</v>
      </c>
      <c r="F115" s="106">
        <v>7.5</v>
      </c>
      <c r="G115" s="106">
        <f t="shared" si="85"/>
        <v>38.38</v>
      </c>
      <c r="H115" s="108"/>
      <c r="I115" s="112"/>
      <c r="J115" s="113"/>
    </row>
    <row r="116" customHeight="1" spans="1:10">
      <c r="A116" s="37" t="s">
        <v>1970</v>
      </c>
      <c r="B116" s="38"/>
      <c r="C116" s="39">
        <v>11.4</v>
      </c>
      <c r="D116" s="40">
        <v>1.5929</v>
      </c>
      <c r="E116" s="39">
        <v>1</v>
      </c>
      <c r="F116" s="106">
        <v>10.8</v>
      </c>
      <c r="G116" s="106">
        <f t="shared" si="85"/>
        <v>29.82</v>
      </c>
      <c r="H116" s="107">
        <f t="shared" ref="H116" si="106">ROUND((G116+G117)/2,1)</f>
        <v>30.5</v>
      </c>
      <c r="I116" s="110">
        <f t="shared" ref="I116" si="107">(G116-G117)*100/H116</f>
        <v>-4.62295081967213</v>
      </c>
      <c r="J116" s="111" t="s">
        <v>150</v>
      </c>
    </row>
    <row r="117" customHeight="1" spans="1:10">
      <c r="A117" s="41"/>
      <c r="B117" s="42"/>
      <c r="C117" s="39">
        <v>11.4</v>
      </c>
      <c r="D117" s="40">
        <v>1.3354</v>
      </c>
      <c r="E117" s="39">
        <v>1</v>
      </c>
      <c r="F117" s="106">
        <v>12.3</v>
      </c>
      <c r="G117" s="106">
        <f t="shared" si="85"/>
        <v>31.23</v>
      </c>
      <c r="H117" s="108"/>
      <c r="I117" s="112"/>
      <c r="J117" s="113"/>
    </row>
    <row r="118" customHeight="1" spans="1:10">
      <c r="A118" s="37" t="s">
        <v>1971</v>
      </c>
      <c r="B118" s="38"/>
      <c r="C118" s="39">
        <v>11.4</v>
      </c>
      <c r="D118" s="40">
        <v>1.5689</v>
      </c>
      <c r="E118" s="39">
        <v>1</v>
      </c>
      <c r="F118" s="106">
        <v>9.15</v>
      </c>
      <c r="G118" s="106">
        <f t="shared" si="85"/>
        <v>35.74</v>
      </c>
      <c r="H118" s="107">
        <f t="shared" ref="H118" si="108">ROUND((G118+G119)/2,1)</f>
        <v>36.4</v>
      </c>
      <c r="I118" s="110">
        <f t="shared" ref="I118" si="109">(G118-G119)*100/H118</f>
        <v>-3.37912087912087</v>
      </c>
      <c r="J118" s="111" t="s">
        <v>150</v>
      </c>
    </row>
    <row r="119" customHeight="1" spans="1:10">
      <c r="A119" s="41"/>
      <c r="B119" s="42"/>
      <c r="C119" s="39">
        <v>11.4</v>
      </c>
      <c r="D119" s="40">
        <v>1.4921</v>
      </c>
      <c r="E119" s="39">
        <v>1</v>
      </c>
      <c r="F119" s="106">
        <v>9.3</v>
      </c>
      <c r="G119" s="106">
        <f t="shared" si="85"/>
        <v>36.97</v>
      </c>
      <c r="H119" s="108"/>
      <c r="I119" s="112"/>
      <c r="J119" s="113"/>
    </row>
    <row r="120" customHeight="1" spans="1:10">
      <c r="A120" s="37" t="s">
        <v>406</v>
      </c>
      <c r="B120" s="38"/>
      <c r="C120" s="39">
        <v>11.3</v>
      </c>
      <c r="D120" s="40">
        <v>2.4642</v>
      </c>
      <c r="E120" s="39">
        <v>1</v>
      </c>
      <c r="F120" s="106">
        <v>12.8</v>
      </c>
      <c r="G120" s="106">
        <f t="shared" si="85"/>
        <v>16.12</v>
      </c>
      <c r="H120" s="107">
        <f t="shared" ref="H120" si="110">ROUND((G120+G121)/2,1)</f>
        <v>16</v>
      </c>
      <c r="I120" s="110">
        <f t="shared" ref="I120" si="111">(G120-G121)*100/H120</f>
        <v>1.31250000000001</v>
      </c>
      <c r="J120" s="111" t="s">
        <v>150</v>
      </c>
    </row>
    <row r="121" customHeight="1" spans="1:10">
      <c r="A121" s="41"/>
      <c r="B121" s="42"/>
      <c r="C121" s="39">
        <v>11.3</v>
      </c>
      <c r="D121" s="40">
        <v>2.4582</v>
      </c>
      <c r="E121" s="39">
        <v>1</v>
      </c>
      <c r="F121" s="106">
        <v>13</v>
      </c>
      <c r="G121" s="106">
        <f t="shared" si="85"/>
        <v>15.91</v>
      </c>
      <c r="H121" s="108"/>
      <c r="I121" s="112"/>
      <c r="J121" s="113"/>
    </row>
    <row r="122" customHeight="1" spans="1:10">
      <c r="A122" s="37" t="s">
        <v>407</v>
      </c>
      <c r="B122" s="38"/>
      <c r="C122" s="39">
        <v>11.3</v>
      </c>
      <c r="D122" s="40">
        <v>2.7226</v>
      </c>
      <c r="E122" s="39">
        <v>1</v>
      </c>
      <c r="F122" s="106">
        <v>10.45</v>
      </c>
      <c r="G122" s="106">
        <f t="shared" si="85"/>
        <v>17.87</v>
      </c>
      <c r="H122" s="107">
        <f t="shared" ref="H122" si="112">ROUND((G122+G123)/2,1)</f>
        <v>17.5</v>
      </c>
      <c r="I122" s="110">
        <f t="shared" ref="I122" si="113">(G122-G123)*100/H122</f>
        <v>4.68571428571429</v>
      </c>
      <c r="J122" s="111" t="s">
        <v>150</v>
      </c>
    </row>
    <row r="123" customHeight="1" spans="1:10">
      <c r="A123" s="41"/>
      <c r="B123" s="42"/>
      <c r="C123" s="39">
        <v>11.3</v>
      </c>
      <c r="D123" s="40">
        <v>2.6271</v>
      </c>
      <c r="E123" s="39">
        <v>1</v>
      </c>
      <c r="F123" s="106">
        <v>11.35</v>
      </c>
      <c r="G123" s="106">
        <f t="shared" si="85"/>
        <v>17.05</v>
      </c>
      <c r="H123" s="108"/>
      <c r="I123" s="112"/>
      <c r="J123" s="113"/>
    </row>
    <row r="124" customHeight="1" spans="1:10">
      <c r="A124" s="37" t="s">
        <v>1972</v>
      </c>
      <c r="B124" s="38"/>
      <c r="C124" s="39">
        <v>11.3</v>
      </c>
      <c r="D124" s="40">
        <v>1.2683</v>
      </c>
      <c r="E124" s="39">
        <v>1</v>
      </c>
      <c r="F124" s="115">
        <v>18.1</v>
      </c>
      <c r="G124" s="106">
        <f t="shared" si="85"/>
        <v>22.15</v>
      </c>
      <c r="H124" s="107">
        <f t="shared" ref="H124" si="114">ROUND((G124+G125)/2,1)</f>
        <v>22.2</v>
      </c>
      <c r="I124" s="110">
        <f t="shared" ref="I124" si="115">(G124-G125)*100/H124</f>
        <v>0</v>
      </c>
      <c r="J124" s="111" t="s">
        <v>150</v>
      </c>
    </row>
    <row r="125" customHeight="1" spans="1:10">
      <c r="A125" s="41"/>
      <c r="B125" s="42"/>
      <c r="C125" s="39">
        <v>11.3</v>
      </c>
      <c r="D125" s="40">
        <v>1.2683</v>
      </c>
      <c r="E125" s="39">
        <v>1</v>
      </c>
      <c r="F125" s="115">
        <v>18.1</v>
      </c>
      <c r="G125" s="106">
        <f t="shared" si="85"/>
        <v>22.15</v>
      </c>
      <c r="H125" s="108"/>
      <c r="I125" s="112"/>
      <c r="J125" s="113"/>
    </row>
    <row r="126" customHeight="1" spans="1:10">
      <c r="A126" s="37" t="s">
        <v>1972</v>
      </c>
      <c r="B126" s="38"/>
      <c r="C126" s="39">
        <v>11.3</v>
      </c>
      <c r="D126" s="40">
        <v>1.8599</v>
      </c>
      <c r="E126" s="39">
        <v>1</v>
      </c>
      <c r="F126" s="106">
        <v>11.4</v>
      </c>
      <c r="G126" s="106">
        <f t="shared" si="85"/>
        <v>23.98</v>
      </c>
      <c r="H126" s="107">
        <f t="shared" ref="H126" si="116">ROUND((G126+G127)/2,1)</f>
        <v>23.8</v>
      </c>
      <c r="I126" s="110">
        <f t="shared" ref="I126" si="117">(G126-G127)*100/H126</f>
        <v>1.9327731092437</v>
      </c>
      <c r="J126" s="111" t="s">
        <v>150</v>
      </c>
    </row>
    <row r="127" customHeight="1" spans="1:10">
      <c r="A127" s="41"/>
      <c r="B127" s="42"/>
      <c r="C127" s="39">
        <v>11.3</v>
      </c>
      <c r="D127" s="40">
        <v>1.9655</v>
      </c>
      <c r="E127" s="39">
        <v>1</v>
      </c>
      <c r="F127" s="106">
        <v>11</v>
      </c>
      <c r="G127" s="106">
        <f t="shared" si="85"/>
        <v>23.52</v>
      </c>
      <c r="H127" s="108"/>
      <c r="I127" s="112"/>
      <c r="J127" s="113"/>
    </row>
    <row r="128" customHeight="1" spans="7:7">
      <c r="G128" s="106" t="e">
        <f t="shared" si="85"/>
        <v>#DIV/0!</v>
      </c>
    </row>
    <row r="129" customHeight="1" spans="1:10">
      <c r="A129" s="37" t="s">
        <v>1593</v>
      </c>
      <c r="B129" s="38"/>
      <c r="C129" s="39">
        <v>11.3</v>
      </c>
      <c r="D129" s="40">
        <v>1.5043</v>
      </c>
      <c r="E129" s="39">
        <v>1</v>
      </c>
      <c r="F129" s="106">
        <v>13.05</v>
      </c>
      <c r="G129" s="106">
        <f t="shared" si="85"/>
        <v>25.9</v>
      </c>
      <c r="H129" s="107">
        <f t="shared" ref="H129" si="118">ROUND((G129+G130)/2,1)</f>
        <v>26</v>
      </c>
      <c r="I129" s="110">
        <f t="shared" ref="I129" si="119">(G129-G130)*100/H129</f>
        <v>-0.692307692307691</v>
      </c>
      <c r="J129" s="111" t="s">
        <v>150</v>
      </c>
    </row>
    <row r="130" customHeight="1" spans="1:10">
      <c r="A130" s="41"/>
      <c r="B130" s="42"/>
      <c r="C130" s="39">
        <v>11.3</v>
      </c>
      <c r="D130" s="40">
        <v>1.6525</v>
      </c>
      <c r="E130" s="39">
        <v>1</v>
      </c>
      <c r="F130" s="106">
        <v>11.8</v>
      </c>
      <c r="G130" s="106">
        <f t="shared" si="85"/>
        <v>26.08</v>
      </c>
      <c r="H130" s="108"/>
      <c r="I130" s="112"/>
      <c r="J130" s="113"/>
    </row>
    <row r="131" customHeight="1" spans="1:10">
      <c r="A131" s="37" t="s">
        <v>1973</v>
      </c>
      <c r="B131" s="38"/>
      <c r="C131" s="39">
        <v>11.3</v>
      </c>
      <c r="D131" s="40">
        <v>2.3304</v>
      </c>
      <c r="E131" s="39">
        <v>1</v>
      </c>
      <c r="F131" s="106">
        <v>5.3</v>
      </c>
      <c r="G131" s="106">
        <f t="shared" si="85"/>
        <v>41.17</v>
      </c>
      <c r="H131" s="107">
        <f t="shared" ref="H131" si="120">ROUND((G131+G132)/2,1)</f>
        <v>41.6</v>
      </c>
      <c r="I131" s="110">
        <f t="shared" ref="I131" si="121">(G131-G132)*100/H131</f>
        <v>-2.25961538461538</v>
      </c>
      <c r="J131" s="111" t="s">
        <v>150</v>
      </c>
    </row>
    <row r="132" customHeight="1" spans="1:10">
      <c r="A132" s="41"/>
      <c r="B132" s="42"/>
      <c r="C132" s="39">
        <v>11.3</v>
      </c>
      <c r="D132" s="40">
        <v>2.0125</v>
      </c>
      <c r="E132" s="39">
        <v>1</v>
      </c>
      <c r="F132" s="106">
        <v>6</v>
      </c>
      <c r="G132" s="106">
        <f t="shared" si="85"/>
        <v>42.11</v>
      </c>
      <c r="H132" s="108"/>
      <c r="I132" s="112"/>
      <c r="J132" s="113"/>
    </row>
    <row r="133" customHeight="1" spans="1:10">
      <c r="A133" s="37" t="s">
        <v>1974</v>
      </c>
      <c r="B133" s="38"/>
      <c r="C133" s="39">
        <v>11.3</v>
      </c>
      <c r="D133" s="40">
        <v>2.1866</v>
      </c>
      <c r="E133" s="39">
        <v>1</v>
      </c>
      <c r="F133" s="106">
        <v>7.2</v>
      </c>
      <c r="G133" s="106">
        <f t="shared" si="85"/>
        <v>32.3</v>
      </c>
      <c r="H133" s="107">
        <f t="shared" ref="H133" si="122">ROUND((G133+G134)/2,1)</f>
        <v>32.8</v>
      </c>
      <c r="I133" s="110">
        <f t="shared" ref="I133" si="123">(G133-G134)*100/H133</f>
        <v>-2.80487804878049</v>
      </c>
      <c r="J133" s="111" t="s">
        <v>150</v>
      </c>
    </row>
    <row r="134" customHeight="1" spans="1:10">
      <c r="A134" s="41"/>
      <c r="B134" s="42"/>
      <c r="C134" s="39">
        <v>11.3</v>
      </c>
      <c r="D134" s="40">
        <v>2.1866</v>
      </c>
      <c r="E134" s="39">
        <v>1</v>
      </c>
      <c r="F134" s="106">
        <v>7</v>
      </c>
      <c r="G134" s="106">
        <f t="shared" si="85"/>
        <v>33.22</v>
      </c>
      <c r="H134" s="108"/>
      <c r="I134" s="112"/>
      <c r="J134" s="113"/>
    </row>
    <row r="135" customHeight="1" spans="1:10">
      <c r="A135" s="37" t="s">
        <v>1593</v>
      </c>
      <c r="B135" s="38" t="s">
        <v>222</v>
      </c>
      <c r="C135" s="39">
        <v>11.3</v>
      </c>
      <c r="D135" s="40">
        <v>2.1059</v>
      </c>
      <c r="E135" s="39">
        <v>1</v>
      </c>
      <c r="F135" s="106">
        <v>9.05</v>
      </c>
      <c r="G135" s="106">
        <f t="shared" si="85"/>
        <v>26.68</v>
      </c>
      <c r="H135" s="107">
        <f t="shared" ref="H135" si="124">ROUND((G135+G136)/2,1)</f>
        <v>26.7</v>
      </c>
      <c r="I135" s="110">
        <f t="shared" ref="I135" si="125">(G135-G136)*100/H135</f>
        <v>0</v>
      </c>
      <c r="J135" s="111" t="s">
        <v>150</v>
      </c>
    </row>
    <row r="136" customHeight="1" spans="1:10">
      <c r="A136" s="41"/>
      <c r="B136" s="42"/>
      <c r="C136" s="39">
        <v>11.3</v>
      </c>
      <c r="D136" s="40">
        <v>2.1059</v>
      </c>
      <c r="E136" s="39">
        <v>1</v>
      </c>
      <c r="F136" s="106">
        <v>9.05</v>
      </c>
      <c r="G136" s="106">
        <f t="shared" si="85"/>
        <v>26.68</v>
      </c>
      <c r="H136" s="108"/>
      <c r="I136" s="112"/>
      <c r="J136" s="113"/>
    </row>
    <row r="137" customHeight="1" spans="1:10">
      <c r="A137" s="37" t="s">
        <v>1972</v>
      </c>
      <c r="B137" s="38" t="s">
        <v>222</v>
      </c>
      <c r="C137" s="39">
        <v>11.3</v>
      </c>
      <c r="D137" s="40">
        <v>2.0671</v>
      </c>
      <c r="E137" s="39">
        <v>1</v>
      </c>
      <c r="F137" s="106">
        <v>11.85</v>
      </c>
      <c r="G137" s="106">
        <f t="shared" si="85"/>
        <v>20.76</v>
      </c>
      <c r="H137" s="107">
        <f t="shared" ref="H137" si="126">ROUND((G137+G138)/2,1)</f>
        <v>20.8</v>
      </c>
      <c r="I137" s="110">
        <f t="shared" ref="I137" si="127">(G137-G138)*100/H137</f>
        <v>0</v>
      </c>
      <c r="J137" s="111" t="s">
        <v>150</v>
      </c>
    </row>
    <row r="138" customHeight="1" spans="1:10">
      <c r="A138" s="41"/>
      <c r="B138" s="42"/>
      <c r="C138" s="39">
        <v>11.3</v>
      </c>
      <c r="D138" s="40">
        <v>2.0671</v>
      </c>
      <c r="E138" s="39">
        <v>1</v>
      </c>
      <c r="F138" s="106">
        <v>11.85</v>
      </c>
      <c r="G138" s="106">
        <f t="shared" si="85"/>
        <v>20.76</v>
      </c>
      <c r="H138" s="108"/>
      <c r="I138" s="112"/>
      <c r="J138" s="113"/>
    </row>
    <row r="139" customHeight="1" spans="1:10">
      <c r="A139" s="37" t="s">
        <v>1593</v>
      </c>
      <c r="B139" s="38" t="s">
        <v>222</v>
      </c>
      <c r="C139" s="39">
        <v>11.3</v>
      </c>
      <c r="D139" s="40">
        <v>1.1264</v>
      </c>
      <c r="E139" s="39">
        <v>1</v>
      </c>
      <c r="F139" s="106">
        <v>7.6</v>
      </c>
      <c r="G139" s="106">
        <f t="shared" ref="G139:G140" si="128">ROUND(C139*100*E139*250*100*0.9/50/D139/F139/1000,2)</f>
        <v>59.4</v>
      </c>
      <c r="H139" s="107">
        <f t="shared" ref="H139" si="129">ROUND((G139+G140)/2,1)</f>
        <v>60.2</v>
      </c>
      <c r="I139" s="110">
        <f t="shared" ref="I139" si="130">(G139-G140)*100/H139</f>
        <v>-2.60797342192691</v>
      </c>
      <c r="J139" s="111" t="s">
        <v>150</v>
      </c>
    </row>
    <row r="140" customHeight="1" spans="1:10">
      <c r="A140" s="41"/>
      <c r="B140" s="42"/>
      <c r="C140" s="39">
        <v>11.3</v>
      </c>
      <c r="D140" s="40">
        <v>1.2541</v>
      </c>
      <c r="E140" s="39">
        <v>1</v>
      </c>
      <c r="F140" s="106">
        <v>6.65</v>
      </c>
      <c r="G140" s="106">
        <f t="shared" si="128"/>
        <v>60.97</v>
      </c>
      <c r="H140" s="108"/>
      <c r="I140" s="112"/>
      <c r="J140" s="113"/>
    </row>
    <row r="141" customHeight="1" spans="1:11">
      <c r="A141" s="37" t="s">
        <v>1974</v>
      </c>
      <c r="B141" s="38" t="s">
        <v>222</v>
      </c>
      <c r="C141" s="39">
        <v>11.3</v>
      </c>
      <c r="D141" s="40">
        <v>1.1111</v>
      </c>
      <c r="E141" s="39">
        <v>1</v>
      </c>
      <c r="F141" s="106">
        <v>8.7</v>
      </c>
      <c r="G141" s="106">
        <f t="shared" ref="G141:G144" si="131">ROUND(C141*100*E141*250*100*0.9/50/D141/F141/1000,2)</f>
        <v>52.6</v>
      </c>
      <c r="H141" s="107">
        <f t="shared" ref="H141" si="132">ROUND((G141+G142)/2,1)</f>
        <v>53.2</v>
      </c>
      <c r="I141" s="110">
        <f t="shared" ref="I141" si="133">(G141-G142)*100/H141</f>
        <v>-2.06766917293233</v>
      </c>
      <c r="J141" s="111" t="s">
        <v>150</v>
      </c>
      <c r="K141" s="65" t="s">
        <v>1975</v>
      </c>
    </row>
    <row r="142" customHeight="1" spans="1:10">
      <c r="A142" s="41"/>
      <c r="B142" s="42"/>
      <c r="C142" s="39">
        <v>11.3</v>
      </c>
      <c r="D142" s="40">
        <v>1.2141</v>
      </c>
      <c r="E142" s="39">
        <v>1</v>
      </c>
      <c r="F142" s="106">
        <v>7.8</v>
      </c>
      <c r="G142" s="106">
        <f t="shared" si="131"/>
        <v>53.7</v>
      </c>
      <c r="H142" s="108"/>
      <c r="I142" s="112"/>
      <c r="J142" s="113"/>
    </row>
    <row r="143" customHeight="1" spans="1:10">
      <c r="A143" s="37" t="s">
        <v>1972</v>
      </c>
      <c r="B143" s="38" t="s">
        <v>222</v>
      </c>
      <c r="C143" s="39">
        <v>11.3</v>
      </c>
      <c r="D143" s="40">
        <v>1.4452</v>
      </c>
      <c r="E143" s="39">
        <v>1</v>
      </c>
      <c r="F143" s="106">
        <v>7.25</v>
      </c>
      <c r="G143" s="106">
        <f t="shared" si="131"/>
        <v>48.53</v>
      </c>
      <c r="H143" s="107">
        <f t="shared" ref="H143" si="134">ROUND((G143+G144)/2,1)</f>
        <v>48.5</v>
      </c>
      <c r="I143" s="110">
        <f t="shared" ref="I143" si="135">(G143-G144)*100/H143</f>
        <v>0</v>
      </c>
      <c r="J143" s="111" t="s">
        <v>150</v>
      </c>
    </row>
    <row r="144" customHeight="1" spans="1:10">
      <c r="A144" s="41"/>
      <c r="B144" s="42"/>
      <c r="C144" s="39">
        <v>11.3</v>
      </c>
      <c r="D144" s="40">
        <v>1.4452</v>
      </c>
      <c r="E144" s="39">
        <v>1</v>
      </c>
      <c r="F144" s="106">
        <v>7.25</v>
      </c>
      <c r="G144" s="106">
        <f t="shared" si="131"/>
        <v>48.53</v>
      </c>
      <c r="H144" s="108"/>
      <c r="I144" s="112"/>
      <c r="J144" s="113"/>
    </row>
    <row r="145" customHeight="1" spans="1:10">
      <c r="A145" s="37" t="s">
        <v>1976</v>
      </c>
      <c r="B145" s="38"/>
      <c r="C145" s="39">
        <v>11.1</v>
      </c>
      <c r="D145" s="40">
        <v>2.1329</v>
      </c>
      <c r="E145" s="39">
        <v>1</v>
      </c>
      <c r="F145" s="106">
        <v>12.3</v>
      </c>
      <c r="G145" s="106">
        <f t="shared" ref="G145:G146" si="136">ROUND(C145*100*E145*250*100*0.9/50/D145/F145/1000,2)</f>
        <v>19.04</v>
      </c>
      <c r="H145" s="107">
        <f t="shared" ref="H145" si="137">ROUND((G145+G146)/2,1)</f>
        <v>19.2</v>
      </c>
      <c r="I145" s="110">
        <f t="shared" ref="I145" si="138">(G145-G146)*100/H145</f>
        <v>-2.08333333333334</v>
      </c>
      <c r="J145" s="111" t="s">
        <v>150</v>
      </c>
    </row>
    <row r="146" customHeight="1" spans="1:10">
      <c r="A146" s="41"/>
      <c r="B146" s="42"/>
      <c r="C146" s="39">
        <v>11.1</v>
      </c>
      <c r="D146" s="40">
        <v>2.3569</v>
      </c>
      <c r="E146" s="39">
        <v>1</v>
      </c>
      <c r="F146" s="106">
        <v>10.9</v>
      </c>
      <c r="G146" s="106">
        <f t="shared" si="136"/>
        <v>19.44</v>
      </c>
      <c r="H146" s="108"/>
      <c r="I146" s="112"/>
      <c r="J146" s="113"/>
    </row>
    <row r="147" customHeight="1" spans="1:10">
      <c r="A147" s="37" t="s">
        <v>1977</v>
      </c>
      <c r="B147" s="38"/>
      <c r="C147" s="39">
        <v>11.1</v>
      </c>
      <c r="D147" s="40">
        <v>3.5567</v>
      </c>
      <c r="E147" s="39">
        <v>2</v>
      </c>
      <c r="F147" s="106">
        <v>8.95</v>
      </c>
      <c r="G147" s="106">
        <f>ROUND(C147*100*E147*200*100*0.9/50/D147/F147/1000,2)</f>
        <v>25.11</v>
      </c>
      <c r="H147" s="107">
        <f t="shared" ref="H147" si="139">ROUND((G147+G148)/2,1)</f>
        <v>24.9</v>
      </c>
      <c r="I147" s="110">
        <f t="shared" ref="I147" si="140">(G147-G148)*100/H147</f>
        <v>1.9277108433735</v>
      </c>
      <c r="J147" s="133" t="s">
        <v>877</v>
      </c>
    </row>
    <row r="148" customHeight="1" spans="1:10">
      <c r="A148" s="41"/>
      <c r="B148" s="42"/>
      <c r="C148" s="39">
        <v>11.1</v>
      </c>
      <c r="D148" s="40">
        <v>3.6254</v>
      </c>
      <c r="E148" s="39">
        <v>2</v>
      </c>
      <c r="F148" s="106">
        <v>8.95</v>
      </c>
      <c r="G148" s="106">
        <f>ROUND(C148*100*E148*200*100*0.9/50/D148/F148/1000,2)</f>
        <v>24.63</v>
      </c>
      <c r="H148" s="108"/>
      <c r="I148" s="112"/>
      <c r="J148" s="134"/>
    </row>
    <row r="149" s="77" customFormat="1" customHeight="1" spans="1:10">
      <c r="A149" s="116" t="s">
        <v>1978</v>
      </c>
      <c r="B149" s="117"/>
      <c r="C149" s="118">
        <v>11.1</v>
      </c>
      <c r="D149" s="119">
        <v>2.399</v>
      </c>
      <c r="E149" s="118">
        <v>1</v>
      </c>
      <c r="F149" s="120">
        <v>7.2</v>
      </c>
      <c r="G149" s="120">
        <f t="shared" ref="G149:G152" si="141">ROUND(C149*100*E149*250*100*0.9/50/D149/F149/1000,2)</f>
        <v>28.92</v>
      </c>
      <c r="H149" s="121">
        <f t="shared" ref="H149" si="142">ROUND((G149+G150)/2,1)</f>
        <v>28.9</v>
      </c>
      <c r="I149" s="135">
        <f t="shared" ref="I149" si="143">(G149-G150)*100/H149</f>
        <v>0</v>
      </c>
      <c r="J149" s="136" t="s">
        <v>150</v>
      </c>
    </row>
    <row r="150" s="77" customFormat="1" customHeight="1" spans="1:10">
      <c r="A150" s="122"/>
      <c r="B150" s="123"/>
      <c r="C150" s="118">
        <v>11.1</v>
      </c>
      <c r="D150" s="119">
        <v>2.399</v>
      </c>
      <c r="E150" s="118">
        <v>1</v>
      </c>
      <c r="F150" s="120">
        <v>7.2</v>
      </c>
      <c r="G150" s="120">
        <f t="shared" si="141"/>
        <v>28.92</v>
      </c>
      <c r="H150" s="124"/>
      <c r="I150" s="137"/>
      <c r="J150" s="138"/>
    </row>
    <row r="151" s="77" customFormat="1" customHeight="1" spans="1:11">
      <c r="A151" s="116" t="s">
        <v>1978</v>
      </c>
      <c r="B151" s="117"/>
      <c r="C151" s="118">
        <v>11.1</v>
      </c>
      <c r="D151" s="119">
        <v>1.7862</v>
      </c>
      <c r="E151" s="118">
        <v>1</v>
      </c>
      <c r="F151" s="120">
        <v>9.7</v>
      </c>
      <c r="G151" s="120">
        <f t="shared" si="141"/>
        <v>28.83</v>
      </c>
      <c r="H151" s="121">
        <f t="shared" ref="H151" si="144">ROUND((G151+G152)/2,1)</f>
        <v>28.9</v>
      </c>
      <c r="I151" s="135">
        <f t="shared" ref="I151" si="145">(G151-G152)*100/H151</f>
        <v>-0.311418685121119</v>
      </c>
      <c r="J151" s="136" t="s">
        <v>150</v>
      </c>
      <c r="K151" s="98" t="s">
        <v>222</v>
      </c>
    </row>
    <row r="152" s="77" customFormat="1" customHeight="1" spans="1:10">
      <c r="A152" s="122"/>
      <c r="B152" s="123"/>
      <c r="C152" s="118">
        <v>11.1</v>
      </c>
      <c r="D152" s="119">
        <v>2.399</v>
      </c>
      <c r="E152" s="118">
        <v>1</v>
      </c>
      <c r="F152" s="120">
        <v>7.2</v>
      </c>
      <c r="G152" s="120">
        <f t="shared" si="141"/>
        <v>28.92</v>
      </c>
      <c r="H152" s="124"/>
      <c r="I152" s="137"/>
      <c r="J152" s="138"/>
    </row>
    <row r="153" customHeight="1" spans="1:10">
      <c r="A153" s="37" t="s">
        <v>1979</v>
      </c>
      <c r="B153" s="38"/>
      <c r="C153" s="39">
        <v>11.1</v>
      </c>
      <c r="D153" s="40">
        <v>1.2674</v>
      </c>
      <c r="E153" s="39">
        <v>1</v>
      </c>
      <c r="F153" s="106">
        <v>6.2</v>
      </c>
      <c r="G153" s="106">
        <f>ROUND(C153*100*E153*200*100*0.9/50/D153/F153/1000,2)</f>
        <v>50.85</v>
      </c>
      <c r="H153" s="107">
        <f>ROUND((G153+G154)/2,1)</f>
        <v>51.6</v>
      </c>
      <c r="I153" s="110">
        <f t="shared" ref="I153" si="146">(G153-G154)*100/H153</f>
        <v>-2.86821705426356</v>
      </c>
      <c r="J153" s="111" t="s">
        <v>150</v>
      </c>
    </row>
    <row r="154" customHeight="1" spans="1:10">
      <c r="A154" s="41"/>
      <c r="B154" s="42"/>
      <c r="C154" s="39">
        <v>11.1</v>
      </c>
      <c r="D154" s="40">
        <v>1.2317</v>
      </c>
      <c r="E154" s="39">
        <v>1</v>
      </c>
      <c r="F154" s="106">
        <v>6.2</v>
      </c>
      <c r="G154" s="106">
        <f>ROUND(C154*100*E154*200*100*0.9/50/D154/F154/1000,2)</f>
        <v>52.33</v>
      </c>
      <c r="H154" s="108"/>
      <c r="I154" s="112"/>
      <c r="J154" s="113"/>
    </row>
    <row r="155" s="76" customFormat="1" customHeight="1" spans="1:11">
      <c r="A155" s="125" t="s">
        <v>1980</v>
      </c>
      <c r="B155" s="126"/>
      <c r="C155" s="127">
        <v>11.1</v>
      </c>
      <c r="D155" s="128">
        <v>2.8712</v>
      </c>
      <c r="E155" s="127">
        <v>4</v>
      </c>
      <c r="F155" s="115">
        <v>13</v>
      </c>
      <c r="G155" s="115">
        <f>ROUND(C155*100*E155*250*100*0.9/50/D155/F155/1000,2)</f>
        <v>53.53</v>
      </c>
      <c r="H155" s="129">
        <f>ROUND((G155+G156)/2,1)</f>
        <v>53.6</v>
      </c>
      <c r="I155" s="139">
        <f t="shared" ref="I155" si="147">(G155-G156)*100/H155</f>
        <v>-0.391791044776121</v>
      </c>
      <c r="J155" s="133" t="s">
        <v>150</v>
      </c>
      <c r="K155" s="97" t="s">
        <v>1655</v>
      </c>
    </row>
    <row r="156" s="76" customFormat="1" customHeight="1" spans="1:10">
      <c r="A156" s="130"/>
      <c r="B156" s="131"/>
      <c r="C156" s="127">
        <v>11.1</v>
      </c>
      <c r="D156" s="128">
        <v>2.8598</v>
      </c>
      <c r="E156" s="127">
        <v>4</v>
      </c>
      <c r="F156" s="115">
        <v>13</v>
      </c>
      <c r="G156" s="115">
        <f t="shared" ref="G156:G157" si="148">ROUND(C156*100*E156*250*100*0.9/50/D156/F156/1000,2)</f>
        <v>53.74</v>
      </c>
      <c r="H156" s="132"/>
      <c r="I156" s="140"/>
      <c r="J156" s="134"/>
    </row>
    <row r="157" customHeight="1" spans="1:11">
      <c r="A157" s="37" t="s">
        <v>1979</v>
      </c>
      <c r="B157" s="38"/>
      <c r="C157" s="39">
        <v>11.1</v>
      </c>
      <c r="D157" s="40">
        <v>1.2414</v>
      </c>
      <c r="E157" s="39">
        <v>1</v>
      </c>
      <c r="F157" s="106">
        <v>7.2</v>
      </c>
      <c r="G157" s="106">
        <f t="shared" si="148"/>
        <v>55.88</v>
      </c>
      <c r="H157" s="107">
        <f>ROUND((G157+G158)/2,1)</f>
        <v>55.6</v>
      </c>
      <c r="I157" s="110">
        <f t="shared" ref="I157" si="149">(G157-G158)*100/H157</f>
        <v>0.88129496402878</v>
      </c>
      <c r="J157" s="111" t="s">
        <v>150</v>
      </c>
      <c r="K157" s="65" t="s">
        <v>222</v>
      </c>
    </row>
    <row r="158" customHeight="1" spans="1:10">
      <c r="A158" s="41"/>
      <c r="B158" s="42"/>
      <c r="C158" s="39">
        <v>11.1</v>
      </c>
      <c r="D158" s="40">
        <v>1.1414</v>
      </c>
      <c r="E158" s="39">
        <v>1</v>
      </c>
      <c r="F158" s="106">
        <v>7.9</v>
      </c>
      <c r="G158" s="106">
        <f t="shared" ref="G158:G159" si="150">ROUND(C158*100*E158*250*100*0.9/50/D158/F158/1000,2)</f>
        <v>55.39</v>
      </c>
      <c r="H158" s="108"/>
      <c r="I158" s="112"/>
      <c r="J158" s="113"/>
    </row>
    <row r="159" customHeight="1" spans="1:10">
      <c r="A159" s="37" t="s">
        <v>1981</v>
      </c>
      <c r="B159" s="38"/>
      <c r="C159" s="39">
        <v>11.1</v>
      </c>
      <c r="D159" s="40">
        <v>2.0305</v>
      </c>
      <c r="E159" s="39">
        <v>2</v>
      </c>
      <c r="F159" s="106">
        <v>9.8</v>
      </c>
      <c r="G159" s="106">
        <f t="shared" si="150"/>
        <v>50.2</v>
      </c>
      <c r="H159" s="107">
        <f t="shared" ref="H159" si="151">ROUND((G159+G160)/2,1)</f>
        <v>50.1</v>
      </c>
      <c r="I159" s="110">
        <f t="shared" ref="I159" si="152">(G159-G160)*100/H159</f>
        <v>0.538922155688629</v>
      </c>
      <c r="J159" s="111" t="s">
        <v>150</v>
      </c>
    </row>
    <row r="160" customHeight="1" spans="1:10">
      <c r="A160" s="41"/>
      <c r="B160" s="42"/>
      <c r="C160" s="39">
        <v>11.1</v>
      </c>
      <c r="D160" s="40">
        <v>1.9055</v>
      </c>
      <c r="E160" s="39">
        <v>2</v>
      </c>
      <c r="F160" s="106">
        <v>10.5</v>
      </c>
      <c r="G160" s="106">
        <f t="shared" ref="G160:G176" si="153">ROUND(C160*100*E160*250*100*0.9/50/D160/F160/1000,2)</f>
        <v>49.93</v>
      </c>
      <c r="H160" s="108"/>
      <c r="I160" s="112"/>
      <c r="J160" s="113"/>
    </row>
    <row r="161" customHeight="1" spans="1:10">
      <c r="A161" s="37" t="s">
        <v>1982</v>
      </c>
      <c r="B161" s="38"/>
      <c r="C161" s="39">
        <v>11.1</v>
      </c>
      <c r="D161" s="40">
        <v>2.1464</v>
      </c>
      <c r="E161" s="39">
        <v>1</v>
      </c>
      <c r="F161" s="106">
        <v>5.9</v>
      </c>
      <c r="G161" s="106">
        <f t="shared" si="153"/>
        <v>39.44</v>
      </c>
      <c r="H161" s="107">
        <f t="shared" ref="H161" si="154">ROUND((G161+G162)/2,1)</f>
        <v>40.2</v>
      </c>
      <c r="I161" s="110">
        <f t="shared" ref="I161" si="155">(G161-G162)*100/H161</f>
        <v>-3.83084577114428</v>
      </c>
      <c r="J161" s="111" t="s">
        <v>150</v>
      </c>
    </row>
    <row r="162" customHeight="1" spans="1:10">
      <c r="A162" s="41"/>
      <c r="B162" s="42"/>
      <c r="C162" s="39">
        <v>11.1</v>
      </c>
      <c r="D162" s="40">
        <v>2.0148</v>
      </c>
      <c r="E162" s="39">
        <v>1</v>
      </c>
      <c r="F162" s="106">
        <v>6.05</v>
      </c>
      <c r="G162" s="106">
        <f t="shared" si="153"/>
        <v>40.98</v>
      </c>
      <c r="H162" s="108"/>
      <c r="I162" s="112"/>
      <c r="J162" s="113"/>
    </row>
    <row r="163" ht="57.75" customHeight="1" spans="1:10">
      <c r="A163" s="37" t="s">
        <v>1983</v>
      </c>
      <c r="B163" s="38"/>
      <c r="C163" s="39">
        <v>11.1</v>
      </c>
      <c r="D163" s="40">
        <v>2.3459</v>
      </c>
      <c r="E163" s="39">
        <v>2</v>
      </c>
      <c r="F163" s="106">
        <v>9</v>
      </c>
      <c r="G163" s="106">
        <f t="shared" si="153"/>
        <v>47.32</v>
      </c>
      <c r="H163" s="107">
        <f t="shared" ref="H163" si="156">ROUND((G163+G164)/2,1)</f>
        <v>48</v>
      </c>
      <c r="I163" s="110">
        <f t="shared" ref="I163" si="157">(G163-G164)*100/H163</f>
        <v>-2.64583333333334</v>
      </c>
      <c r="J163" s="111" t="s">
        <v>150</v>
      </c>
    </row>
    <row r="164" ht="57.75" customHeight="1" spans="1:10">
      <c r="A164" s="41"/>
      <c r="B164" s="42"/>
      <c r="C164" s="39">
        <v>11.1</v>
      </c>
      <c r="D164" s="40">
        <v>2.1089</v>
      </c>
      <c r="E164" s="39">
        <v>2</v>
      </c>
      <c r="F164" s="106">
        <v>9.75</v>
      </c>
      <c r="G164" s="106">
        <f t="shared" si="153"/>
        <v>48.59</v>
      </c>
      <c r="H164" s="108"/>
      <c r="I164" s="112"/>
      <c r="J164" s="113"/>
    </row>
    <row r="165" customHeight="1" spans="1:10">
      <c r="A165" s="37" t="s">
        <v>1984</v>
      </c>
      <c r="B165" s="38"/>
      <c r="C165" s="39">
        <v>11.1</v>
      </c>
      <c r="D165" s="40">
        <v>2.2972</v>
      </c>
      <c r="E165" s="39">
        <v>1</v>
      </c>
      <c r="F165" s="106">
        <v>6</v>
      </c>
      <c r="G165" s="106">
        <f t="shared" si="153"/>
        <v>36.24</v>
      </c>
      <c r="H165" s="107">
        <f t="shared" ref="H165" si="158">ROUND((G165+G166)/2,1)</f>
        <v>36.5</v>
      </c>
      <c r="I165" s="110">
        <f t="shared" ref="I165" si="159">(G165-G166)*100/H165</f>
        <v>-1.17808219178082</v>
      </c>
      <c r="J165" s="111" t="s">
        <v>150</v>
      </c>
    </row>
    <row r="166" customHeight="1" spans="1:10">
      <c r="A166" s="41"/>
      <c r="B166" s="42"/>
      <c r="C166" s="39">
        <v>11.1</v>
      </c>
      <c r="D166" s="40">
        <v>2.0955</v>
      </c>
      <c r="E166" s="39">
        <v>1</v>
      </c>
      <c r="F166" s="106">
        <v>6.5</v>
      </c>
      <c r="G166" s="106">
        <f t="shared" si="153"/>
        <v>36.67</v>
      </c>
      <c r="H166" s="108"/>
      <c r="I166" s="112"/>
      <c r="J166" s="113"/>
    </row>
    <row r="167" customHeight="1" spans="1:10">
      <c r="A167" s="37" t="s">
        <v>1985</v>
      </c>
      <c r="B167" s="38"/>
      <c r="C167" s="39">
        <v>11.1</v>
      </c>
      <c r="D167" s="40">
        <v>2.2758</v>
      </c>
      <c r="E167" s="39">
        <v>1</v>
      </c>
      <c r="F167" s="106">
        <v>5.3</v>
      </c>
      <c r="G167" s="106">
        <f t="shared" si="153"/>
        <v>41.41</v>
      </c>
      <c r="H167" s="107">
        <f t="shared" ref="H167" si="160">ROUND((G167+G168)/2,1)</f>
        <v>41.7</v>
      </c>
      <c r="I167" s="110">
        <f t="shared" ref="I167" si="161">(G167-G168)*100/H167</f>
        <v>-1.31894484412471</v>
      </c>
      <c r="J167" s="111" t="s">
        <v>150</v>
      </c>
    </row>
    <row r="168" customHeight="1" spans="1:10">
      <c r="A168" s="41"/>
      <c r="B168" s="42"/>
      <c r="C168" s="39">
        <v>11.1</v>
      </c>
      <c r="D168" s="40">
        <v>2.1258</v>
      </c>
      <c r="E168" s="39">
        <v>1</v>
      </c>
      <c r="F168" s="106">
        <v>5.6</v>
      </c>
      <c r="G168" s="106">
        <f t="shared" si="153"/>
        <v>41.96</v>
      </c>
      <c r="H168" s="108"/>
      <c r="I168" s="112"/>
      <c r="J168" s="113"/>
    </row>
    <row r="169" customHeight="1" spans="1:10">
      <c r="A169" s="37" t="s">
        <v>1986</v>
      </c>
      <c r="B169" s="38"/>
      <c r="C169" s="39">
        <v>11.1</v>
      </c>
      <c r="D169" s="40">
        <v>1.9909</v>
      </c>
      <c r="E169" s="39">
        <v>1</v>
      </c>
      <c r="F169" s="106">
        <v>5.75</v>
      </c>
      <c r="G169" s="106">
        <f t="shared" si="153"/>
        <v>43.63</v>
      </c>
      <c r="H169" s="107">
        <f t="shared" ref="H169" si="162">ROUND((G169+G170)/2,1)</f>
        <v>44.1</v>
      </c>
      <c r="I169" s="110">
        <f t="shared" ref="I169" si="163">(G169-G170)*100/H169</f>
        <v>-1.95011337868481</v>
      </c>
      <c r="J169" s="111" t="s">
        <v>150</v>
      </c>
    </row>
    <row r="170" customHeight="1" spans="1:10">
      <c r="A170" s="41"/>
      <c r="B170" s="42"/>
      <c r="C170" s="39">
        <v>11.1</v>
      </c>
      <c r="D170" s="40">
        <v>1.8255</v>
      </c>
      <c r="E170" s="39">
        <v>1</v>
      </c>
      <c r="F170" s="106">
        <v>6.15</v>
      </c>
      <c r="G170" s="106">
        <f t="shared" si="153"/>
        <v>44.49</v>
      </c>
      <c r="H170" s="108"/>
      <c r="I170" s="112"/>
      <c r="J170" s="113"/>
    </row>
    <row r="171" customHeight="1" spans="1:10">
      <c r="A171" s="37" t="s">
        <v>1987</v>
      </c>
      <c r="B171" s="38"/>
      <c r="C171" s="39">
        <v>11.1</v>
      </c>
      <c r="D171" s="40">
        <v>1.8909</v>
      </c>
      <c r="E171" s="39">
        <v>1</v>
      </c>
      <c r="F171" s="106">
        <v>7</v>
      </c>
      <c r="G171" s="106">
        <f t="shared" si="153"/>
        <v>37.74</v>
      </c>
      <c r="H171" s="107">
        <f t="shared" ref="H171" si="164">ROUND((G171+G172)/2,1)</f>
        <v>37.6</v>
      </c>
      <c r="I171" s="110">
        <f t="shared" ref="I171" si="165">(G171-G172)*100/H171</f>
        <v>0.771276595744679</v>
      </c>
      <c r="J171" s="111" t="s">
        <v>150</v>
      </c>
    </row>
    <row r="172" customHeight="1" spans="1:10">
      <c r="A172" s="41"/>
      <c r="B172" s="42"/>
      <c r="C172" s="39">
        <v>11.1</v>
      </c>
      <c r="D172" s="40">
        <v>1.9055</v>
      </c>
      <c r="E172" s="39">
        <v>1</v>
      </c>
      <c r="F172" s="106">
        <v>7</v>
      </c>
      <c r="G172" s="106">
        <f t="shared" si="153"/>
        <v>37.45</v>
      </c>
      <c r="H172" s="108"/>
      <c r="I172" s="112"/>
      <c r="J172" s="113"/>
    </row>
    <row r="173" customHeight="1" spans="1:10">
      <c r="A173" s="37" t="s">
        <v>1988</v>
      </c>
      <c r="B173" s="38"/>
      <c r="C173" s="39">
        <v>11.1</v>
      </c>
      <c r="D173" s="40">
        <v>1.9275</v>
      </c>
      <c r="E173" s="39">
        <v>1</v>
      </c>
      <c r="F173" s="106">
        <v>6.6</v>
      </c>
      <c r="G173" s="106">
        <f t="shared" si="153"/>
        <v>39.26</v>
      </c>
      <c r="H173" s="107">
        <f t="shared" ref="H173" si="166">ROUND((G173+G174)/2,1)</f>
        <v>39.5</v>
      </c>
      <c r="I173" s="110">
        <f t="shared" ref="I173" si="167">(G173-G174)*100/H173</f>
        <v>-1.13924050632912</v>
      </c>
      <c r="J173" s="111" t="s">
        <v>150</v>
      </c>
    </row>
    <row r="174" customHeight="1" spans="1:10">
      <c r="A174" s="41"/>
      <c r="B174" s="42"/>
      <c r="C174" s="39">
        <v>11.1</v>
      </c>
      <c r="D174" s="40">
        <v>1.9058</v>
      </c>
      <c r="E174" s="39">
        <v>1</v>
      </c>
      <c r="F174" s="106">
        <v>6.6</v>
      </c>
      <c r="G174" s="106">
        <f t="shared" si="153"/>
        <v>39.71</v>
      </c>
      <c r="H174" s="108"/>
      <c r="I174" s="112"/>
      <c r="J174" s="113"/>
    </row>
    <row r="175" customHeight="1" spans="1:10">
      <c r="A175" s="37" t="s">
        <v>1989</v>
      </c>
      <c r="B175" s="38"/>
      <c r="C175" s="39">
        <v>11.1</v>
      </c>
      <c r="D175" s="40">
        <v>1.8354</v>
      </c>
      <c r="E175" s="39">
        <v>1</v>
      </c>
      <c r="F175" s="106">
        <v>5.9</v>
      </c>
      <c r="G175" s="106">
        <f t="shared" si="153"/>
        <v>46.13</v>
      </c>
      <c r="H175" s="107">
        <f t="shared" ref="H175" si="168">ROUND((G175+G176)/2,1)</f>
        <v>46.8</v>
      </c>
      <c r="I175" s="110">
        <f t="shared" ref="I175" si="169">(G175-G176)*100/H175</f>
        <v>-2.64957264957264</v>
      </c>
      <c r="J175" s="111" t="s">
        <v>150</v>
      </c>
    </row>
    <row r="176" customHeight="1" spans="1:10">
      <c r="A176" s="41"/>
      <c r="B176" s="42"/>
      <c r="C176" s="39">
        <v>11.1</v>
      </c>
      <c r="D176" s="40">
        <v>1.7874</v>
      </c>
      <c r="E176" s="39">
        <v>1</v>
      </c>
      <c r="F176" s="106">
        <v>5.9</v>
      </c>
      <c r="G176" s="106">
        <f t="shared" si="153"/>
        <v>47.37</v>
      </c>
      <c r="H176" s="108"/>
      <c r="I176" s="112"/>
      <c r="J176" s="113"/>
    </row>
    <row r="177" customHeight="1" spans="1:10">
      <c r="A177" s="37" t="s">
        <v>1990</v>
      </c>
      <c r="B177" s="38"/>
      <c r="C177" s="39">
        <v>11</v>
      </c>
      <c r="D177" s="40">
        <v>0.9689</v>
      </c>
      <c r="E177" s="39">
        <v>1</v>
      </c>
      <c r="F177" s="106">
        <v>11.2</v>
      </c>
      <c r="G177" s="106">
        <f t="shared" ref="G177:G186" si="170">ROUND(C177*100*E177*250*100*0.9/50/D177/F177/1000,2)</f>
        <v>45.62</v>
      </c>
      <c r="H177" s="107">
        <f t="shared" ref="H177" si="171">ROUND((G177+G178)/2,1)</f>
        <v>45.6</v>
      </c>
      <c r="I177" s="110">
        <f t="shared" ref="I177" si="172">(G177-G178)*100/H177</f>
        <v>0</v>
      </c>
      <c r="J177" s="111" t="s">
        <v>150</v>
      </c>
    </row>
    <row r="178" customHeight="1" spans="1:10">
      <c r="A178" s="41"/>
      <c r="B178" s="42"/>
      <c r="C178" s="39">
        <v>11</v>
      </c>
      <c r="D178" s="40">
        <v>0.9689</v>
      </c>
      <c r="E178" s="39">
        <v>1</v>
      </c>
      <c r="F178" s="106">
        <v>11.2</v>
      </c>
      <c r="G178" s="106">
        <f t="shared" si="170"/>
        <v>45.62</v>
      </c>
      <c r="H178" s="108"/>
      <c r="I178" s="112"/>
      <c r="J178" s="113"/>
    </row>
    <row r="179" customHeight="1" spans="1:10">
      <c r="A179" s="37" t="s">
        <v>1991</v>
      </c>
      <c r="B179" s="38"/>
      <c r="C179" s="39">
        <v>11</v>
      </c>
      <c r="D179" s="40">
        <v>0.9575</v>
      </c>
      <c r="E179" s="39">
        <v>1</v>
      </c>
      <c r="F179" s="106">
        <v>9.4</v>
      </c>
      <c r="G179" s="106">
        <f t="shared" si="170"/>
        <v>55</v>
      </c>
      <c r="H179" s="107">
        <f t="shared" ref="H179" si="173">ROUND((G179+G180)/2,1)</f>
        <v>55</v>
      </c>
      <c r="I179" s="110">
        <f t="shared" ref="I179" si="174">(G179-G180)*100/H179</f>
        <v>0</v>
      </c>
      <c r="J179" s="111" t="s">
        <v>150</v>
      </c>
    </row>
    <row r="180" customHeight="1" spans="1:10">
      <c r="A180" s="41"/>
      <c r="B180" s="42"/>
      <c r="C180" s="39">
        <v>11</v>
      </c>
      <c r="D180" s="40">
        <v>0.9575</v>
      </c>
      <c r="E180" s="39">
        <v>1</v>
      </c>
      <c r="F180" s="106">
        <v>9.4</v>
      </c>
      <c r="G180" s="106">
        <f t="shared" si="170"/>
        <v>55</v>
      </c>
      <c r="H180" s="108"/>
      <c r="I180" s="112"/>
      <c r="J180" s="113"/>
    </row>
    <row r="181" customHeight="1" spans="1:10">
      <c r="A181" s="37" t="s">
        <v>1992</v>
      </c>
      <c r="B181" s="38"/>
      <c r="C181" s="39">
        <v>11</v>
      </c>
      <c r="D181" s="40">
        <v>1.0347</v>
      </c>
      <c r="E181" s="39">
        <v>1</v>
      </c>
      <c r="F181" s="106">
        <v>10.6</v>
      </c>
      <c r="G181" s="106">
        <f t="shared" si="170"/>
        <v>45.13</v>
      </c>
      <c r="H181" s="107">
        <f t="shared" ref="H181" si="175">ROUND((G181+G182)/2,1)</f>
        <v>46</v>
      </c>
      <c r="I181" s="110">
        <f t="shared" ref="I181" si="176">(G181-G182)*100/H181</f>
        <v>-3.84782608695651</v>
      </c>
      <c r="J181" s="111" t="s">
        <v>150</v>
      </c>
    </row>
    <row r="182" customHeight="1" spans="1:10">
      <c r="A182" s="41"/>
      <c r="B182" s="42"/>
      <c r="C182" s="39">
        <v>11</v>
      </c>
      <c r="D182" s="40">
        <v>0.9639</v>
      </c>
      <c r="E182" s="39">
        <v>1</v>
      </c>
      <c r="F182" s="106">
        <v>10.95</v>
      </c>
      <c r="G182" s="106">
        <f t="shared" si="170"/>
        <v>46.9</v>
      </c>
      <c r="H182" s="108"/>
      <c r="I182" s="112"/>
      <c r="J182" s="113"/>
    </row>
    <row r="183" customHeight="1" spans="1:10">
      <c r="A183" s="37" t="s">
        <v>1993</v>
      </c>
      <c r="B183" s="38"/>
      <c r="C183" s="39">
        <v>11</v>
      </c>
      <c r="D183" s="40">
        <v>1.0482</v>
      </c>
      <c r="E183" s="39">
        <v>1</v>
      </c>
      <c r="F183" s="106">
        <v>15.1</v>
      </c>
      <c r="G183" s="106">
        <f t="shared" si="170"/>
        <v>31.27</v>
      </c>
      <c r="H183" s="107">
        <f t="shared" ref="H183" si="177">ROUND((G183+G184)/2,1)</f>
        <v>31.3</v>
      </c>
      <c r="I183" s="110">
        <f>(G183-G184)*100/H183</f>
        <v>0</v>
      </c>
      <c r="J183" s="111" t="s">
        <v>150</v>
      </c>
    </row>
    <row r="184" customHeight="1" spans="1:10">
      <c r="A184" s="41"/>
      <c r="B184" s="42"/>
      <c r="C184" s="39">
        <v>11</v>
      </c>
      <c r="D184" s="40">
        <v>1.0482</v>
      </c>
      <c r="E184" s="39">
        <v>1</v>
      </c>
      <c r="F184" s="106">
        <v>15.1</v>
      </c>
      <c r="G184" s="106">
        <f t="shared" si="170"/>
        <v>31.27</v>
      </c>
      <c r="H184" s="108"/>
      <c r="I184" s="112"/>
      <c r="J184" s="113"/>
    </row>
    <row r="185" customHeight="1" spans="1:10">
      <c r="A185" s="37" t="s">
        <v>1994</v>
      </c>
      <c r="B185" s="38"/>
      <c r="C185" s="39">
        <v>11</v>
      </c>
      <c r="D185" s="40">
        <v>1.0133</v>
      </c>
      <c r="E185" s="39">
        <v>1</v>
      </c>
      <c r="F185" s="106">
        <v>10.4</v>
      </c>
      <c r="G185" s="106">
        <f t="shared" si="170"/>
        <v>46.97</v>
      </c>
      <c r="H185" s="107">
        <f t="shared" ref="H185" si="178">ROUND((G185+G186)/2,1)</f>
        <v>47.6</v>
      </c>
      <c r="I185" s="110">
        <f t="shared" ref="I185" si="179">(G185-G186)*100/H185</f>
        <v>-2.77310924369748</v>
      </c>
      <c r="J185" s="111" t="s">
        <v>150</v>
      </c>
    </row>
    <row r="186" customHeight="1" spans="1:10">
      <c r="A186" s="41"/>
      <c r="B186" s="42"/>
      <c r="C186" s="39">
        <v>11</v>
      </c>
      <c r="D186" s="40">
        <v>1.1022</v>
      </c>
      <c r="E186" s="39">
        <v>1</v>
      </c>
      <c r="F186" s="106">
        <v>9.3</v>
      </c>
      <c r="G186" s="106">
        <f t="shared" si="170"/>
        <v>48.29</v>
      </c>
      <c r="H186" s="108"/>
      <c r="I186" s="112"/>
      <c r="J186" s="113"/>
    </row>
    <row r="187" customHeight="1" spans="1:10">
      <c r="A187" s="37" t="s">
        <v>1990</v>
      </c>
      <c r="B187" s="38" t="s">
        <v>222</v>
      </c>
      <c r="C187" s="39">
        <v>11</v>
      </c>
      <c r="D187" s="40">
        <v>1.3147</v>
      </c>
      <c r="E187" s="39">
        <v>1</v>
      </c>
      <c r="F187" s="106">
        <v>6.2</v>
      </c>
      <c r="G187" s="106">
        <f t="shared" ref="G187:G196" si="180">ROUND(C187*100*E187*250*100*0.9/50/D187/F187/1000,2)</f>
        <v>60.73</v>
      </c>
      <c r="H187" s="107">
        <f t="shared" ref="H187" si="181">ROUND((G187+G188)/2,1)</f>
        <v>60.3</v>
      </c>
      <c r="I187" s="110">
        <f t="shared" ref="I187" si="182">(G187-G188)*100/H187</f>
        <v>1.49253731343283</v>
      </c>
      <c r="J187" s="111" t="s">
        <v>150</v>
      </c>
    </row>
    <row r="188" customHeight="1" spans="1:10">
      <c r="A188" s="41"/>
      <c r="B188" s="42"/>
      <c r="C188" s="39">
        <v>11</v>
      </c>
      <c r="D188" s="40">
        <v>1.3028</v>
      </c>
      <c r="E188" s="39">
        <v>1</v>
      </c>
      <c r="F188" s="106">
        <v>6.35</v>
      </c>
      <c r="G188" s="106">
        <f t="shared" si="180"/>
        <v>59.83</v>
      </c>
      <c r="H188" s="108"/>
      <c r="I188" s="112"/>
      <c r="J188" s="113"/>
    </row>
    <row r="189" customHeight="1" spans="1:10">
      <c r="A189" s="37" t="s">
        <v>1991</v>
      </c>
      <c r="B189" s="38" t="s">
        <v>222</v>
      </c>
      <c r="C189" s="39">
        <v>11</v>
      </c>
      <c r="D189" s="40">
        <v>1.0501</v>
      </c>
      <c r="E189" s="39">
        <v>1</v>
      </c>
      <c r="F189" s="106">
        <v>8.5</v>
      </c>
      <c r="G189" s="106">
        <f t="shared" si="180"/>
        <v>55.46</v>
      </c>
      <c r="H189" s="107">
        <f t="shared" ref="H189" si="183">ROUND((G189+G190)/2,1)</f>
        <v>55.2</v>
      </c>
      <c r="I189" s="110">
        <f t="shared" ref="I189" si="184">(G189-G190)*100/H189</f>
        <v>0.778985507246376</v>
      </c>
      <c r="J189" s="111" t="s">
        <v>150</v>
      </c>
    </row>
    <row r="190" customHeight="1" spans="1:10">
      <c r="A190" s="41"/>
      <c r="B190" s="42"/>
      <c r="C190" s="39">
        <v>11</v>
      </c>
      <c r="D190" s="40">
        <v>1.0969</v>
      </c>
      <c r="E190" s="39">
        <v>1</v>
      </c>
      <c r="F190" s="106">
        <v>8.2</v>
      </c>
      <c r="G190" s="106">
        <f t="shared" si="180"/>
        <v>55.03</v>
      </c>
      <c r="H190" s="108"/>
      <c r="I190" s="112"/>
      <c r="J190" s="113"/>
    </row>
    <row r="191" customHeight="1" spans="1:10">
      <c r="A191" s="37" t="s">
        <v>1992</v>
      </c>
      <c r="B191" s="38"/>
      <c r="C191" s="39">
        <v>11</v>
      </c>
      <c r="D191" s="40">
        <v>1.0347</v>
      </c>
      <c r="E191" s="39">
        <v>1</v>
      </c>
      <c r="F191" s="106">
        <v>10.6</v>
      </c>
      <c r="G191" s="106">
        <f t="shared" si="180"/>
        <v>45.13</v>
      </c>
      <c r="H191" s="107">
        <f t="shared" ref="H191" si="185">ROUND((G191+G192)/2,1)</f>
        <v>46</v>
      </c>
      <c r="I191" s="110">
        <f t="shared" ref="I191" si="186">(G191-G192)*100/H191</f>
        <v>-3.84782608695651</v>
      </c>
      <c r="J191" s="111" t="s">
        <v>150</v>
      </c>
    </row>
    <row r="192" customHeight="1" spans="1:10">
      <c r="A192" s="41"/>
      <c r="B192" s="42"/>
      <c r="C192" s="39">
        <v>11</v>
      </c>
      <c r="D192" s="40">
        <v>0.9639</v>
      </c>
      <c r="E192" s="39">
        <v>1</v>
      </c>
      <c r="F192" s="106">
        <v>10.95</v>
      </c>
      <c r="G192" s="106">
        <f t="shared" si="180"/>
        <v>46.9</v>
      </c>
      <c r="H192" s="108"/>
      <c r="I192" s="112"/>
      <c r="J192" s="113"/>
    </row>
    <row r="193" customHeight="1" spans="1:10">
      <c r="A193" s="37" t="s">
        <v>1993</v>
      </c>
      <c r="B193" s="38" t="s">
        <v>222</v>
      </c>
      <c r="C193" s="39">
        <v>11</v>
      </c>
      <c r="D193" s="40">
        <v>1.2703</v>
      </c>
      <c r="E193" s="39">
        <v>1</v>
      </c>
      <c r="F193" s="106">
        <v>7.3</v>
      </c>
      <c r="G193" s="106">
        <f t="shared" si="180"/>
        <v>53.38</v>
      </c>
      <c r="H193" s="107">
        <f t="shared" ref="H193" si="187">ROUND((G193+G194)/2,1)</f>
        <v>52.6</v>
      </c>
      <c r="I193" s="110">
        <f t="shared" ref="I193" si="188">(G193-G194)*100/H193</f>
        <v>3.15589353612168</v>
      </c>
      <c r="J193" s="111" t="s">
        <v>150</v>
      </c>
    </row>
    <row r="194" customHeight="1" spans="1:10">
      <c r="A194" s="41"/>
      <c r="B194" s="42"/>
      <c r="C194" s="39">
        <v>11</v>
      </c>
      <c r="D194" s="40">
        <v>1.3022</v>
      </c>
      <c r="E194" s="39">
        <v>1</v>
      </c>
      <c r="F194" s="106">
        <v>7.35</v>
      </c>
      <c r="G194" s="106">
        <f t="shared" si="180"/>
        <v>51.72</v>
      </c>
      <c r="H194" s="108"/>
      <c r="I194" s="112"/>
      <c r="J194" s="113"/>
    </row>
    <row r="195" customHeight="1" spans="1:10">
      <c r="A195" s="37" t="s">
        <v>1994</v>
      </c>
      <c r="B195" s="38"/>
      <c r="C195" s="39">
        <v>11</v>
      </c>
      <c r="D195" s="40">
        <v>1.0133</v>
      </c>
      <c r="E195" s="39">
        <v>1</v>
      </c>
      <c r="F195" s="106">
        <v>10.4</v>
      </c>
      <c r="G195" s="106">
        <f t="shared" si="180"/>
        <v>46.97</v>
      </c>
      <c r="H195" s="107">
        <f t="shared" ref="H195" si="189">ROUND((G195+G196)/2,1)</f>
        <v>47.6</v>
      </c>
      <c r="I195" s="110">
        <f t="shared" ref="I195" si="190">(G195-G196)*100/H195</f>
        <v>-2.77310924369748</v>
      </c>
      <c r="J195" s="111" t="s">
        <v>150</v>
      </c>
    </row>
    <row r="196" customHeight="1" spans="1:10">
      <c r="A196" s="41"/>
      <c r="B196" s="42"/>
      <c r="C196" s="39">
        <v>11</v>
      </c>
      <c r="D196" s="40">
        <v>1.1022</v>
      </c>
      <c r="E196" s="39">
        <v>1</v>
      </c>
      <c r="F196" s="106">
        <v>9.3</v>
      </c>
      <c r="G196" s="106">
        <f t="shared" si="180"/>
        <v>48.29</v>
      </c>
      <c r="H196" s="108"/>
      <c r="I196" s="112"/>
      <c r="J196" s="113"/>
    </row>
    <row r="197" customHeight="1" spans="1:10">
      <c r="A197" s="37" t="s">
        <v>1995</v>
      </c>
      <c r="B197" s="38"/>
      <c r="C197" s="39">
        <v>10.8</v>
      </c>
      <c r="D197" s="40">
        <v>0.7295</v>
      </c>
      <c r="E197" s="39">
        <v>1</v>
      </c>
      <c r="F197" s="106">
        <v>12</v>
      </c>
      <c r="G197" s="106">
        <f t="shared" ref="G197:G200" si="191">ROUND(C197*100*E197*250*100*0.9/50/D197/F197/1000,2)</f>
        <v>55.52</v>
      </c>
      <c r="H197" s="107">
        <f t="shared" ref="H197" si="192">ROUND((G197+G198)/2,1)</f>
        <v>55.9</v>
      </c>
      <c r="I197" s="110">
        <f t="shared" ref="I197" si="193">(G197-G198)*100/H197</f>
        <v>-1.32379248658318</v>
      </c>
      <c r="J197" s="111" t="s">
        <v>150</v>
      </c>
    </row>
    <row r="198" customHeight="1" spans="1:10">
      <c r="A198" s="41"/>
      <c r="B198" s="42"/>
      <c r="C198" s="39">
        <v>10.8</v>
      </c>
      <c r="D198" s="40">
        <v>0.7199</v>
      </c>
      <c r="E198" s="39">
        <v>1</v>
      </c>
      <c r="F198" s="106">
        <v>12</v>
      </c>
      <c r="G198" s="106">
        <f t="shared" si="191"/>
        <v>56.26</v>
      </c>
      <c r="H198" s="108"/>
      <c r="I198" s="112"/>
      <c r="J198" s="113"/>
    </row>
    <row r="199" customHeight="1" spans="1:10">
      <c r="A199" s="37" t="s">
        <v>1996</v>
      </c>
      <c r="B199" s="38"/>
      <c r="C199" s="39">
        <v>10.8</v>
      </c>
      <c r="D199" s="40">
        <v>0.8055</v>
      </c>
      <c r="E199" s="39">
        <v>1</v>
      </c>
      <c r="F199" s="106">
        <v>14.9</v>
      </c>
      <c r="G199" s="106">
        <f t="shared" si="191"/>
        <v>40.49</v>
      </c>
      <c r="H199" s="107">
        <f t="shared" ref="H199" si="194">ROUND((G199+G200)/2,1)</f>
        <v>40.4</v>
      </c>
      <c r="I199" s="110">
        <f t="shared" ref="I199" si="195">(G199-G200)*100/H199</f>
        <v>0.544554455445542</v>
      </c>
      <c r="J199" s="111" t="s">
        <v>150</v>
      </c>
    </row>
    <row r="200" customHeight="1" spans="1:10">
      <c r="A200" s="41"/>
      <c r="B200" s="42"/>
      <c r="C200" s="39">
        <v>10.8</v>
      </c>
      <c r="D200" s="40">
        <v>0.7359</v>
      </c>
      <c r="E200" s="39">
        <v>1</v>
      </c>
      <c r="F200" s="106">
        <v>16.4</v>
      </c>
      <c r="G200" s="106">
        <f t="shared" si="191"/>
        <v>40.27</v>
      </c>
      <c r="H200" s="108"/>
      <c r="I200" s="112"/>
      <c r="J200" s="113"/>
    </row>
    <row r="201" customHeight="1" spans="1:10">
      <c r="A201" s="37" t="s">
        <v>1671</v>
      </c>
      <c r="B201" s="38"/>
      <c r="C201" s="39">
        <v>11</v>
      </c>
      <c r="D201" s="40">
        <v>0.8308</v>
      </c>
      <c r="E201" s="39">
        <v>2</v>
      </c>
      <c r="F201" s="106">
        <v>8.5</v>
      </c>
      <c r="G201" s="106">
        <f t="shared" ref="G201:G226" si="196">ROUND(C201*100*E201*250*100*0.9/50/D201/F201/1000,2)</f>
        <v>140.19</v>
      </c>
      <c r="H201" s="107">
        <f t="shared" ref="H201" si="197">ROUND((G201+G202)/2,1)</f>
        <v>139</v>
      </c>
      <c r="I201" s="110">
        <f t="shared" ref="I201" si="198">(G201-G202)*100/H201</f>
        <v>1.75539568345324</v>
      </c>
      <c r="J201" s="111" t="s">
        <v>150</v>
      </c>
    </row>
    <row r="202" customHeight="1" spans="1:10">
      <c r="A202" s="41"/>
      <c r="B202" s="42"/>
      <c r="C202" s="39">
        <v>11</v>
      </c>
      <c r="D202" s="40">
        <v>0.8455</v>
      </c>
      <c r="E202" s="39">
        <v>2</v>
      </c>
      <c r="F202" s="106">
        <v>8.5</v>
      </c>
      <c r="G202" s="106">
        <f t="shared" si="196"/>
        <v>137.75</v>
      </c>
      <c r="H202" s="108"/>
      <c r="I202" s="112"/>
      <c r="J202" s="113"/>
    </row>
    <row r="203" customHeight="1" spans="1:11">
      <c r="A203" s="37" t="s">
        <v>1997</v>
      </c>
      <c r="B203" s="38"/>
      <c r="C203" s="39">
        <v>11</v>
      </c>
      <c r="D203" s="40">
        <v>1.06</v>
      </c>
      <c r="E203" s="39">
        <v>1</v>
      </c>
      <c r="F203" s="106">
        <v>10.75</v>
      </c>
      <c r="G203" s="106">
        <f t="shared" si="196"/>
        <v>43.44</v>
      </c>
      <c r="H203" s="107" t="e">
        <f t="shared" ref="H203:H207" si="199">ROUND((G203+G204)/2,1)</f>
        <v>#DIV/0!</v>
      </c>
      <c r="I203" s="110" t="e">
        <f t="shared" ref="I203:I207" si="200">(G203-G204)*100/H203</f>
        <v>#DIV/0!</v>
      </c>
      <c r="J203" s="111" t="s">
        <v>150</v>
      </c>
      <c r="K203">
        <f>G203/(100-5.7)*100</f>
        <v>46.0657476139979</v>
      </c>
    </row>
    <row r="204" customHeight="1" spans="1:10">
      <c r="A204" s="41"/>
      <c r="B204" s="42"/>
      <c r="C204" s="39">
        <v>11</v>
      </c>
      <c r="D204" s="40">
        <v>0.8455</v>
      </c>
      <c r="E204" s="39">
        <v>2</v>
      </c>
      <c r="F204" s="106"/>
      <c r="G204" s="106" t="e">
        <f t="shared" si="196"/>
        <v>#DIV/0!</v>
      </c>
      <c r="H204" s="108"/>
      <c r="I204" s="112"/>
      <c r="J204" s="113"/>
    </row>
    <row r="205" customHeight="1" spans="1:11">
      <c r="A205" s="37" t="s">
        <v>1997</v>
      </c>
      <c r="B205" s="38"/>
      <c r="C205" s="39">
        <v>11</v>
      </c>
      <c r="D205" s="40">
        <v>0.996</v>
      </c>
      <c r="E205" s="39">
        <v>1</v>
      </c>
      <c r="F205" s="106">
        <v>12.4</v>
      </c>
      <c r="G205" s="106">
        <f t="shared" si="196"/>
        <v>40.08</v>
      </c>
      <c r="H205" s="107">
        <f t="shared" si="199"/>
        <v>40.1</v>
      </c>
      <c r="I205" s="110">
        <f t="shared" si="200"/>
        <v>0</v>
      </c>
      <c r="J205" s="111" t="s">
        <v>150</v>
      </c>
      <c r="K205">
        <f>G205/(100-5.7)*100</f>
        <v>42.5026511134677</v>
      </c>
    </row>
    <row r="206" customHeight="1" spans="1:10">
      <c r="A206" s="41"/>
      <c r="B206" s="42"/>
      <c r="C206" s="39">
        <v>11</v>
      </c>
      <c r="D206" s="40">
        <v>0.996</v>
      </c>
      <c r="E206" s="39">
        <v>1</v>
      </c>
      <c r="F206" s="106">
        <v>12.4</v>
      </c>
      <c r="G206" s="106">
        <f t="shared" si="196"/>
        <v>40.08</v>
      </c>
      <c r="H206" s="108"/>
      <c r="I206" s="112"/>
      <c r="J206" s="113"/>
    </row>
    <row r="207" customHeight="1" spans="1:10">
      <c r="A207" s="37" t="s">
        <v>1998</v>
      </c>
      <c r="B207" s="38"/>
      <c r="C207" s="39">
        <v>11</v>
      </c>
      <c r="D207" s="40">
        <v>0.9453</v>
      </c>
      <c r="E207" s="39">
        <v>1</v>
      </c>
      <c r="F207" s="106">
        <v>10.5</v>
      </c>
      <c r="G207" s="106">
        <f t="shared" si="196"/>
        <v>49.87</v>
      </c>
      <c r="H207" s="107">
        <f t="shared" si="199"/>
        <v>49.9</v>
      </c>
      <c r="I207" s="110">
        <f t="shared" si="200"/>
        <v>-0.200400801603209</v>
      </c>
      <c r="J207" s="111" t="s">
        <v>150</v>
      </c>
    </row>
    <row r="208" customHeight="1" spans="1:10">
      <c r="A208" s="41"/>
      <c r="B208" s="42"/>
      <c r="C208" s="39">
        <v>11</v>
      </c>
      <c r="D208" s="40">
        <v>1.0212</v>
      </c>
      <c r="E208" s="39">
        <v>1</v>
      </c>
      <c r="F208" s="106">
        <v>9.7</v>
      </c>
      <c r="G208" s="106">
        <f t="shared" si="196"/>
        <v>49.97</v>
      </c>
      <c r="H208" s="108"/>
      <c r="I208" s="112"/>
      <c r="J208" s="113"/>
    </row>
    <row r="209" customHeight="1" spans="1:10">
      <c r="A209" s="37" t="s">
        <v>1999</v>
      </c>
      <c r="B209" s="38"/>
      <c r="C209" s="39">
        <v>11</v>
      </c>
      <c r="D209" s="40">
        <v>1.3968</v>
      </c>
      <c r="E209" s="39">
        <v>1</v>
      </c>
      <c r="F209" s="106">
        <v>15.6</v>
      </c>
      <c r="G209" s="106">
        <f t="shared" si="196"/>
        <v>22.72</v>
      </c>
      <c r="H209" s="107">
        <f>ROUND((G209+G210)/2,1)</f>
        <v>22.9</v>
      </c>
      <c r="I209" s="110">
        <f>(G209-G210)*100/H209</f>
        <v>-1.35371179039302</v>
      </c>
      <c r="J209" s="111" t="s">
        <v>150</v>
      </c>
    </row>
    <row r="210" customHeight="1" spans="1:10">
      <c r="A210" s="41"/>
      <c r="B210" s="42"/>
      <c r="C210" s="39">
        <v>11</v>
      </c>
      <c r="D210" s="40">
        <v>1.5085</v>
      </c>
      <c r="E210" s="39">
        <v>1</v>
      </c>
      <c r="F210" s="106">
        <v>14.25</v>
      </c>
      <c r="G210" s="106">
        <f t="shared" si="196"/>
        <v>23.03</v>
      </c>
      <c r="H210" s="108"/>
      <c r="I210" s="112"/>
      <c r="J210" s="113"/>
    </row>
    <row r="211" customHeight="1" spans="1:10">
      <c r="A211" s="37" t="s">
        <v>2000</v>
      </c>
      <c r="B211" s="38"/>
      <c r="C211" s="39">
        <v>11</v>
      </c>
      <c r="D211" s="40">
        <v>1.00239</v>
      </c>
      <c r="E211" s="39">
        <v>1</v>
      </c>
      <c r="F211" s="106">
        <v>9.85</v>
      </c>
      <c r="G211" s="106">
        <f t="shared" si="196"/>
        <v>50.13</v>
      </c>
      <c r="H211" s="107">
        <f>ROUND((G211+G212)/2,1)</f>
        <v>50.1</v>
      </c>
      <c r="I211" s="110">
        <f>(G211-G212)*100/H211</f>
        <v>0.039920159680645</v>
      </c>
      <c r="J211" s="111" t="s">
        <v>150</v>
      </c>
    </row>
    <row r="212" customHeight="1" spans="1:10">
      <c r="A212" s="41"/>
      <c r="B212" s="42"/>
      <c r="C212" s="39">
        <v>11</v>
      </c>
      <c r="D212" s="40">
        <v>1.3625</v>
      </c>
      <c r="E212" s="39">
        <v>1</v>
      </c>
      <c r="F212" s="106">
        <v>7.25</v>
      </c>
      <c r="G212" s="106">
        <f t="shared" si="196"/>
        <v>50.11</v>
      </c>
      <c r="H212" s="108"/>
      <c r="I212" s="112"/>
      <c r="J212" s="113"/>
    </row>
    <row r="213" customHeight="1" spans="1:10">
      <c r="A213" s="37" t="s">
        <v>2001</v>
      </c>
      <c r="B213" s="38"/>
      <c r="C213" s="39">
        <v>11</v>
      </c>
      <c r="D213" s="40">
        <v>1.5246</v>
      </c>
      <c r="E213" s="39">
        <v>1</v>
      </c>
      <c r="F213" s="106">
        <v>6.55</v>
      </c>
      <c r="G213" s="106">
        <f t="shared" si="196"/>
        <v>49.57</v>
      </c>
      <c r="H213" s="107">
        <f>ROUND((G213+G214)/2,1)</f>
        <v>49.6</v>
      </c>
      <c r="I213" s="110">
        <f>(G213-G214)*100/H213</f>
        <v>-0.241935483870963</v>
      </c>
      <c r="J213" s="111" t="s">
        <v>150</v>
      </c>
    </row>
    <row r="214" customHeight="1" spans="1:10">
      <c r="A214" s="41"/>
      <c r="B214" s="42"/>
      <c r="C214" s="39">
        <v>11</v>
      </c>
      <c r="D214" s="40">
        <v>1.0012</v>
      </c>
      <c r="E214" s="39">
        <v>1</v>
      </c>
      <c r="F214" s="106">
        <v>9.95</v>
      </c>
      <c r="G214" s="106">
        <f t="shared" si="196"/>
        <v>49.69</v>
      </c>
      <c r="H214" s="108"/>
      <c r="I214" s="112"/>
      <c r="J214" s="113"/>
    </row>
    <row r="215" customHeight="1" spans="1:10">
      <c r="A215" s="37" t="s">
        <v>2002</v>
      </c>
      <c r="B215" s="38"/>
      <c r="C215" s="39">
        <v>11</v>
      </c>
      <c r="D215" s="40">
        <v>1.1124</v>
      </c>
      <c r="E215" s="39">
        <v>1</v>
      </c>
      <c r="F215" s="106">
        <v>9</v>
      </c>
      <c r="G215" s="106">
        <f t="shared" si="196"/>
        <v>49.44</v>
      </c>
      <c r="H215" s="107">
        <f t="shared" ref="H215:H219" si="201">ROUND((G215+G216)/2,1)</f>
        <v>49.7</v>
      </c>
      <c r="I215" s="110">
        <f t="shared" ref="I215:I219" si="202">(G215-G216)*100/H215</f>
        <v>-1.02615694164991</v>
      </c>
      <c r="J215" s="111" t="s">
        <v>150</v>
      </c>
    </row>
    <row r="216" customHeight="1" spans="1:10">
      <c r="A216" s="41"/>
      <c r="B216" s="42"/>
      <c r="C216" s="39">
        <v>11</v>
      </c>
      <c r="D216" s="40">
        <v>1.2012</v>
      </c>
      <c r="E216" s="39">
        <v>1</v>
      </c>
      <c r="F216" s="106">
        <v>8.25</v>
      </c>
      <c r="G216" s="106">
        <f t="shared" si="196"/>
        <v>49.95</v>
      </c>
      <c r="H216" s="108"/>
      <c r="I216" s="112"/>
      <c r="J216" s="113"/>
    </row>
    <row r="217" customHeight="1" spans="1:10">
      <c r="A217" s="37" t="s">
        <v>2003</v>
      </c>
      <c r="B217" s="38"/>
      <c r="C217" s="39">
        <v>11</v>
      </c>
      <c r="D217" s="40">
        <v>1.2336</v>
      </c>
      <c r="E217" s="39">
        <v>1</v>
      </c>
      <c r="F217" s="106">
        <v>8.05</v>
      </c>
      <c r="G217" s="106">
        <f t="shared" si="196"/>
        <v>49.85</v>
      </c>
      <c r="H217" s="107">
        <f t="shared" si="201"/>
        <v>50.1</v>
      </c>
      <c r="I217" s="110">
        <f t="shared" si="202"/>
        <v>-0.898203592814363</v>
      </c>
      <c r="J217" s="111" t="s">
        <v>150</v>
      </c>
    </row>
    <row r="218" customHeight="1" spans="1:10">
      <c r="A218" s="41"/>
      <c r="B218" s="42"/>
      <c r="C218" s="39">
        <v>11</v>
      </c>
      <c r="D218" s="40">
        <v>1.0414</v>
      </c>
      <c r="E218" s="39">
        <v>1</v>
      </c>
      <c r="F218" s="106">
        <v>9.45</v>
      </c>
      <c r="G218" s="106">
        <f t="shared" si="196"/>
        <v>50.3</v>
      </c>
      <c r="H218" s="108"/>
      <c r="I218" s="112"/>
      <c r="J218" s="113"/>
    </row>
    <row r="219" customHeight="1" spans="1:10">
      <c r="A219" s="37" t="s">
        <v>1847</v>
      </c>
      <c r="B219" s="38"/>
      <c r="C219" s="39">
        <v>11.1</v>
      </c>
      <c r="D219" s="40">
        <v>0.5711</v>
      </c>
      <c r="E219" s="39">
        <v>1</v>
      </c>
      <c r="F219" s="106">
        <v>7.1</v>
      </c>
      <c r="G219" s="106">
        <f t="shared" si="196"/>
        <v>123.19</v>
      </c>
      <c r="H219" s="107">
        <f t="shared" si="201"/>
        <v>127.5</v>
      </c>
      <c r="I219" s="110">
        <f t="shared" si="202"/>
        <v>-6.8156862745098</v>
      </c>
      <c r="J219" s="111" t="s">
        <v>150</v>
      </c>
    </row>
    <row r="220" customHeight="1" spans="1:10">
      <c r="A220" s="41"/>
      <c r="B220" s="42"/>
      <c r="C220" s="39">
        <v>11.1</v>
      </c>
      <c r="D220" s="40">
        <v>0.4919</v>
      </c>
      <c r="E220" s="39">
        <v>1</v>
      </c>
      <c r="F220" s="106">
        <v>7.7</v>
      </c>
      <c r="G220" s="106">
        <f t="shared" si="196"/>
        <v>131.88</v>
      </c>
      <c r="H220" s="108"/>
      <c r="I220" s="112"/>
      <c r="J220" s="113"/>
    </row>
    <row r="221" customHeight="1" spans="1:10">
      <c r="A221" s="37" t="s">
        <v>1848</v>
      </c>
      <c r="B221" s="38"/>
      <c r="C221" s="39">
        <v>11.1</v>
      </c>
      <c r="D221" s="40">
        <v>0.559</v>
      </c>
      <c r="E221" s="39">
        <v>1</v>
      </c>
      <c r="F221" s="106">
        <v>10.85</v>
      </c>
      <c r="G221" s="106">
        <f t="shared" si="196"/>
        <v>82.36</v>
      </c>
      <c r="H221" s="107">
        <f>ROUND((G221+G222)/2,1)</f>
        <v>81.3</v>
      </c>
      <c r="I221" s="110">
        <f>(G221-G222)*100/H221</f>
        <v>2.57072570725708</v>
      </c>
      <c r="J221" s="111" t="s">
        <v>150</v>
      </c>
    </row>
    <row r="222" customHeight="1" spans="1:10">
      <c r="A222" s="41"/>
      <c r="B222" s="42"/>
      <c r="C222" s="39">
        <v>11.1</v>
      </c>
      <c r="D222" s="40">
        <v>0.508</v>
      </c>
      <c r="E222" s="39">
        <v>1</v>
      </c>
      <c r="F222" s="106">
        <v>12.25</v>
      </c>
      <c r="G222" s="106">
        <f t="shared" si="196"/>
        <v>80.27</v>
      </c>
      <c r="H222" s="108"/>
      <c r="I222" s="112"/>
      <c r="J222" s="113"/>
    </row>
    <row r="223" customHeight="1" spans="1:10">
      <c r="A223" s="37" t="s">
        <v>1849</v>
      </c>
      <c r="B223" s="38"/>
      <c r="C223" s="39">
        <v>11.1</v>
      </c>
      <c r="D223" s="40">
        <v>0.512336</v>
      </c>
      <c r="E223" s="39">
        <v>1</v>
      </c>
      <c r="F223" s="106">
        <v>13.65</v>
      </c>
      <c r="G223" s="106">
        <f t="shared" si="196"/>
        <v>71.42</v>
      </c>
      <c r="H223" s="107">
        <f>ROUND((G223+G224)/2,1)</f>
        <v>67.2</v>
      </c>
      <c r="I223" s="110">
        <f>(G223-G224)*100/H223</f>
        <v>12.5595238095238</v>
      </c>
      <c r="J223" s="111" t="s">
        <v>150</v>
      </c>
    </row>
    <row r="224" customHeight="1" spans="1:10">
      <c r="A224" s="41"/>
      <c r="B224" s="42"/>
      <c r="C224" s="39">
        <v>11.1</v>
      </c>
      <c r="D224" s="40">
        <v>0.527</v>
      </c>
      <c r="E224" s="39">
        <v>1</v>
      </c>
      <c r="F224" s="106">
        <v>15.05</v>
      </c>
      <c r="G224" s="106">
        <f t="shared" si="196"/>
        <v>62.98</v>
      </c>
      <c r="H224" s="108"/>
      <c r="I224" s="112"/>
      <c r="J224" s="113"/>
    </row>
    <row r="225" customHeight="1" spans="1:10">
      <c r="A225" s="37" t="s">
        <v>1850</v>
      </c>
      <c r="B225" s="38"/>
      <c r="C225" s="39">
        <v>11.1</v>
      </c>
      <c r="D225" s="40">
        <v>0.52695</v>
      </c>
      <c r="E225" s="39">
        <v>1</v>
      </c>
      <c r="F225" s="106">
        <v>16.45</v>
      </c>
      <c r="G225" s="106">
        <f t="shared" si="196"/>
        <v>57.62</v>
      </c>
      <c r="H225" s="107">
        <f>ROUND((G225+G226)/2,1)</f>
        <v>53.9</v>
      </c>
      <c r="I225" s="110">
        <f>(G225-G226)*100/H225</f>
        <v>13.8404452690167</v>
      </c>
      <c r="J225" s="111" t="s">
        <v>150</v>
      </c>
    </row>
    <row r="226" customHeight="1" spans="1:10">
      <c r="A226" s="41"/>
      <c r="B226" s="42"/>
      <c r="C226" s="39">
        <v>11.1</v>
      </c>
      <c r="D226" s="40">
        <v>0.5579</v>
      </c>
      <c r="E226" s="39">
        <v>1</v>
      </c>
      <c r="F226" s="106">
        <v>17.85</v>
      </c>
      <c r="G226" s="106">
        <f t="shared" si="196"/>
        <v>50.16</v>
      </c>
      <c r="H226" s="108"/>
      <c r="I226" s="112"/>
      <c r="J226" s="113"/>
    </row>
    <row r="227" customHeight="1" spans="1:10">
      <c r="A227" s="37" t="s">
        <v>2004</v>
      </c>
      <c r="B227" s="38"/>
      <c r="C227" s="39">
        <v>10.9</v>
      </c>
      <c r="D227" s="40">
        <v>1.6586</v>
      </c>
      <c r="E227" s="39">
        <v>1</v>
      </c>
      <c r="F227" s="106">
        <v>7.71</v>
      </c>
      <c r="G227" s="106">
        <f t="shared" ref="G227:G232" si="203">ROUND(C227*100*E227*250*100*0.9/50/D227/F227/1000,2)</f>
        <v>38.36</v>
      </c>
      <c r="H227" s="107">
        <f>ROUND((G227+G228)/2,1)</f>
        <v>38.5</v>
      </c>
      <c r="I227" s="110">
        <f>(G227-G228)*100/H227</f>
        <v>-0.909090909090913</v>
      </c>
      <c r="J227" s="111" t="s">
        <v>150</v>
      </c>
    </row>
    <row r="228" customHeight="1" spans="1:10">
      <c r="A228" s="41"/>
      <c r="B228" s="42"/>
      <c r="C228" s="39">
        <v>10.9</v>
      </c>
      <c r="D228" s="40">
        <v>1.5878</v>
      </c>
      <c r="E228" s="39">
        <v>1</v>
      </c>
      <c r="F228" s="106">
        <v>7.98</v>
      </c>
      <c r="G228" s="106">
        <f t="shared" si="203"/>
        <v>38.71</v>
      </c>
      <c r="H228" s="108"/>
      <c r="I228" s="112"/>
      <c r="J228" s="113"/>
    </row>
    <row r="229" customHeight="1" spans="1:10">
      <c r="A229" s="37" t="s">
        <v>2005</v>
      </c>
      <c r="B229" s="38"/>
      <c r="C229" s="39">
        <v>10.9</v>
      </c>
      <c r="D229" s="40">
        <v>1.2955</v>
      </c>
      <c r="E229" s="39">
        <v>1</v>
      </c>
      <c r="F229" s="106">
        <v>9</v>
      </c>
      <c r="G229" s="106">
        <f t="shared" si="203"/>
        <v>42.07</v>
      </c>
      <c r="H229" s="107">
        <f>ROUND((G229+G230)/2,1)</f>
        <v>42.3</v>
      </c>
      <c r="I229" s="110">
        <f>(G229-G230)*100/H229</f>
        <v>-0.851063829787233</v>
      </c>
      <c r="J229" s="111" t="s">
        <v>150</v>
      </c>
    </row>
    <row r="230" customHeight="1" spans="1:10">
      <c r="A230" s="41"/>
      <c r="B230" s="42"/>
      <c r="C230" s="39">
        <v>10.9</v>
      </c>
      <c r="D230" s="40">
        <v>1.3522</v>
      </c>
      <c r="E230" s="39">
        <v>1</v>
      </c>
      <c r="F230" s="106">
        <v>8.55</v>
      </c>
      <c r="G230" s="106">
        <f t="shared" si="203"/>
        <v>42.43</v>
      </c>
      <c r="H230" s="108"/>
      <c r="I230" s="112"/>
      <c r="J230" s="113"/>
    </row>
    <row r="231" customHeight="1" spans="1:10">
      <c r="A231" s="37" t="s">
        <v>2006</v>
      </c>
      <c r="B231" s="38"/>
      <c r="C231" s="39">
        <v>10.9</v>
      </c>
      <c r="D231" s="40">
        <v>1.3624</v>
      </c>
      <c r="E231" s="39">
        <v>1</v>
      </c>
      <c r="F231" s="106">
        <v>8.25</v>
      </c>
      <c r="G231" s="106">
        <f t="shared" si="203"/>
        <v>43.64</v>
      </c>
      <c r="H231" s="107">
        <f>ROUND((G231+G232)/2,1)</f>
        <v>43.8</v>
      </c>
      <c r="I231" s="110">
        <f>(G231-G232)*100/H231</f>
        <v>-0.570776255707763</v>
      </c>
      <c r="J231" s="111" t="s">
        <v>150</v>
      </c>
    </row>
    <row r="232" customHeight="1" spans="1:10">
      <c r="A232" s="41"/>
      <c r="B232" s="42"/>
      <c r="C232" s="39">
        <v>10.9</v>
      </c>
      <c r="D232" s="40">
        <v>1.3384</v>
      </c>
      <c r="E232" s="39">
        <v>1</v>
      </c>
      <c r="F232" s="106">
        <v>8.35</v>
      </c>
      <c r="G232" s="106">
        <f t="shared" si="203"/>
        <v>43.89</v>
      </c>
      <c r="H232" s="108"/>
      <c r="I232" s="112"/>
      <c r="J232" s="113"/>
    </row>
    <row r="233" customHeight="1" spans="1:10">
      <c r="A233" s="37" t="s">
        <v>2007</v>
      </c>
      <c r="B233" s="38"/>
      <c r="C233" s="39">
        <v>10.9</v>
      </c>
      <c r="D233" s="40">
        <v>1.388</v>
      </c>
      <c r="E233" s="39">
        <v>1</v>
      </c>
      <c r="F233" s="106">
        <v>7.9</v>
      </c>
      <c r="G233" s="106">
        <f t="shared" ref="G233:G244" si="204">ROUND(C233*100*E233*250*100*0.9/50/D233/F233/1000,2)</f>
        <v>44.73</v>
      </c>
      <c r="H233" s="107">
        <f>ROUND((G233+G234)/2,1)</f>
        <v>44.8</v>
      </c>
      <c r="I233" s="110">
        <f>(G233-G234)*100/H233</f>
        <v>-0.334821428571441</v>
      </c>
      <c r="J233" s="111" t="s">
        <v>150</v>
      </c>
    </row>
    <row r="234" customHeight="1" spans="1:10">
      <c r="A234" s="41"/>
      <c r="B234" s="42"/>
      <c r="C234" s="39">
        <v>10.9</v>
      </c>
      <c r="D234" s="40">
        <v>1.5287</v>
      </c>
      <c r="E234" s="39">
        <v>1</v>
      </c>
      <c r="F234" s="106">
        <v>7.15</v>
      </c>
      <c r="G234" s="106">
        <f t="shared" si="204"/>
        <v>44.88</v>
      </c>
      <c r="H234" s="108"/>
      <c r="I234" s="112"/>
      <c r="J234" s="113"/>
    </row>
    <row r="235" customHeight="1" spans="1:10">
      <c r="A235" s="37" t="s">
        <v>2008</v>
      </c>
      <c r="B235" s="38"/>
      <c r="C235" s="39">
        <v>10.9</v>
      </c>
      <c r="D235" s="40">
        <v>1.3246</v>
      </c>
      <c r="E235" s="39">
        <v>1</v>
      </c>
      <c r="F235" s="106">
        <v>8.05</v>
      </c>
      <c r="G235" s="106">
        <f t="shared" si="204"/>
        <v>46</v>
      </c>
      <c r="H235" s="107">
        <f t="shared" ref="H235:H239" si="205">ROUND((G235+G236)/2,1)</f>
        <v>46.1</v>
      </c>
      <c r="I235" s="110">
        <f t="shared" ref="I235:I239" si="206">(G235-G236)*100/H235</f>
        <v>-0.260303687635569</v>
      </c>
      <c r="J235" s="111" t="s">
        <v>150</v>
      </c>
    </row>
    <row r="236" customHeight="1" spans="1:10">
      <c r="A236" s="41"/>
      <c r="B236" s="42"/>
      <c r="C236" s="39">
        <v>10.9</v>
      </c>
      <c r="D236" s="40">
        <v>1.3461</v>
      </c>
      <c r="E236" s="39">
        <v>1</v>
      </c>
      <c r="F236" s="106">
        <v>7.9</v>
      </c>
      <c r="G236" s="106">
        <f t="shared" si="204"/>
        <v>46.12</v>
      </c>
      <c r="H236" s="108"/>
      <c r="I236" s="112"/>
      <c r="J236" s="113"/>
    </row>
    <row r="237" customHeight="1" spans="1:10">
      <c r="A237" s="37" t="s">
        <v>2009</v>
      </c>
      <c r="B237" s="38"/>
      <c r="C237" s="39">
        <v>10.9</v>
      </c>
      <c r="D237" s="40">
        <v>1.2622</v>
      </c>
      <c r="E237" s="39">
        <v>1</v>
      </c>
      <c r="F237" s="106">
        <v>8.05</v>
      </c>
      <c r="G237" s="106">
        <f t="shared" si="204"/>
        <v>48.27</v>
      </c>
      <c r="H237" s="107">
        <f t="shared" si="205"/>
        <v>48.3</v>
      </c>
      <c r="I237" s="110">
        <f t="shared" si="206"/>
        <v>-0.0414078674948158</v>
      </c>
      <c r="J237" s="111" t="s">
        <v>150</v>
      </c>
    </row>
    <row r="238" customHeight="1" spans="1:10">
      <c r="A238" s="41"/>
      <c r="B238" s="42"/>
      <c r="C238" s="39">
        <v>10.9</v>
      </c>
      <c r="D238" s="40">
        <v>1.2525</v>
      </c>
      <c r="E238" s="39">
        <v>1</v>
      </c>
      <c r="F238" s="106">
        <v>8.11</v>
      </c>
      <c r="G238" s="106">
        <f t="shared" si="204"/>
        <v>48.29</v>
      </c>
      <c r="H238" s="108"/>
      <c r="I238" s="112"/>
      <c r="J238" s="113"/>
    </row>
    <row r="239" customHeight="1" spans="1:10">
      <c r="A239" s="37" t="s">
        <v>2010</v>
      </c>
      <c r="B239" s="38"/>
      <c r="C239" s="39">
        <v>11</v>
      </c>
      <c r="D239" s="40">
        <v>1.0215</v>
      </c>
      <c r="E239" s="39">
        <v>1</v>
      </c>
      <c r="F239" s="106">
        <v>9.65</v>
      </c>
      <c r="G239" s="106">
        <f t="shared" si="204"/>
        <v>50.22</v>
      </c>
      <c r="H239" s="107">
        <f t="shared" si="205"/>
        <v>49.9</v>
      </c>
      <c r="I239" s="110">
        <f t="shared" si="206"/>
        <v>1.22244488977956</v>
      </c>
      <c r="J239" s="111" t="s">
        <v>150</v>
      </c>
    </row>
    <row r="240" customHeight="1" spans="1:10">
      <c r="A240" s="41"/>
      <c r="B240" s="42"/>
      <c r="C240" s="39">
        <v>11</v>
      </c>
      <c r="D240" s="40">
        <v>1.1148</v>
      </c>
      <c r="E240" s="39">
        <v>1</v>
      </c>
      <c r="F240" s="106">
        <v>8.95</v>
      </c>
      <c r="G240" s="106">
        <f t="shared" si="204"/>
        <v>49.61</v>
      </c>
      <c r="H240" s="108"/>
      <c r="I240" s="112"/>
      <c r="J240" s="113"/>
    </row>
    <row r="241" customHeight="1" spans="1:10">
      <c r="A241" s="37" t="s">
        <v>2010</v>
      </c>
      <c r="B241" s="38"/>
      <c r="C241" s="39">
        <v>11</v>
      </c>
      <c r="D241" s="40">
        <v>2.50214</v>
      </c>
      <c r="E241" s="39">
        <v>4</v>
      </c>
      <c r="F241" s="106">
        <v>11</v>
      </c>
      <c r="G241" s="106">
        <f t="shared" si="204"/>
        <v>71.94</v>
      </c>
      <c r="H241" s="107">
        <f>ROUND((G241+G242)/2,1)</f>
        <v>72.2</v>
      </c>
      <c r="I241" s="110">
        <f>(G241-G242)*100/H241</f>
        <v>-0.59556786703602</v>
      </c>
      <c r="J241" s="111" t="s">
        <v>150</v>
      </c>
    </row>
    <row r="242" customHeight="1" spans="1:10">
      <c r="A242" s="41"/>
      <c r="B242" s="42"/>
      <c r="C242" s="39">
        <v>11</v>
      </c>
      <c r="D242" s="40">
        <v>2.4985</v>
      </c>
      <c r="E242" s="39">
        <v>4</v>
      </c>
      <c r="F242" s="106">
        <v>10.95</v>
      </c>
      <c r="G242" s="106">
        <f t="shared" si="204"/>
        <v>72.37</v>
      </c>
      <c r="H242" s="108"/>
      <c r="I242" s="112"/>
      <c r="J242" s="113"/>
    </row>
    <row r="243" customHeight="1" spans="1:11">
      <c r="A243" s="37" t="s">
        <v>615</v>
      </c>
      <c r="B243" s="38"/>
      <c r="C243" s="39">
        <v>11</v>
      </c>
      <c r="D243" s="40">
        <v>1.1033</v>
      </c>
      <c r="E243" s="39">
        <v>1</v>
      </c>
      <c r="F243" s="106">
        <v>14.1</v>
      </c>
      <c r="G243" s="106">
        <f t="shared" si="204"/>
        <v>31.82</v>
      </c>
      <c r="H243" s="107">
        <f t="shared" ref="H243:H247" si="207">ROUND((G243+G244)/2,1)</f>
        <v>31.9</v>
      </c>
      <c r="I243" s="110">
        <f t="shared" ref="I243:I247" si="208">(G243-G244)*100/H243</f>
        <v>-0.658307210031351</v>
      </c>
      <c r="J243" s="111" t="s">
        <v>150</v>
      </c>
      <c r="K243">
        <v>5.9</v>
      </c>
    </row>
    <row r="244" ht="42" customHeight="1" spans="1:10">
      <c r="A244" s="41"/>
      <c r="B244" s="42"/>
      <c r="C244" s="39">
        <v>11</v>
      </c>
      <c r="D244" s="40">
        <v>1.0659</v>
      </c>
      <c r="E244" s="39">
        <v>1</v>
      </c>
      <c r="F244" s="106">
        <v>14.5</v>
      </c>
      <c r="G244" s="106">
        <f t="shared" si="204"/>
        <v>32.03</v>
      </c>
      <c r="H244" s="108"/>
      <c r="I244" s="112"/>
      <c r="J244" s="113"/>
    </row>
    <row r="245" customHeight="1" spans="1:10">
      <c r="A245" s="37" t="s">
        <v>2011</v>
      </c>
      <c r="B245" s="38"/>
      <c r="C245" s="39">
        <v>10.8</v>
      </c>
      <c r="D245" s="40">
        <v>1.1145</v>
      </c>
      <c r="E245" s="39">
        <v>1</v>
      </c>
      <c r="F245" s="106">
        <v>11.65</v>
      </c>
      <c r="G245" s="106">
        <f t="shared" ref="G245:G252" si="209">ROUND(C245*100*E245*250*100*0.9/50/D245/F245/1000,2)</f>
        <v>37.43</v>
      </c>
      <c r="H245" s="107">
        <f t="shared" si="207"/>
        <v>37.6</v>
      </c>
      <c r="I245" s="110">
        <f t="shared" si="208"/>
        <v>-0.984042553191482</v>
      </c>
      <c r="J245" s="111" t="s">
        <v>150</v>
      </c>
    </row>
    <row r="246" customHeight="1" spans="1:10">
      <c r="A246" s="41"/>
      <c r="B246" s="42"/>
      <c r="C246" s="39">
        <v>10.8</v>
      </c>
      <c r="D246" s="40">
        <v>1.0125</v>
      </c>
      <c r="E246" s="39">
        <v>1</v>
      </c>
      <c r="F246" s="106">
        <v>12.7</v>
      </c>
      <c r="G246" s="106">
        <f t="shared" si="209"/>
        <v>37.8</v>
      </c>
      <c r="H246" s="108"/>
      <c r="I246" s="112"/>
      <c r="J246" s="113"/>
    </row>
    <row r="247" customHeight="1" spans="1:10">
      <c r="A247" s="37" t="s">
        <v>2012</v>
      </c>
      <c r="B247" s="38"/>
      <c r="C247" s="39">
        <v>10.8</v>
      </c>
      <c r="D247" s="40">
        <v>1.6025</v>
      </c>
      <c r="E247" s="39">
        <v>1</v>
      </c>
      <c r="F247" s="106">
        <v>13.15</v>
      </c>
      <c r="G247" s="106">
        <f t="shared" si="209"/>
        <v>23.06</v>
      </c>
      <c r="H247" s="107">
        <f t="shared" si="207"/>
        <v>23.1</v>
      </c>
      <c r="I247" s="110">
        <f t="shared" si="208"/>
        <v>-0.21645021645022</v>
      </c>
      <c r="J247" s="111" t="s">
        <v>150</v>
      </c>
    </row>
    <row r="248" customHeight="1" spans="1:10">
      <c r="A248" s="41"/>
      <c r="B248" s="42"/>
      <c r="C248" s="39">
        <v>10.8</v>
      </c>
      <c r="D248" s="40">
        <v>1.5024</v>
      </c>
      <c r="E248" s="39">
        <v>1</v>
      </c>
      <c r="F248" s="106">
        <v>14</v>
      </c>
      <c r="G248" s="106">
        <f t="shared" si="209"/>
        <v>23.11</v>
      </c>
      <c r="H248" s="108"/>
      <c r="I248" s="112"/>
      <c r="J248" s="113"/>
    </row>
    <row r="249" customHeight="1" spans="1:12">
      <c r="A249" s="37" t="s">
        <v>2013</v>
      </c>
      <c r="B249" s="38"/>
      <c r="C249" s="39">
        <v>10.8</v>
      </c>
      <c r="D249" s="40">
        <v>1.1893</v>
      </c>
      <c r="E249" s="39">
        <v>1</v>
      </c>
      <c r="F249" s="106">
        <v>16.1</v>
      </c>
      <c r="G249" s="106">
        <f t="shared" si="209"/>
        <v>25.38</v>
      </c>
      <c r="H249" s="107">
        <f>ROUND((G249+G250)/2,1)</f>
        <v>25.4</v>
      </c>
      <c r="I249" s="110">
        <f>(G249-G250)*100/H249</f>
        <v>-0.236220472440954</v>
      </c>
      <c r="J249" s="111" t="s">
        <v>150</v>
      </c>
      <c r="K249">
        <v>5.6</v>
      </c>
      <c r="L249">
        <f>H249/(100-K249)</f>
        <v>0.269067796610169</v>
      </c>
    </row>
    <row r="250" customHeight="1" spans="1:10">
      <c r="A250" s="41"/>
      <c r="B250" s="42"/>
      <c r="C250" s="39">
        <v>10.8</v>
      </c>
      <c r="D250" s="40">
        <v>1.2054</v>
      </c>
      <c r="E250" s="39">
        <v>1</v>
      </c>
      <c r="F250" s="106">
        <v>15.85</v>
      </c>
      <c r="G250" s="106">
        <f t="shared" si="209"/>
        <v>25.44</v>
      </c>
      <c r="H250" s="108"/>
      <c r="I250" s="112"/>
      <c r="J250" s="113"/>
    </row>
    <row r="251" customHeight="1" spans="7:10">
      <c r="G251" s="106">
        <v>33.35</v>
      </c>
      <c r="H251" s="107">
        <f>ROUND((G251+G252)/2,1)</f>
        <v>33.3</v>
      </c>
      <c r="I251" s="110">
        <f>(G251-G252)*100/H251</f>
        <v>0.180180180180187</v>
      </c>
      <c r="J251" s="111" t="s">
        <v>150</v>
      </c>
    </row>
    <row r="252" customHeight="1" spans="7:10">
      <c r="G252" s="106">
        <v>33.29</v>
      </c>
      <c r="H252" s="108"/>
      <c r="I252" s="112"/>
      <c r="J252" s="113"/>
    </row>
  </sheetData>
  <mergeCells count="573">
    <mergeCell ref="A2:A3"/>
    <mergeCell ref="A5:A6"/>
    <mergeCell ref="A8:A9"/>
    <mergeCell ref="A10:A11"/>
    <mergeCell ref="A14:A15"/>
    <mergeCell ref="A16:A17"/>
    <mergeCell ref="A18:A19"/>
    <mergeCell ref="A20:A21"/>
    <mergeCell ref="A24:A25"/>
    <mergeCell ref="A26:A27"/>
    <mergeCell ref="A28:A29"/>
    <mergeCell ref="A30:A31"/>
    <mergeCell ref="A32:A33"/>
    <mergeCell ref="A34:A35"/>
    <mergeCell ref="A37:A38"/>
    <mergeCell ref="A40:A41"/>
    <mergeCell ref="A43:A44"/>
    <mergeCell ref="A46:A47"/>
    <mergeCell ref="A48:A49"/>
    <mergeCell ref="A50:A51"/>
    <mergeCell ref="A54:A55"/>
    <mergeCell ref="A56:A57"/>
    <mergeCell ref="A58:A59"/>
    <mergeCell ref="A60:A61"/>
    <mergeCell ref="A62:A63"/>
    <mergeCell ref="A64:A65"/>
    <mergeCell ref="A68:A69"/>
    <mergeCell ref="A71:A72"/>
    <mergeCell ref="A73:A74"/>
    <mergeCell ref="A75:A76"/>
    <mergeCell ref="A78:A79"/>
    <mergeCell ref="A81:A82"/>
    <mergeCell ref="A85:A86"/>
    <mergeCell ref="A87:A88"/>
    <mergeCell ref="A89:A90"/>
    <mergeCell ref="A91:A92"/>
    <mergeCell ref="A93:A94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B2:B3"/>
    <mergeCell ref="B5:B6"/>
    <mergeCell ref="B8:B9"/>
    <mergeCell ref="B10:B11"/>
    <mergeCell ref="B14:B15"/>
    <mergeCell ref="B16:B17"/>
    <mergeCell ref="B18:B19"/>
    <mergeCell ref="B20:B21"/>
    <mergeCell ref="B24:B25"/>
    <mergeCell ref="B26:B27"/>
    <mergeCell ref="B28:B29"/>
    <mergeCell ref="B30:B31"/>
    <mergeCell ref="B32:B33"/>
    <mergeCell ref="B34:B35"/>
    <mergeCell ref="B37:B38"/>
    <mergeCell ref="B40:B41"/>
    <mergeCell ref="B43:B44"/>
    <mergeCell ref="B46:B47"/>
    <mergeCell ref="B48:B49"/>
    <mergeCell ref="B50:B51"/>
    <mergeCell ref="B54:B55"/>
    <mergeCell ref="B56:B57"/>
    <mergeCell ref="B58:B59"/>
    <mergeCell ref="B60:B61"/>
    <mergeCell ref="B62:B63"/>
    <mergeCell ref="B64:B65"/>
    <mergeCell ref="B68:B69"/>
    <mergeCell ref="B71:B72"/>
    <mergeCell ref="B73:B74"/>
    <mergeCell ref="B75:B76"/>
    <mergeCell ref="B78:B79"/>
    <mergeCell ref="B81:B82"/>
    <mergeCell ref="B85:B86"/>
    <mergeCell ref="B87:B88"/>
    <mergeCell ref="B89:B90"/>
    <mergeCell ref="B91:B92"/>
    <mergeCell ref="B93:B94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H2:H3"/>
    <mergeCell ref="H5:H6"/>
    <mergeCell ref="H8:H9"/>
    <mergeCell ref="H10:H11"/>
    <mergeCell ref="H14:H15"/>
    <mergeCell ref="H16:H17"/>
    <mergeCell ref="H18:H19"/>
    <mergeCell ref="H20:H21"/>
    <mergeCell ref="H24:H25"/>
    <mergeCell ref="H26:H27"/>
    <mergeCell ref="H28:H29"/>
    <mergeCell ref="H30:H31"/>
    <mergeCell ref="H32:H33"/>
    <mergeCell ref="H34:H35"/>
    <mergeCell ref="H37:H38"/>
    <mergeCell ref="H40:H41"/>
    <mergeCell ref="H43:H44"/>
    <mergeCell ref="H46:H47"/>
    <mergeCell ref="H48:H49"/>
    <mergeCell ref="H50:H51"/>
    <mergeCell ref="H54:H55"/>
    <mergeCell ref="H56:H57"/>
    <mergeCell ref="H58:H59"/>
    <mergeCell ref="H60:H61"/>
    <mergeCell ref="H62:H63"/>
    <mergeCell ref="H64:H65"/>
    <mergeCell ref="H68:H69"/>
    <mergeCell ref="H71:H72"/>
    <mergeCell ref="H73:H74"/>
    <mergeCell ref="H75:H76"/>
    <mergeCell ref="H78:H79"/>
    <mergeCell ref="H81:H82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I2:I3"/>
    <mergeCell ref="I5:I6"/>
    <mergeCell ref="I8:I9"/>
    <mergeCell ref="I10:I11"/>
    <mergeCell ref="I14:I15"/>
    <mergeCell ref="I16:I17"/>
    <mergeCell ref="I18:I19"/>
    <mergeCell ref="I20:I21"/>
    <mergeCell ref="I24:I25"/>
    <mergeCell ref="I26:I27"/>
    <mergeCell ref="I28:I29"/>
    <mergeCell ref="I30:I31"/>
    <mergeCell ref="I32:I33"/>
    <mergeCell ref="I34:I35"/>
    <mergeCell ref="I37:I38"/>
    <mergeCell ref="I40:I41"/>
    <mergeCell ref="I43:I44"/>
    <mergeCell ref="I46:I47"/>
    <mergeCell ref="I48:I49"/>
    <mergeCell ref="I50:I51"/>
    <mergeCell ref="I54:I55"/>
    <mergeCell ref="I56:I57"/>
    <mergeCell ref="I58:I59"/>
    <mergeCell ref="I60:I61"/>
    <mergeCell ref="I62:I63"/>
    <mergeCell ref="I64:I65"/>
    <mergeCell ref="I68:I69"/>
    <mergeCell ref="I71:I72"/>
    <mergeCell ref="I73:I74"/>
    <mergeCell ref="I75:I76"/>
    <mergeCell ref="I78:I79"/>
    <mergeCell ref="I81:I82"/>
    <mergeCell ref="I85:I86"/>
    <mergeCell ref="I87:I88"/>
    <mergeCell ref="I89:I90"/>
    <mergeCell ref="I91:I92"/>
    <mergeCell ref="I93:I94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J2:J3"/>
    <mergeCell ref="J5:J6"/>
    <mergeCell ref="J8:J9"/>
    <mergeCell ref="J10:J11"/>
    <mergeCell ref="J14:J15"/>
    <mergeCell ref="J16:J17"/>
    <mergeCell ref="J18:J19"/>
    <mergeCell ref="J20:J21"/>
    <mergeCell ref="J24:J25"/>
    <mergeCell ref="J26:J27"/>
    <mergeCell ref="J28:J29"/>
    <mergeCell ref="J30:J31"/>
    <mergeCell ref="J32:J33"/>
    <mergeCell ref="J34:J35"/>
    <mergeCell ref="J37:J38"/>
    <mergeCell ref="J40:J41"/>
    <mergeCell ref="J43:J44"/>
    <mergeCell ref="J46:J47"/>
    <mergeCell ref="J48:J49"/>
    <mergeCell ref="J50:J51"/>
    <mergeCell ref="J54:J55"/>
    <mergeCell ref="J56:J57"/>
    <mergeCell ref="J58:J59"/>
    <mergeCell ref="J60:J61"/>
    <mergeCell ref="J62:J63"/>
    <mergeCell ref="J64:J65"/>
    <mergeCell ref="J68:J69"/>
    <mergeCell ref="J71:J72"/>
    <mergeCell ref="J73:J74"/>
    <mergeCell ref="J75:J76"/>
    <mergeCell ref="J78:J79"/>
    <mergeCell ref="J81:J82"/>
    <mergeCell ref="J85:J86"/>
    <mergeCell ref="J87:J88"/>
    <mergeCell ref="J89:J90"/>
    <mergeCell ref="J91:J92"/>
    <mergeCell ref="J93:J94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5"/>
  <dimension ref="A1"/>
  <sheetViews>
    <sheetView workbookViewId="0">
      <selection activeCell="E1115" sqref="E1115"/>
    </sheetView>
  </sheetViews>
  <sheetFormatPr defaultColWidth="9" defaultRowHeight="13.5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J68"/>
  <sheetViews>
    <sheetView topLeftCell="A34" workbookViewId="0">
      <selection activeCell="E1115" sqref="E1115"/>
    </sheetView>
  </sheetViews>
  <sheetFormatPr defaultColWidth="9" defaultRowHeight="13.5"/>
  <sheetData>
    <row r="1" spans="1:9">
      <c r="A1" s="55" t="s">
        <v>2014</v>
      </c>
      <c r="B1" s="56" t="s">
        <v>2015</v>
      </c>
      <c r="C1" s="57">
        <v>11.3</v>
      </c>
      <c r="D1" s="58">
        <v>2.0937</v>
      </c>
      <c r="E1" s="57">
        <v>1</v>
      </c>
      <c r="F1" s="58">
        <v>10.2</v>
      </c>
      <c r="G1" s="59">
        <f>(C1-F1)*500*100*E1*0.9/D1/10/1000</f>
        <v>2.36423556383436</v>
      </c>
      <c r="H1" s="61">
        <f>(G1+G2)/2</f>
        <v>2.30886423892554</v>
      </c>
      <c r="I1" s="62">
        <f>(G1-G2)/H1*100</f>
        <v>4.79641236373311</v>
      </c>
    </row>
    <row r="2" spans="1:9">
      <c r="A2" s="55"/>
      <c r="B2" s="56"/>
      <c r="C2" s="57">
        <v>11.3</v>
      </c>
      <c r="D2" s="58">
        <v>1.9969</v>
      </c>
      <c r="E2" s="57">
        <v>1</v>
      </c>
      <c r="F2" s="58">
        <v>10.3</v>
      </c>
      <c r="G2" s="59">
        <f>(C2-F2)*500*100*E2*0.9/D2/10/1000</f>
        <v>2.25349291401673</v>
      </c>
      <c r="H2" s="61"/>
      <c r="I2" s="62"/>
    </row>
    <row r="4" spans="1:9">
      <c r="A4" s="55" t="s">
        <v>735</v>
      </c>
      <c r="B4" s="56" t="s">
        <v>2016</v>
      </c>
      <c r="C4" s="57">
        <v>11.2</v>
      </c>
      <c r="D4" s="58">
        <v>2.9406</v>
      </c>
      <c r="E4" s="57">
        <v>1</v>
      </c>
      <c r="F4" s="58">
        <v>4.8</v>
      </c>
      <c r="G4" s="59">
        <f t="shared" ref="G4:G9" si="0">(C4-F4)*500*100*E4*0.9/D4/10/1000</f>
        <v>9.79391960824321</v>
      </c>
      <c r="H4" s="61">
        <f>(G4+G5)/2</f>
        <v>9.87778757025988</v>
      </c>
      <c r="I4" s="62">
        <f>(G4-G5)/H4*100</f>
        <v>-1.69811228314285</v>
      </c>
    </row>
    <row r="5" spans="1:9">
      <c r="A5" s="55"/>
      <c r="B5" s="56"/>
      <c r="C5" s="57">
        <v>11.2</v>
      </c>
      <c r="D5" s="58">
        <v>2.5297</v>
      </c>
      <c r="E5" s="57">
        <v>1</v>
      </c>
      <c r="F5" s="58">
        <v>5.6</v>
      </c>
      <c r="G5" s="59">
        <f t="shared" si="0"/>
        <v>9.96165553227655</v>
      </c>
      <c r="H5" s="61"/>
      <c r="I5" s="62"/>
    </row>
    <row r="6" spans="1:9">
      <c r="A6" s="55" t="s">
        <v>2017</v>
      </c>
      <c r="B6" s="56" t="s">
        <v>2018</v>
      </c>
      <c r="C6" s="57">
        <v>11.4</v>
      </c>
      <c r="D6" s="58">
        <v>2.2027</v>
      </c>
      <c r="E6" s="57">
        <v>1</v>
      </c>
      <c r="F6" s="58">
        <v>7.8</v>
      </c>
      <c r="G6" s="59">
        <f t="shared" si="0"/>
        <v>7.35461025105552</v>
      </c>
      <c r="H6" s="61">
        <f>(G6+G7)/2</f>
        <v>7.21669545757147</v>
      </c>
      <c r="I6" s="62">
        <f>(G6-G7)/H6*100</f>
        <v>3.82210373972097</v>
      </c>
    </row>
    <row r="7" spans="1:9">
      <c r="A7" s="55"/>
      <c r="B7" s="56"/>
      <c r="C7" s="57">
        <v>11.4</v>
      </c>
      <c r="D7" s="58">
        <v>2.3521</v>
      </c>
      <c r="E7" s="57">
        <v>1</v>
      </c>
      <c r="F7" s="58">
        <v>7.7</v>
      </c>
      <c r="G7" s="59">
        <f t="shared" si="0"/>
        <v>7.07878066408741</v>
      </c>
      <c r="H7" s="61"/>
      <c r="I7" s="62"/>
    </row>
    <row r="8" spans="1:9">
      <c r="A8" s="55" t="s">
        <v>2019</v>
      </c>
      <c r="B8" s="56" t="s">
        <v>2016</v>
      </c>
      <c r="C8" s="57">
        <v>11.4</v>
      </c>
      <c r="D8" s="58">
        <v>1.7195</v>
      </c>
      <c r="E8" s="57">
        <v>1</v>
      </c>
      <c r="F8" s="58">
        <v>5.75</v>
      </c>
      <c r="G8" s="59">
        <f t="shared" si="0"/>
        <v>14.7862750799651</v>
      </c>
      <c r="H8" s="61">
        <f>(G8+G9)/2</f>
        <v>14.6821608108643</v>
      </c>
      <c r="I8" s="62">
        <f>(G8-G9)/H8*100</f>
        <v>1.41824177574477</v>
      </c>
    </row>
    <row r="9" spans="1:9">
      <c r="A9" s="55"/>
      <c r="B9" s="56"/>
      <c r="C9" s="57">
        <v>11.4</v>
      </c>
      <c r="D9" s="58">
        <v>1.8521</v>
      </c>
      <c r="E9" s="57">
        <v>1</v>
      </c>
      <c r="F9" s="58">
        <v>5.4</v>
      </c>
      <c r="G9" s="59">
        <f t="shared" si="0"/>
        <v>14.5780465417634</v>
      </c>
      <c r="H9" s="61"/>
      <c r="I9" s="62"/>
    </row>
    <row r="11" spans="1:9">
      <c r="A11" s="55" t="s">
        <v>1165</v>
      </c>
      <c r="B11" s="56" t="s">
        <v>2016</v>
      </c>
      <c r="C11" s="57">
        <v>11.4</v>
      </c>
      <c r="D11" s="58">
        <v>2.7561</v>
      </c>
      <c r="E11" s="57">
        <v>1</v>
      </c>
      <c r="F11" s="58">
        <v>3.7</v>
      </c>
      <c r="G11" s="59">
        <f>(C11-F11)*500*100*E11*0.9/D11/10/1000</f>
        <v>12.5721127680418</v>
      </c>
      <c r="H11" s="61">
        <f>(G11+G12)/2</f>
        <v>12.6003291832072</v>
      </c>
      <c r="I11" s="62">
        <f>(G11-G12)/H11*100</f>
        <v>-0.447867904960036</v>
      </c>
    </row>
    <row r="12" spans="1:9">
      <c r="A12" s="55"/>
      <c r="B12" s="56"/>
      <c r="C12" s="57">
        <v>11.4</v>
      </c>
      <c r="D12" s="58">
        <v>2.6547</v>
      </c>
      <c r="E12" s="57">
        <v>1</v>
      </c>
      <c r="F12" s="58">
        <v>3.95</v>
      </c>
      <c r="G12" s="59">
        <f t="shared" ref="G12" si="1">(C12-F12)*500*100*E12*0.9/D12/10/1000</f>
        <v>12.6285455983727</v>
      </c>
      <c r="H12" s="61"/>
      <c r="I12" s="62"/>
    </row>
    <row r="14" s="76" customFormat="1" spans="1:10">
      <c r="A14" s="79" t="s">
        <v>2020</v>
      </c>
      <c r="B14" s="80" t="s">
        <v>2016</v>
      </c>
      <c r="C14" s="81">
        <v>11.3</v>
      </c>
      <c r="D14" s="68">
        <v>2.1232</v>
      </c>
      <c r="E14" s="81">
        <v>1</v>
      </c>
      <c r="F14" s="68">
        <v>9.5</v>
      </c>
      <c r="G14" s="82">
        <f>(C14-F14)*250*100*E14*0.9/D14/10/1000</f>
        <v>1.90749811605124</v>
      </c>
      <c r="H14" s="83">
        <f>(G14+G15)/2</f>
        <v>1.93652389898969</v>
      </c>
      <c r="I14" s="96">
        <f>(G14-G15)/H14*100</f>
        <v>-2.99772008531298</v>
      </c>
      <c r="J14" s="97" t="s">
        <v>2021</v>
      </c>
    </row>
    <row r="15" s="76" customFormat="1" spans="1:9">
      <c r="A15" s="79"/>
      <c r="B15" s="80"/>
      <c r="C15" s="81">
        <v>11.3</v>
      </c>
      <c r="D15" s="68">
        <v>2.2322</v>
      </c>
      <c r="E15" s="81">
        <v>1</v>
      </c>
      <c r="F15" s="68">
        <v>9.35</v>
      </c>
      <c r="G15" s="82">
        <f>(C15-F15)*250*100*E15*0.9/D15/10/1000</f>
        <v>1.96554968192814</v>
      </c>
      <c r="H15" s="83"/>
      <c r="I15" s="96"/>
    </row>
    <row r="16" s="76" customFormat="1" spans="1:10">
      <c r="A16" s="79" t="s">
        <v>2022</v>
      </c>
      <c r="B16" s="80" t="s">
        <v>2016</v>
      </c>
      <c r="C16" s="81">
        <v>11.3</v>
      </c>
      <c r="D16" s="68">
        <v>2.7085</v>
      </c>
      <c r="E16" s="81">
        <v>1</v>
      </c>
      <c r="F16" s="68">
        <v>10.2</v>
      </c>
      <c r="G16" s="82">
        <f>(C16-F16)*500*100*E16*0.9/D16/10/1000</f>
        <v>1.82757984124054</v>
      </c>
      <c r="H16" s="83">
        <f>(G16+G17)/2</f>
        <v>1.84462598064509</v>
      </c>
      <c r="I16" s="96">
        <f>(G16-G17)/H16*100</f>
        <v>-1.84819465663076</v>
      </c>
      <c r="J16" s="97" t="s">
        <v>2023</v>
      </c>
    </row>
    <row r="17" s="76" customFormat="1" ht="29.25" customHeight="1" spans="1:9">
      <c r="A17" s="79"/>
      <c r="B17" s="80"/>
      <c r="C17" s="81">
        <v>11.3</v>
      </c>
      <c r="D17" s="68">
        <v>2.6589</v>
      </c>
      <c r="E17" s="81">
        <v>1</v>
      </c>
      <c r="F17" s="68">
        <v>10.2</v>
      </c>
      <c r="G17" s="82">
        <f t="shared" ref="G17" si="2">(C17-F17)*500*100*E17*0.9/D17/10/1000</f>
        <v>1.86167212004965</v>
      </c>
      <c r="H17" s="83"/>
      <c r="I17" s="96"/>
    </row>
    <row r="18" spans="1:10">
      <c r="A18" s="55" t="s">
        <v>2024</v>
      </c>
      <c r="B18" s="56"/>
      <c r="C18" s="57">
        <v>11.3</v>
      </c>
      <c r="D18" s="58">
        <v>1.7439</v>
      </c>
      <c r="E18" s="57">
        <v>1</v>
      </c>
      <c r="F18" s="58">
        <v>9.55</v>
      </c>
      <c r="G18" s="60">
        <f t="shared" ref="G18:G29" si="3">(C18-F18)*250*100*E18*0.9/D18/10/1000</f>
        <v>2.25787029072768</v>
      </c>
      <c r="H18" s="63">
        <f>(G18+G19)/2</f>
        <v>2.28166292160311</v>
      </c>
      <c r="I18" s="62">
        <f>(G18-G19)/H18*100</f>
        <v>-2.08555178332068</v>
      </c>
      <c r="J18" s="65" t="s">
        <v>2021</v>
      </c>
    </row>
    <row r="19" spans="1:9">
      <c r="A19" s="55"/>
      <c r="B19" s="56"/>
      <c r="C19" s="57">
        <v>11.3</v>
      </c>
      <c r="D19" s="58">
        <v>1.8055</v>
      </c>
      <c r="E19" s="57">
        <v>1</v>
      </c>
      <c r="F19" s="58">
        <v>9.45</v>
      </c>
      <c r="G19" s="60">
        <f t="shared" si="3"/>
        <v>2.30545555247854</v>
      </c>
      <c r="H19" s="63"/>
      <c r="I19" s="62"/>
    </row>
    <row r="20" spans="1:10">
      <c r="A20" s="55" t="s">
        <v>2025</v>
      </c>
      <c r="B20" s="56"/>
      <c r="C20" s="57">
        <v>11.3</v>
      </c>
      <c r="D20" s="58">
        <v>1.7835</v>
      </c>
      <c r="E20" s="57">
        <v>1</v>
      </c>
      <c r="F20" s="58">
        <v>9.5</v>
      </c>
      <c r="G20" s="60">
        <f t="shared" si="3"/>
        <v>2.27081581160639</v>
      </c>
      <c r="H20" s="63">
        <f>(G20+G21)/2</f>
        <v>2.26166666559355</v>
      </c>
      <c r="I20" s="62">
        <f>(G20-G21)/H20*100</f>
        <v>0.809062285970452</v>
      </c>
      <c r="J20" s="65" t="s">
        <v>2021</v>
      </c>
    </row>
    <row r="21" spans="1:9">
      <c r="A21" s="55"/>
      <c r="B21" s="56"/>
      <c r="C21" s="57">
        <v>11.3</v>
      </c>
      <c r="D21" s="58">
        <v>1.6981</v>
      </c>
      <c r="E21" s="57">
        <v>1</v>
      </c>
      <c r="F21" s="58">
        <v>9.6</v>
      </c>
      <c r="G21" s="60">
        <f t="shared" si="3"/>
        <v>2.25251751958071</v>
      </c>
      <c r="H21" s="63"/>
      <c r="I21" s="62"/>
    </row>
    <row r="22" spans="1:10">
      <c r="A22" s="55" t="s">
        <v>2026</v>
      </c>
      <c r="B22" s="56"/>
      <c r="C22" s="57">
        <v>11.3</v>
      </c>
      <c r="D22" s="58">
        <v>1.7672</v>
      </c>
      <c r="E22" s="57">
        <v>1</v>
      </c>
      <c r="F22" s="58">
        <v>9.9</v>
      </c>
      <c r="G22" s="60">
        <f t="shared" si="3"/>
        <v>1.78248076052513</v>
      </c>
      <c r="H22" s="63">
        <f>(G22+G23)/2</f>
        <v>1.76044567827581</v>
      </c>
      <c r="I22" s="62">
        <f>(G22-G23)/H22*100</f>
        <v>2.50335270451497</v>
      </c>
      <c r="J22" s="65" t="s">
        <v>2021</v>
      </c>
    </row>
    <row r="23" spans="1:9">
      <c r="A23" s="55"/>
      <c r="B23" s="56"/>
      <c r="C23" s="57">
        <v>11.3</v>
      </c>
      <c r="D23" s="58">
        <v>1.812</v>
      </c>
      <c r="E23" s="57">
        <v>1</v>
      </c>
      <c r="F23" s="58">
        <v>9.9</v>
      </c>
      <c r="G23" s="60">
        <f t="shared" si="3"/>
        <v>1.73841059602649</v>
      </c>
      <c r="H23" s="63"/>
      <c r="I23" s="62"/>
    </row>
    <row r="24" spans="1:10">
      <c r="A24" s="55" t="s">
        <v>2027</v>
      </c>
      <c r="B24" s="56"/>
      <c r="C24" s="57">
        <v>11.3</v>
      </c>
      <c r="D24" s="58">
        <v>1.7938</v>
      </c>
      <c r="E24" s="57">
        <v>1</v>
      </c>
      <c r="F24" s="58">
        <v>9.4</v>
      </c>
      <c r="G24" s="60">
        <f t="shared" si="3"/>
        <v>2.38320883041588</v>
      </c>
      <c r="H24" s="63">
        <f>(G24+G25)/2</f>
        <v>2.39827710347711</v>
      </c>
      <c r="I24" s="62">
        <f>(G24-G25)/H24*100</f>
        <v>-1.25659149556826</v>
      </c>
      <c r="J24" s="65" t="s">
        <v>2021</v>
      </c>
    </row>
    <row r="25" spans="1:9">
      <c r="A25" s="55"/>
      <c r="B25" s="56"/>
      <c r="C25" s="57">
        <v>11.3</v>
      </c>
      <c r="D25" s="58">
        <v>1.7714</v>
      </c>
      <c r="E25" s="57">
        <v>1</v>
      </c>
      <c r="F25" s="58">
        <v>9.4</v>
      </c>
      <c r="G25" s="60">
        <f t="shared" si="3"/>
        <v>2.41334537653833</v>
      </c>
      <c r="H25" s="63"/>
      <c r="I25" s="62"/>
    </row>
    <row r="26" spans="1:10">
      <c r="A26" s="55" t="s">
        <v>2028</v>
      </c>
      <c r="B26" s="56"/>
      <c r="C26" s="57">
        <v>11.3</v>
      </c>
      <c r="D26" s="58">
        <v>1.7118</v>
      </c>
      <c r="E26" s="57">
        <v>1</v>
      </c>
      <c r="F26" s="58">
        <v>10.9</v>
      </c>
      <c r="G26" s="60">
        <f t="shared" si="3"/>
        <v>0.525762355415353</v>
      </c>
      <c r="H26" s="63">
        <f>(G26+G27)/2</f>
        <v>0.52708972632205</v>
      </c>
      <c r="I26" s="62">
        <f>(G26-G27)/H26*100</f>
        <v>-0.503660322108327</v>
      </c>
      <c r="J26" s="65" t="s">
        <v>2021</v>
      </c>
    </row>
    <row r="27" spans="1:9">
      <c r="A27" s="55"/>
      <c r="B27" s="56"/>
      <c r="C27" s="57">
        <v>11.3</v>
      </c>
      <c r="D27" s="58">
        <v>1.7032</v>
      </c>
      <c r="E27" s="57">
        <v>1</v>
      </c>
      <c r="F27" s="58">
        <v>10.9</v>
      </c>
      <c r="G27" s="60">
        <f t="shared" si="3"/>
        <v>0.528417097228746</v>
      </c>
      <c r="H27" s="63"/>
      <c r="I27" s="62"/>
    </row>
    <row r="28" spans="1:10">
      <c r="A28" s="55" t="s">
        <v>2029</v>
      </c>
      <c r="B28" s="56"/>
      <c r="C28" s="57">
        <v>11.3</v>
      </c>
      <c r="D28" s="58">
        <v>1.761</v>
      </c>
      <c r="E28" s="57">
        <v>1</v>
      </c>
      <c r="F28" s="58">
        <v>9.9</v>
      </c>
      <c r="G28" s="60">
        <f t="shared" si="3"/>
        <v>1.78875638841567</v>
      </c>
      <c r="H28" s="63">
        <f>(G28+G29)/2</f>
        <v>1.79365876974741</v>
      </c>
      <c r="I28" s="62">
        <f>(G28-G29)/H28*100</f>
        <v>-0.546634779637847</v>
      </c>
      <c r="J28" s="65" t="s">
        <v>2021</v>
      </c>
    </row>
    <row r="29" spans="1:9">
      <c r="A29" s="55"/>
      <c r="B29" s="56"/>
      <c r="C29" s="57">
        <v>11.3</v>
      </c>
      <c r="D29" s="58">
        <v>1.7514</v>
      </c>
      <c r="E29" s="57">
        <v>1</v>
      </c>
      <c r="F29" s="58">
        <v>9.9</v>
      </c>
      <c r="G29" s="60">
        <f t="shared" si="3"/>
        <v>1.79856115107914</v>
      </c>
      <c r="H29" s="63"/>
      <c r="I29" s="62"/>
    </row>
    <row r="31" spans="1:10">
      <c r="A31" s="55" t="s">
        <v>2030</v>
      </c>
      <c r="B31" s="56"/>
      <c r="C31" s="57">
        <v>11.1</v>
      </c>
      <c r="D31" s="58">
        <v>2.8303</v>
      </c>
      <c r="E31" s="57">
        <v>1</v>
      </c>
      <c r="F31" s="58">
        <v>9.1</v>
      </c>
      <c r="G31" s="60">
        <f t="shared" ref="G31:G34" si="4">(C31-F31)*250*100*E31*0.9/D31/10/1000</f>
        <v>1.58993746245981</v>
      </c>
      <c r="H31" s="63">
        <f>(G31+G32)/2</f>
        <v>1.58993746245981</v>
      </c>
      <c r="I31" s="62">
        <f>(G31-G32)/H31*100</f>
        <v>0</v>
      </c>
      <c r="J31" s="65" t="s">
        <v>2021</v>
      </c>
    </row>
    <row r="32" spans="1:9">
      <c r="A32" s="55"/>
      <c r="B32" s="56"/>
      <c r="C32" s="57">
        <v>11.1</v>
      </c>
      <c r="D32" s="58">
        <v>2.8303</v>
      </c>
      <c r="E32" s="57">
        <v>1</v>
      </c>
      <c r="F32" s="58">
        <v>9.1</v>
      </c>
      <c r="G32" s="60">
        <f t="shared" si="4"/>
        <v>1.58993746245981</v>
      </c>
      <c r="H32" s="63"/>
      <c r="I32" s="62"/>
    </row>
    <row r="33" spans="1:10">
      <c r="A33" s="55" t="s">
        <v>2031</v>
      </c>
      <c r="B33" s="56"/>
      <c r="C33" s="57">
        <v>11.1</v>
      </c>
      <c r="D33" s="58">
        <v>2.8086</v>
      </c>
      <c r="E33" s="57">
        <v>1</v>
      </c>
      <c r="F33" s="58">
        <v>9.2</v>
      </c>
      <c r="G33" s="60">
        <f t="shared" si="4"/>
        <v>1.52211066011536</v>
      </c>
      <c r="H33" s="63">
        <f>(G33+G34)/2</f>
        <v>1.52211066011536</v>
      </c>
      <c r="I33" s="62">
        <f>(G33-G34)/H33*100</f>
        <v>0</v>
      </c>
      <c r="J33" s="65" t="s">
        <v>2021</v>
      </c>
    </row>
    <row r="34" spans="1:9">
      <c r="A34" s="55"/>
      <c r="B34" s="56"/>
      <c r="C34" s="57">
        <v>11.1</v>
      </c>
      <c r="D34" s="58">
        <v>2.8086</v>
      </c>
      <c r="E34" s="57">
        <v>1</v>
      </c>
      <c r="F34" s="58">
        <v>9.2</v>
      </c>
      <c r="G34" s="60">
        <f t="shared" si="4"/>
        <v>1.52211066011536</v>
      </c>
      <c r="H34" s="63"/>
      <c r="I34" s="62"/>
    </row>
    <row r="35" spans="1:10">
      <c r="A35" s="55" t="s">
        <v>2032</v>
      </c>
      <c r="B35" s="56"/>
      <c r="C35" s="57">
        <v>11.1</v>
      </c>
      <c r="D35" s="58">
        <v>2.4561</v>
      </c>
      <c r="E35" s="57">
        <v>1</v>
      </c>
      <c r="F35" s="58">
        <v>10.2</v>
      </c>
      <c r="G35" s="60">
        <f>(C35-F35)*500*100*E35*0.9/D35/10/1000</f>
        <v>1.64895566141444</v>
      </c>
      <c r="H35" s="63">
        <f>(G35+G36)/2</f>
        <v>1.60793432469105</v>
      </c>
      <c r="I35" s="62">
        <f>(G35-G36)/H35*100</f>
        <v>5.10236470401524</v>
      </c>
      <c r="J35" s="65" t="s">
        <v>2033</v>
      </c>
    </row>
    <row r="36" spans="1:9">
      <c r="A36" s="55"/>
      <c r="B36" s="56"/>
      <c r="C36" s="57">
        <v>11.1</v>
      </c>
      <c r="D36" s="58">
        <v>2.5847</v>
      </c>
      <c r="E36" s="57">
        <v>1</v>
      </c>
      <c r="F36" s="58">
        <v>10.2</v>
      </c>
      <c r="G36" s="60">
        <f>(C36-F36)*500*100*E36*0.9/D36/10/1000</f>
        <v>1.56691298796766</v>
      </c>
      <c r="H36" s="63"/>
      <c r="I36" s="62"/>
    </row>
    <row r="37" spans="1:10">
      <c r="A37" s="55" t="s">
        <v>2034</v>
      </c>
      <c r="B37" s="56"/>
      <c r="C37" s="57">
        <v>10.8</v>
      </c>
      <c r="D37" s="58">
        <v>2.0438</v>
      </c>
      <c r="E37" s="57">
        <v>1</v>
      </c>
      <c r="F37" s="58">
        <v>9.1</v>
      </c>
      <c r="G37" s="60">
        <f t="shared" ref="G37:G42" si="5">(C37-F37)*250*100*E37*0.9/D37/10/1000</f>
        <v>1.87151384675604</v>
      </c>
      <c r="H37" s="63">
        <f>(G37+G38)/2</f>
        <v>1.89889604347315</v>
      </c>
      <c r="I37" s="62">
        <f>(G37-G38)/H37*100</f>
        <v>-2.88401219342373</v>
      </c>
      <c r="J37" s="65" t="s">
        <v>2021</v>
      </c>
    </row>
    <row r="38" spans="1:9">
      <c r="A38" s="55"/>
      <c r="B38" s="56"/>
      <c r="C38" s="57">
        <v>10.8</v>
      </c>
      <c r="D38" s="58">
        <v>2.1025</v>
      </c>
      <c r="E38" s="57">
        <v>1</v>
      </c>
      <c r="F38" s="58">
        <v>9</v>
      </c>
      <c r="G38" s="60">
        <f t="shared" si="5"/>
        <v>1.92627824019025</v>
      </c>
      <c r="H38" s="63"/>
      <c r="I38" s="62"/>
    </row>
    <row r="39" spans="1:10">
      <c r="A39" s="55" t="s">
        <v>2035</v>
      </c>
      <c r="B39" s="56"/>
      <c r="C39" s="57">
        <v>10.8</v>
      </c>
      <c r="D39" s="58">
        <v>2.078</v>
      </c>
      <c r="E39" s="57">
        <v>1</v>
      </c>
      <c r="F39" s="58">
        <v>9.8</v>
      </c>
      <c r="G39" s="60">
        <f t="shared" si="5"/>
        <v>1.0827718960539</v>
      </c>
      <c r="H39" s="63">
        <f>(G39+G40)/2</f>
        <v>1.07740653121734</v>
      </c>
      <c r="I39" s="62">
        <f>(G39-G40)/H39*100</f>
        <v>0.995977782034134</v>
      </c>
      <c r="J39" s="65" t="s">
        <v>2021</v>
      </c>
    </row>
    <row r="40" spans="1:9">
      <c r="A40" s="55"/>
      <c r="B40" s="56"/>
      <c r="C40" s="57">
        <v>10.8</v>
      </c>
      <c r="D40" s="58">
        <v>2.0988</v>
      </c>
      <c r="E40" s="57">
        <v>1</v>
      </c>
      <c r="F40" s="58">
        <v>9.8</v>
      </c>
      <c r="G40" s="60">
        <f t="shared" si="5"/>
        <v>1.07204116638079</v>
      </c>
      <c r="H40" s="63"/>
      <c r="I40" s="62"/>
    </row>
    <row r="41" spans="1:10">
      <c r="A41" s="55" t="s">
        <v>2036</v>
      </c>
      <c r="B41" s="56"/>
      <c r="C41" s="57">
        <v>10.8</v>
      </c>
      <c r="D41" s="58">
        <v>2.1396</v>
      </c>
      <c r="E41" s="57">
        <v>1</v>
      </c>
      <c r="F41" s="58">
        <v>9.5</v>
      </c>
      <c r="G41" s="60">
        <f t="shared" si="5"/>
        <v>1.36707795849692</v>
      </c>
      <c r="H41" s="63">
        <f>(G41+G42)/2</f>
        <v>1.36908109353933</v>
      </c>
      <c r="I41" s="62">
        <f>(G41-G42)/H41*100</f>
        <v>-0.292624746900447</v>
      </c>
      <c r="J41" s="65" t="s">
        <v>2021</v>
      </c>
    </row>
    <row r="42" spans="1:9">
      <c r="A42" s="55"/>
      <c r="B42" s="56"/>
      <c r="C42" s="57">
        <v>10.8</v>
      </c>
      <c r="D42" s="58">
        <v>2.2154</v>
      </c>
      <c r="E42" s="57">
        <v>1</v>
      </c>
      <c r="F42" s="58">
        <v>9.45</v>
      </c>
      <c r="G42" s="60">
        <f t="shared" si="5"/>
        <v>1.37108422858175</v>
      </c>
      <c r="H42" s="63"/>
      <c r="I42" s="62"/>
    </row>
    <row r="43" spans="1:10">
      <c r="A43" s="55" t="s">
        <v>2037</v>
      </c>
      <c r="B43" s="56"/>
      <c r="C43" s="57">
        <v>10.8</v>
      </c>
      <c r="D43" s="58">
        <v>2.0499</v>
      </c>
      <c r="E43" s="57">
        <v>1</v>
      </c>
      <c r="F43" s="58">
        <v>10.25</v>
      </c>
      <c r="G43" s="59">
        <f t="shared" ref="G43:G48" si="6">(C43-F43)*250*100*E43*0.9/D43/10/1000</f>
        <v>0.603687984779746</v>
      </c>
      <c r="H43" s="61">
        <f>(G43+G44)/2</f>
        <v>0.596192501024096</v>
      </c>
      <c r="I43" s="62">
        <f>(G43-G44)/H43*100</f>
        <v>2.51445086705203</v>
      </c>
      <c r="J43" s="65" t="s">
        <v>2021</v>
      </c>
    </row>
    <row r="44" spans="1:9">
      <c r="A44" s="55"/>
      <c r="B44" s="56"/>
      <c r="C44" s="57">
        <v>10.8</v>
      </c>
      <c r="D44" s="58">
        <v>2.1021</v>
      </c>
      <c r="E44" s="57">
        <v>1</v>
      </c>
      <c r="F44" s="58">
        <v>10.25</v>
      </c>
      <c r="G44" s="59">
        <f t="shared" si="6"/>
        <v>0.588697017268446</v>
      </c>
      <c r="H44" s="61"/>
      <c r="I44" s="62"/>
    </row>
    <row r="45" s="77" customFormat="1" spans="1:10">
      <c r="A45" s="84" t="s">
        <v>2038</v>
      </c>
      <c r="B45" s="85"/>
      <c r="C45" s="86">
        <v>10.8</v>
      </c>
      <c r="D45" s="87">
        <v>2.2453</v>
      </c>
      <c r="E45" s="86">
        <v>1</v>
      </c>
      <c r="F45" s="87">
        <v>7.6</v>
      </c>
      <c r="G45" s="88">
        <f t="shared" si="6"/>
        <v>3.20669843673451</v>
      </c>
      <c r="H45" s="89">
        <f>(G45+G46)/2</f>
        <v>3.20669843673451</v>
      </c>
      <c r="I45" s="89">
        <f>(G45-G46)/H45*100</f>
        <v>0</v>
      </c>
      <c r="J45" s="98" t="s">
        <v>2021</v>
      </c>
    </row>
    <row r="46" s="77" customFormat="1" spans="1:9">
      <c r="A46" s="84"/>
      <c r="B46" s="85"/>
      <c r="C46" s="86">
        <v>10.8</v>
      </c>
      <c r="D46" s="87">
        <v>2.2453</v>
      </c>
      <c r="E46" s="86">
        <v>1</v>
      </c>
      <c r="F46" s="87">
        <v>7.6</v>
      </c>
      <c r="G46" s="88">
        <f t="shared" si="6"/>
        <v>3.20669843673451</v>
      </c>
      <c r="H46" s="89"/>
      <c r="I46" s="89"/>
    </row>
    <row r="47" spans="1:10">
      <c r="A47" s="55" t="s">
        <v>2039</v>
      </c>
      <c r="B47" s="56"/>
      <c r="C47" s="57">
        <v>10.8</v>
      </c>
      <c r="D47" s="58">
        <v>2.22</v>
      </c>
      <c r="E47" s="57">
        <v>1</v>
      </c>
      <c r="F47" s="58">
        <v>9.8</v>
      </c>
      <c r="G47" s="60">
        <f t="shared" si="6"/>
        <v>1.01351351351351</v>
      </c>
      <c r="H47" s="63">
        <f>(G47+G48)/2</f>
        <v>1.01849256461702</v>
      </c>
      <c r="I47" s="62">
        <f>(G47-G48)/H47*100</f>
        <v>-0.977729494839765</v>
      </c>
      <c r="J47" s="65" t="s">
        <v>2021</v>
      </c>
    </row>
    <row r="48" spans="1:9">
      <c r="A48" s="55"/>
      <c r="B48" s="56"/>
      <c r="C48" s="57">
        <v>10.8</v>
      </c>
      <c r="D48" s="58">
        <v>2.1984</v>
      </c>
      <c r="E48" s="57">
        <v>1</v>
      </c>
      <c r="F48" s="58">
        <v>9.8</v>
      </c>
      <c r="G48" s="60">
        <f t="shared" si="6"/>
        <v>1.02347161572052</v>
      </c>
      <c r="H48" s="63"/>
      <c r="I48" s="62"/>
    </row>
    <row r="50" spans="1:10">
      <c r="A50" s="55" t="s">
        <v>2034</v>
      </c>
      <c r="B50" s="56"/>
      <c r="C50" s="57">
        <v>10.8</v>
      </c>
      <c r="D50" s="58">
        <v>2.0769</v>
      </c>
      <c r="E50" s="57">
        <v>1</v>
      </c>
      <c r="F50" s="58">
        <v>9.05</v>
      </c>
      <c r="G50" s="60">
        <f t="shared" ref="G50:G55" si="7">(C50-F50)*250*100*E50*0.9/D50/10/1000</f>
        <v>1.8958543983822</v>
      </c>
      <c r="H50" s="63">
        <f>(G50+G51)/2</f>
        <v>1.8958543983822</v>
      </c>
      <c r="I50" s="62">
        <f>(G50-G51)/H50*100</f>
        <v>0</v>
      </c>
      <c r="J50" s="65" t="s">
        <v>2021</v>
      </c>
    </row>
    <row r="51" spans="1:9">
      <c r="A51" s="55"/>
      <c r="B51" s="56"/>
      <c r="C51" s="57">
        <v>10.8</v>
      </c>
      <c r="D51" s="58">
        <v>2.0769</v>
      </c>
      <c r="E51" s="57">
        <v>1</v>
      </c>
      <c r="F51" s="58">
        <v>9.05</v>
      </c>
      <c r="G51" s="60">
        <f t="shared" si="7"/>
        <v>1.8958543983822</v>
      </c>
      <c r="H51" s="63"/>
      <c r="I51" s="62"/>
    </row>
    <row r="52" spans="1:10">
      <c r="A52" s="55" t="s">
        <v>2036</v>
      </c>
      <c r="B52" s="56"/>
      <c r="C52" s="57">
        <v>10.8</v>
      </c>
      <c r="D52" s="58">
        <v>1.9786</v>
      </c>
      <c r="E52" s="57">
        <v>1</v>
      </c>
      <c r="F52" s="58">
        <v>9.4</v>
      </c>
      <c r="G52" s="60">
        <f t="shared" si="7"/>
        <v>1.59203477206105</v>
      </c>
      <c r="H52" s="63">
        <f>(G52+G53)/2</f>
        <v>1.59203477206105</v>
      </c>
      <c r="I52" s="62">
        <f>(G52-G53)/H52*100</f>
        <v>0</v>
      </c>
      <c r="J52" s="65" t="s">
        <v>2021</v>
      </c>
    </row>
    <row r="53" spans="1:9">
      <c r="A53" s="55"/>
      <c r="B53" s="56"/>
      <c r="C53" s="57">
        <v>10.8</v>
      </c>
      <c r="D53" s="58">
        <v>1.9786</v>
      </c>
      <c r="E53" s="57">
        <v>1</v>
      </c>
      <c r="F53" s="58">
        <v>9.4</v>
      </c>
      <c r="G53" s="60">
        <f t="shared" si="7"/>
        <v>1.59203477206105</v>
      </c>
      <c r="H53" s="63"/>
      <c r="I53" s="62"/>
    </row>
    <row r="54" s="78" customFormat="1" spans="1:10">
      <c r="A54" s="90" t="s">
        <v>2038</v>
      </c>
      <c r="B54" s="91"/>
      <c r="C54" s="92">
        <v>10.8</v>
      </c>
      <c r="D54" s="93">
        <v>2.1703</v>
      </c>
      <c r="E54" s="92">
        <v>1</v>
      </c>
      <c r="F54" s="93">
        <v>7.95</v>
      </c>
      <c r="G54" s="94">
        <f t="shared" si="7"/>
        <v>2.95466064599364</v>
      </c>
      <c r="H54" s="95">
        <f>(G54+G55)/2</f>
        <v>2.95869678262415</v>
      </c>
      <c r="I54" s="95">
        <f>(G54-G55)/H54*100</f>
        <v>-0.272832055938401</v>
      </c>
      <c r="J54" s="99" t="s">
        <v>2021</v>
      </c>
    </row>
    <row r="55" s="78" customFormat="1" spans="1:9">
      <c r="A55" s="90"/>
      <c r="B55" s="91"/>
      <c r="C55" s="92">
        <v>10.8</v>
      </c>
      <c r="D55" s="93">
        <v>2.0125</v>
      </c>
      <c r="E55" s="92">
        <v>1</v>
      </c>
      <c r="F55" s="93">
        <v>8.15</v>
      </c>
      <c r="G55" s="94">
        <f t="shared" si="7"/>
        <v>2.96273291925466</v>
      </c>
      <c r="H55" s="95"/>
      <c r="I55" s="95"/>
    </row>
    <row r="56" ht="24.75" customHeight="1" spans="1:10">
      <c r="A56" s="55" t="s">
        <v>2040</v>
      </c>
      <c r="B56" s="56"/>
      <c r="C56" s="57">
        <v>10.8</v>
      </c>
      <c r="D56" s="58">
        <v>2.1038</v>
      </c>
      <c r="E56" s="57">
        <v>1</v>
      </c>
      <c r="F56" s="58">
        <v>9.9</v>
      </c>
      <c r="G56" s="60">
        <f t="shared" ref="G56:G57" si="8">(C56-F56)*250*100*E56*0.9/D56/10/1000</f>
        <v>0.962543968057801</v>
      </c>
      <c r="H56" s="63">
        <f>(G56+G57)/2</f>
        <v>0.980335469833317</v>
      </c>
      <c r="I56" s="62">
        <f>(G56-G57)/H56*100</f>
        <v>-3.62967623288003</v>
      </c>
      <c r="J56" s="65" t="s">
        <v>2021</v>
      </c>
    </row>
    <row r="57" spans="1:9">
      <c r="A57" s="55"/>
      <c r="B57" s="56"/>
      <c r="C57" s="57">
        <v>10.8</v>
      </c>
      <c r="D57" s="58">
        <v>2.0288</v>
      </c>
      <c r="E57" s="57">
        <v>1</v>
      </c>
      <c r="F57" s="58">
        <v>9.9</v>
      </c>
      <c r="G57" s="60">
        <f t="shared" si="8"/>
        <v>0.998126971608833</v>
      </c>
      <c r="H57" s="63"/>
      <c r="I57" s="62"/>
    </row>
    <row r="58" spans="1:10">
      <c r="A58" s="55" t="s">
        <v>2041</v>
      </c>
      <c r="B58" s="56"/>
      <c r="C58" s="57">
        <v>10.9</v>
      </c>
      <c r="D58" s="58">
        <v>2.0027</v>
      </c>
      <c r="E58" s="57">
        <v>1</v>
      </c>
      <c r="F58" s="58">
        <v>10.2</v>
      </c>
      <c r="G58" s="59">
        <f t="shared" ref="G58:G63" si="9">(C58-F58)*250*100*E58*0.9/D58/10/1000</f>
        <v>0.786438308283818</v>
      </c>
      <c r="H58" s="61">
        <f>(G58+G59)/2</f>
        <v>0.780101983913465</v>
      </c>
      <c r="I58" s="62">
        <f>(G58-G59)/H58*100</f>
        <v>1.62448615719875</v>
      </c>
      <c r="J58" s="65" t="s">
        <v>2021</v>
      </c>
    </row>
    <row r="59" spans="1:9">
      <c r="A59" s="55"/>
      <c r="B59" s="56"/>
      <c r="C59" s="57">
        <v>10.9</v>
      </c>
      <c r="D59" s="58">
        <v>2.0355</v>
      </c>
      <c r="E59" s="57">
        <v>1</v>
      </c>
      <c r="F59" s="58">
        <v>10.2</v>
      </c>
      <c r="G59" s="59">
        <f t="shared" si="9"/>
        <v>0.773765659543111</v>
      </c>
      <c r="H59" s="61"/>
      <c r="I59" s="62"/>
    </row>
    <row r="60" spans="1:10">
      <c r="A60" s="55" t="s">
        <v>2042</v>
      </c>
      <c r="B60" s="56"/>
      <c r="C60" s="57">
        <v>10.9</v>
      </c>
      <c r="D60" s="58">
        <v>2.0767</v>
      </c>
      <c r="E60" s="57">
        <v>1</v>
      </c>
      <c r="F60" s="58">
        <v>10</v>
      </c>
      <c r="G60" s="59">
        <f t="shared" si="9"/>
        <v>0.975104733471373</v>
      </c>
      <c r="H60" s="61">
        <f>(G60+G61)/2</f>
        <v>0.984973147870543</v>
      </c>
      <c r="I60" s="62">
        <f>(G60-G61)/H60*100</f>
        <v>-2.00379358980596</v>
      </c>
      <c r="J60" s="65" t="s">
        <v>2021</v>
      </c>
    </row>
    <row r="61" spans="1:9">
      <c r="A61" s="55"/>
      <c r="B61" s="56"/>
      <c r="C61" s="57">
        <v>10.9</v>
      </c>
      <c r="D61" s="58">
        <v>2.0355</v>
      </c>
      <c r="E61" s="57">
        <v>1</v>
      </c>
      <c r="F61" s="58">
        <v>10</v>
      </c>
      <c r="G61" s="59">
        <f t="shared" si="9"/>
        <v>0.994841562269713</v>
      </c>
      <c r="H61" s="61"/>
      <c r="I61" s="62"/>
    </row>
    <row r="62" spans="1:10">
      <c r="A62" s="55" t="s">
        <v>1200</v>
      </c>
      <c r="B62" s="56"/>
      <c r="C62" s="57">
        <v>11.1</v>
      </c>
      <c r="D62" s="58">
        <v>2.1622</v>
      </c>
      <c r="E62" s="57">
        <v>1</v>
      </c>
      <c r="F62" s="58">
        <v>10.3</v>
      </c>
      <c r="G62" s="59">
        <f t="shared" si="9"/>
        <v>0.832485431504948</v>
      </c>
      <c r="H62" s="61">
        <f>(G62+G63)/2</f>
        <v>0.829865932576828</v>
      </c>
      <c r="I62" s="62">
        <f>(G62-G63)/H62*100</f>
        <v>0.631306534053241</v>
      </c>
      <c r="J62" s="65" t="s">
        <v>2021</v>
      </c>
    </row>
    <row r="63" spans="1:9">
      <c r="A63" s="55"/>
      <c r="B63" s="56"/>
      <c r="C63" s="57">
        <v>11.1</v>
      </c>
      <c r="D63" s="58">
        <v>2.0399</v>
      </c>
      <c r="E63" s="57">
        <v>1</v>
      </c>
      <c r="F63" s="58">
        <v>10.35</v>
      </c>
      <c r="G63" s="59">
        <f t="shared" si="9"/>
        <v>0.827246433648708</v>
      </c>
      <c r="H63" s="61"/>
      <c r="I63" s="62"/>
    </row>
    <row r="64" spans="1:10">
      <c r="A64" s="55" t="s">
        <v>1201</v>
      </c>
      <c r="B64" s="56"/>
      <c r="C64" s="57">
        <v>11.1</v>
      </c>
      <c r="D64" s="58">
        <v>2.2114</v>
      </c>
      <c r="E64" s="57">
        <v>1</v>
      </c>
      <c r="F64" s="58">
        <v>10.05</v>
      </c>
      <c r="G64" s="59">
        <f t="shared" ref="G64:G65" si="10">(C64-F64)*250*100*E64*0.9/D64/10/1000</f>
        <v>1.06832775617256</v>
      </c>
      <c r="H64" s="61">
        <f>(G64+G65)/2</f>
        <v>1.05949658880307</v>
      </c>
      <c r="I64" s="62">
        <f>(G64-G65)/H64*100</f>
        <v>1.66704970319338</v>
      </c>
      <c r="J64" s="65" t="s">
        <v>2021</v>
      </c>
    </row>
    <row r="65" spans="1:9">
      <c r="A65" s="55"/>
      <c r="B65" s="56"/>
      <c r="C65" s="57">
        <v>11.1</v>
      </c>
      <c r="D65" s="58">
        <v>2.5698</v>
      </c>
      <c r="E65" s="57">
        <v>1</v>
      </c>
      <c r="F65" s="58">
        <v>9.9</v>
      </c>
      <c r="G65" s="59">
        <f t="shared" si="10"/>
        <v>1.05066542143357</v>
      </c>
      <c r="H65" s="61"/>
      <c r="I65" s="62"/>
    </row>
    <row r="66" spans="1:10">
      <c r="A66" s="55"/>
      <c r="B66" s="56"/>
      <c r="C66" s="57"/>
      <c r="D66" s="58"/>
      <c r="E66" s="57"/>
      <c r="F66" s="58"/>
      <c r="G66" s="60"/>
      <c r="H66" s="63"/>
      <c r="I66" s="62"/>
      <c r="J66" s="65"/>
    </row>
    <row r="67" spans="1:9">
      <c r="A67" s="55"/>
      <c r="B67" s="56"/>
      <c r="C67" s="57"/>
      <c r="D67" s="58"/>
      <c r="E67" s="57"/>
      <c r="F67" s="58"/>
      <c r="G67" s="60"/>
      <c r="H67" s="63"/>
      <c r="I67" s="62"/>
    </row>
    <row r="68" spans="4:4">
      <c r="D68" s="58"/>
    </row>
  </sheetData>
  <mergeCells count="108">
    <mergeCell ref="A1:A2"/>
    <mergeCell ref="A4:A5"/>
    <mergeCell ref="A6:A7"/>
    <mergeCell ref="A8:A9"/>
    <mergeCell ref="A11:A12"/>
    <mergeCell ref="A14:A15"/>
    <mergeCell ref="A16:A17"/>
    <mergeCell ref="A18:A19"/>
    <mergeCell ref="A20:A21"/>
    <mergeCell ref="A22:A23"/>
    <mergeCell ref="A24:A25"/>
    <mergeCell ref="A26:A27"/>
    <mergeCell ref="A28:A29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50:A51"/>
    <mergeCell ref="A52:A53"/>
    <mergeCell ref="A54:A55"/>
    <mergeCell ref="A56:A57"/>
    <mergeCell ref="A66:A67"/>
    <mergeCell ref="B1:B2"/>
    <mergeCell ref="B4:B5"/>
    <mergeCell ref="B6:B7"/>
    <mergeCell ref="B8:B9"/>
    <mergeCell ref="B11:B12"/>
    <mergeCell ref="B14:B15"/>
    <mergeCell ref="B16:B17"/>
    <mergeCell ref="B18:B19"/>
    <mergeCell ref="B20:B21"/>
    <mergeCell ref="B22:B23"/>
    <mergeCell ref="B24:B25"/>
    <mergeCell ref="B26:B27"/>
    <mergeCell ref="B28:B29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50:B51"/>
    <mergeCell ref="B52:B53"/>
    <mergeCell ref="B54:B55"/>
    <mergeCell ref="B56:B57"/>
    <mergeCell ref="B66:B67"/>
    <mergeCell ref="H1:H2"/>
    <mergeCell ref="H4:H5"/>
    <mergeCell ref="H6:H7"/>
    <mergeCell ref="H8:H9"/>
    <mergeCell ref="H11:H12"/>
    <mergeCell ref="H14:H15"/>
    <mergeCell ref="H16:H17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50:H51"/>
    <mergeCell ref="H52:H53"/>
    <mergeCell ref="H54:H55"/>
    <mergeCell ref="H56:H57"/>
    <mergeCell ref="H66:H67"/>
    <mergeCell ref="I1:I2"/>
    <mergeCell ref="I4:I5"/>
    <mergeCell ref="I6:I7"/>
    <mergeCell ref="I8:I9"/>
    <mergeCell ref="I11:I12"/>
    <mergeCell ref="I14:I15"/>
    <mergeCell ref="I16:I17"/>
    <mergeCell ref="I18:I19"/>
    <mergeCell ref="I20:I21"/>
    <mergeCell ref="I22:I23"/>
    <mergeCell ref="I24:I25"/>
    <mergeCell ref="I26:I27"/>
    <mergeCell ref="I28:I29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50:I51"/>
    <mergeCell ref="I52:I53"/>
    <mergeCell ref="I54:I55"/>
    <mergeCell ref="I56:I57"/>
    <mergeCell ref="I66:I67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J27"/>
  <sheetViews>
    <sheetView topLeftCell="A4" workbookViewId="0">
      <selection activeCell="E1115" sqref="E1115"/>
    </sheetView>
  </sheetViews>
  <sheetFormatPr defaultColWidth="9" defaultRowHeight="13.5"/>
  <cols>
    <col min="4" max="4" width="13.875" customWidth="1"/>
    <col min="7" max="7" width="17.875" customWidth="1"/>
  </cols>
  <sheetData>
    <row r="1" spans="1:10">
      <c r="A1" s="69" t="s">
        <v>2</v>
      </c>
      <c r="B1" s="53" t="s">
        <v>368</v>
      </c>
      <c r="C1" s="47" t="s">
        <v>140</v>
      </c>
      <c r="D1" s="54" t="s">
        <v>141</v>
      </c>
      <c r="E1" s="47" t="s">
        <v>142</v>
      </c>
      <c r="F1" s="50" t="s">
        <v>143</v>
      </c>
      <c r="G1" s="70" t="s">
        <v>1450</v>
      </c>
      <c r="H1" s="71" t="s">
        <v>145</v>
      </c>
      <c r="I1" s="70" t="s">
        <v>146</v>
      </c>
      <c r="J1" s="47" t="s">
        <v>147</v>
      </c>
    </row>
    <row r="2" spans="1:9">
      <c r="A2" s="55" t="s">
        <v>2043</v>
      </c>
      <c r="B2" s="56" t="s">
        <v>2044</v>
      </c>
      <c r="C2" s="72">
        <v>11.2</v>
      </c>
      <c r="D2" s="73">
        <v>2.4004</v>
      </c>
      <c r="E2" s="72">
        <v>1</v>
      </c>
      <c r="F2" s="66">
        <v>14.8</v>
      </c>
      <c r="G2" s="74">
        <f>C2*100*E2*500*0.9/D2/F2/1000</f>
        <v>14.1868247184028</v>
      </c>
      <c r="H2" s="75">
        <f t="shared" ref="H2" si="0">(G2+G3)/2</f>
        <v>14.0076735991973</v>
      </c>
      <c r="I2" s="74">
        <f t="shared" ref="I2" si="1">(G2-G3)/H2*100</f>
        <v>2.55789968172493</v>
      </c>
    </row>
    <row r="3" spans="1:9">
      <c r="A3" s="55"/>
      <c r="B3" s="56"/>
      <c r="C3" s="72">
        <v>11.2</v>
      </c>
      <c r="D3" s="73">
        <v>2.5487</v>
      </c>
      <c r="E3" s="72">
        <v>1</v>
      </c>
      <c r="F3" s="66">
        <v>14.3</v>
      </c>
      <c r="G3" s="74">
        <f t="shared" ref="G3:G5" si="2">C3*100*E3*500*0.9/D3/F3/1000</f>
        <v>13.8285224799919</v>
      </c>
      <c r="H3" s="75"/>
      <c r="I3" s="74"/>
    </row>
    <row r="4" spans="1:9">
      <c r="A4" s="55" t="s">
        <v>2043</v>
      </c>
      <c r="B4" s="56" t="s">
        <v>2045</v>
      </c>
      <c r="C4" s="72">
        <v>11.2</v>
      </c>
      <c r="D4" s="73">
        <v>2.2139</v>
      </c>
      <c r="E4" s="72">
        <v>1</v>
      </c>
      <c r="F4" s="66">
        <v>14.05</v>
      </c>
      <c r="G4" s="74">
        <f t="shared" si="2"/>
        <v>16.203029098422</v>
      </c>
      <c r="H4" s="75">
        <f t="shared" ref="H4" si="3">(G4+G5)/2</f>
        <v>16.0903454028366</v>
      </c>
      <c r="I4" s="74">
        <f t="shared" ref="I4" si="4">(G4-G5)/H4*100</f>
        <v>1.40063737308621</v>
      </c>
    </row>
    <row r="5" spans="1:9">
      <c r="A5" s="55"/>
      <c r="B5" s="56"/>
      <c r="C5" s="72">
        <v>11.2</v>
      </c>
      <c r="D5" s="73">
        <v>2.3897</v>
      </c>
      <c r="E5" s="72">
        <v>1</v>
      </c>
      <c r="F5" s="66">
        <v>13.2</v>
      </c>
      <c r="G5" s="74">
        <f t="shared" si="2"/>
        <v>15.9776617072512</v>
      </c>
      <c r="H5" s="75"/>
      <c r="I5" s="74"/>
    </row>
    <row r="8" spans="1:9">
      <c r="A8" s="55" t="s">
        <v>1161</v>
      </c>
      <c r="B8" s="56" t="s">
        <v>2045</v>
      </c>
      <c r="C8" s="72">
        <v>11.2</v>
      </c>
      <c r="D8" s="73">
        <v>2.3498</v>
      </c>
      <c r="E8" s="72">
        <v>1</v>
      </c>
      <c r="F8" s="66">
        <v>14.05</v>
      </c>
      <c r="G8" s="74">
        <f t="shared" ref="G8:G9" si="5">C8*100*E8*500*0.9/D8/F8/1000</f>
        <v>15.2659316201364</v>
      </c>
      <c r="H8" s="75">
        <f t="shared" ref="H8" si="6">(G8+G9)/2</f>
        <v>14.930333545278</v>
      </c>
      <c r="I8" s="74">
        <f t="shared" ref="I8" si="7">(G8-G9)/H8*100</f>
        <v>4.49552012807542</v>
      </c>
    </row>
    <row r="9" spans="1:9">
      <c r="A9" s="55"/>
      <c r="B9" s="56"/>
      <c r="C9" s="72">
        <v>11.2</v>
      </c>
      <c r="D9" s="73">
        <v>2.558</v>
      </c>
      <c r="E9" s="72">
        <v>1</v>
      </c>
      <c r="F9" s="66">
        <v>13.5</v>
      </c>
      <c r="G9" s="74">
        <f t="shared" si="5"/>
        <v>14.5947354704196</v>
      </c>
      <c r="H9" s="75"/>
      <c r="I9" s="74"/>
    </row>
    <row r="11" spans="1:9">
      <c r="A11" s="55" t="s">
        <v>2046</v>
      </c>
      <c r="B11" s="56" t="s">
        <v>2044</v>
      </c>
      <c r="C11" s="72">
        <v>11.4</v>
      </c>
      <c r="D11" s="73">
        <v>2.2439</v>
      </c>
      <c r="E11" s="72">
        <v>1</v>
      </c>
      <c r="F11" s="66">
        <v>10.45</v>
      </c>
      <c r="G11" s="74">
        <f t="shared" ref="G11:G14" si="8">C11*100*E11*500*0.9/D11/F11/1000</f>
        <v>21.8774941356162</v>
      </c>
      <c r="H11" s="75">
        <f t="shared" ref="H11" si="9">(G11+G12)/2</f>
        <v>21.3755464493311</v>
      </c>
      <c r="I11" s="74">
        <f t="shared" ref="I11" si="10">(G11-G12)/H11*100</f>
        <v>4.69646647373344</v>
      </c>
    </row>
    <row r="12" spans="1:9">
      <c r="A12" s="55"/>
      <c r="B12" s="56"/>
      <c r="C12" s="72">
        <v>11.4</v>
      </c>
      <c r="D12" s="73">
        <v>2.587</v>
      </c>
      <c r="E12" s="72">
        <v>1</v>
      </c>
      <c r="F12" s="66">
        <v>9.5</v>
      </c>
      <c r="G12" s="74">
        <f t="shared" si="8"/>
        <v>20.873598763046</v>
      </c>
      <c r="H12" s="75"/>
      <c r="I12" s="74"/>
    </row>
    <row r="13" spans="1:9">
      <c r="A13" s="55" t="s">
        <v>2047</v>
      </c>
      <c r="B13" s="56" t="s">
        <v>2045</v>
      </c>
      <c r="C13" s="72">
        <v>11.4</v>
      </c>
      <c r="D13" s="73">
        <v>2.0029</v>
      </c>
      <c r="E13" s="72">
        <v>1</v>
      </c>
      <c r="F13" s="66">
        <v>14.45</v>
      </c>
      <c r="G13" s="74">
        <f t="shared" si="8"/>
        <v>17.7251635647343</v>
      </c>
      <c r="H13" s="75">
        <f t="shared" ref="H13" si="11">(G13+G14)/2</f>
        <v>17.248179346915</v>
      </c>
      <c r="I13" s="74">
        <f t="shared" ref="I13" si="12">(G13-G14)/H13*100</f>
        <v>5.53083555343004</v>
      </c>
    </row>
    <row r="14" spans="1:9">
      <c r="A14" s="55"/>
      <c r="B14" s="56"/>
      <c r="C14" s="72">
        <v>11.4</v>
      </c>
      <c r="D14" s="73">
        <v>2.3897</v>
      </c>
      <c r="E14" s="72">
        <v>1</v>
      </c>
      <c r="F14" s="66">
        <v>12.8</v>
      </c>
      <c r="G14" s="74">
        <f t="shared" si="8"/>
        <v>16.7711951290957</v>
      </c>
      <c r="H14" s="75"/>
      <c r="I14" s="74"/>
    </row>
    <row r="15" spans="1:9">
      <c r="A15" s="55" t="s">
        <v>2048</v>
      </c>
      <c r="B15" s="56" t="s">
        <v>2045</v>
      </c>
      <c r="C15" s="72">
        <v>11.4</v>
      </c>
      <c r="D15" s="73">
        <v>2.3002</v>
      </c>
      <c r="E15" s="72">
        <v>1</v>
      </c>
      <c r="F15" s="66">
        <v>13.3</v>
      </c>
      <c r="G15" s="74">
        <f t="shared" ref="G15:G16" si="13">C15*100*E15*500*0.9/D15/F15/1000</f>
        <v>16.7687281851268</v>
      </c>
      <c r="H15" s="75">
        <f t="shared" ref="H15" si="14">(G15+G16)/2</f>
        <v>17.1792805279992</v>
      </c>
      <c r="I15" s="74">
        <f t="shared" ref="I15" si="15">(G15-G16)/H15*100</f>
        <v>-4.77962208258131</v>
      </c>
    </row>
    <row r="16" spans="1:9">
      <c r="A16" s="55"/>
      <c r="B16" s="56"/>
      <c r="C16" s="72">
        <v>11.4</v>
      </c>
      <c r="D16" s="73">
        <v>2.3055</v>
      </c>
      <c r="E16" s="72">
        <v>1</v>
      </c>
      <c r="F16" s="66">
        <v>12.65</v>
      </c>
      <c r="G16" s="74">
        <f t="shared" si="13"/>
        <v>17.5898328708716</v>
      </c>
      <c r="H16" s="75"/>
      <c r="I16" s="74"/>
    </row>
    <row r="17" spans="1:9">
      <c r="A17" s="55" t="s">
        <v>1174</v>
      </c>
      <c r="B17" s="56" t="s">
        <v>2045</v>
      </c>
      <c r="C17" s="72">
        <v>11.4</v>
      </c>
      <c r="D17" s="73">
        <v>1.5196</v>
      </c>
      <c r="E17" s="72">
        <v>1</v>
      </c>
      <c r="F17" s="66">
        <v>7.45</v>
      </c>
      <c r="G17" s="74">
        <f t="shared" ref="G17:G25" si="16">C17*100*E17*250*0.9/D17/F17/1000</f>
        <v>22.6569690716914</v>
      </c>
      <c r="H17" s="75">
        <f t="shared" ref="H17" si="17">(G17+G18)/2</f>
        <v>22.7659485847526</v>
      </c>
      <c r="I17" s="74">
        <f t="shared" ref="I17" si="18">(G17-G18)/H17*100</f>
        <v>-0.957390487424197</v>
      </c>
    </row>
    <row r="18" spans="1:9">
      <c r="A18" s="55"/>
      <c r="B18" s="56"/>
      <c r="C18" s="72">
        <v>11.4</v>
      </c>
      <c r="D18" s="73">
        <v>1.7251</v>
      </c>
      <c r="E18" s="72">
        <v>1</v>
      </c>
      <c r="F18" s="66">
        <v>6.5</v>
      </c>
      <c r="G18" s="74">
        <f t="shared" si="16"/>
        <v>22.8749280978137</v>
      </c>
      <c r="H18" s="75"/>
      <c r="I18" s="74"/>
    </row>
    <row r="19" spans="1:9">
      <c r="A19" s="55" t="s">
        <v>2049</v>
      </c>
      <c r="B19" s="56" t="s">
        <v>736</v>
      </c>
      <c r="C19" s="72">
        <v>11.3</v>
      </c>
      <c r="D19" s="73">
        <v>1.9005</v>
      </c>
      <c r="E19" s="72">
        <v>1</v>
      </c>
      <c r="F19" s="66">
        <v>11.8</v>
      </c>
      <c r="G19" s="74">
        <f t="shared" si="16"/>
        <v>11.3373376319345</v>
      </c>
      <c r="H19" s="75">
        <f t="shared" ref="H19" si="19">(G19+G20)/2</f>
        <v>11.3734857681926</v>
      </c>
      <c r="I19" s="74">
        <f t="shared" ref="I19" si="20">(G19-G20)/H19*100</f>
        <v>-0.635656244618066</v>
      </c>
    </row>
    <row r="20" spans="1:9">
      <c r="A20" s="55"/>
      <c r="B20" s="56"/>
      <c r="C20" s="72">
        <v>11.3</v>
      </c>
      <c r="D20" s="73">
        <v>2.0258</v>
      </c>
      <c r="E20" s="72">
        <v>1</v>
      </c>
      <c r="F20" s="66">
        <v>11</v>
      </c>
      <c r="G20" s="74">
        <f t="shared" si="16"/>
        <v>11.4096339044508</v>
      </c>
      <c r="H20" s="75"/>
      <c r="I20" s="74"/>
    </row>
    <row r="21" spans="1:9">
      <c r="A21" s="55" t="s">
        <v>2050</v>
      </c>
      <c r="B21" s="56" t="s">
        <v>736</v>
      </c>
      <c r="C21" s="72">
        <v>11.3</v>
      </c>
      <c r="D21" s="73">
        <v>1.7681</v>
      </c>
      <c r="E21" s="72">
        <v>1</v>
      </c>
      <c r="F21" s="66">
        <v>12.4</v>
      </c>
      <c r="G21" s="74">
        <f t="shared" si="16"/>
        <v>11.5966473944146</v>
      </c>
      <c r="H21" s="75">
        <f t="shared" ref="H21" si="21">(G21+G22)/2</f>
        <v>11.5551238537108</v>
      </c>
      <c r="I21" s="74">
        <f t="shared" ref="I21" si="22">(G21-G22)/H21*100</f>
        <v>0.718703515939017</v>
      </c>
    </row>
    <row r="22" spans="1:9">
      <c r="A22" s="55"/>
      <c r="B22" s="56"/>
      <c r="C22" s="72">
        <v>11.3</v>
      </c>
      <c r="D22" s="73">
        <v>1.8874</v>
      </c>
      <c r="E22" s="72">
        <v>1</v>
      </c>
      <c r="F22" s="66">
        <v>11.7</v>
      </c>
      <c r="G22" s="74">
        <f t="shared" si="16"/>
        <v>11.5136003130069</v>
      </c>
      <c r="H22" s="75"/>
      <c r="I22" s="74"/>
    </row>
    <row r="23" spans="1:9">
      <c r="A23" s="55" t="s">
        <v>2051</v>
      </c>
      <c r="B23" s="56" t="s">
        <v>736</v>
      </c>
      <c r="C23" s="72">
        <v>11.3</v>
      </c>
      <c r="D23" s="73">
        <v>1.8303</v>
      </c>
      <c r="E23" s="72">
        <v>1</v>
      </c>
      <c r="F23" s="66">
        <v>14.3</v>
      </c>
      <c r="G23" s="74">
        <f t="shared" si="16"/>
        <v>9.71410166624066</v>
      </c>
      <c r="H23" s="74">
        <f t="shared" ref="H23" si="23">(G23+G24)/2</f>
        <v>9.87877708237966</v>
      </c>
      <c r="I23" s="74">
        <f t="shared" ref="I23" si="24">(G23-G24)/H23*100</f>
        <v>-3.33392311144922</v>
      </c>
    </row>
    <row r="24" spans="1:9">
      <c r="A24" s="55"/>
      <c r="B24" s="56"/>
      <c r="C24" s="72">
        <v>11.3</v>
      </c>
      <c r="D24" s="73">
        <v>2.0252</v>
      </c>
      <c r="E24" s="72">
        <v>1</v>
      </c>
      <c r="F24" s="66">
        <v>12.5</v>
      </c>
      <c r="G24" s="74">
        <f t="shared" si="16"/>
        <v>10.0434524985187</v>
      </c>
      <c r="H24" s="74"/>
      <c r="I24" s="74"/>
    </row>
    <row r="25" spans="1:7">
      <c r="A25" t="s">
        <v>2052</v>
      </c>
      <c r="C25" s="72">
        <v>10.9</v>
      </c>
      <c r="D25" s="73">
        <v>2.0133</v>
      </c>
      <c r="E25" s="72">
        <v>1</v>
      </c>
      <c r="F25" s="66">
        <v>6.5</v>
      </c>
      <c r="G25" s="74">
        <f t="shared" si="16"/>
        <v>18.7407585708882</v>
      </c>
    </row>
    <row r="26" spans="1:9">
      <c r="A26" s="55" t="s">
        <v>2053</v>
      </c>
      <c r="B26" s="56"/>
      <c r="C26" s="72">
        <v>10.9</v>
      </c>
      <c r="D26" s="73">
        <v>2.0252</v>
      </c>
      <c r="E26" s="72">
        <v>1</v>
      </c>
      <c r="F26" s="66">
        <v>6.5</v>
      </c>
      <c r="G26" s="74">
        <f t="shared" ref="G26:G27" si="25">C26*100*E26*250*0.9/D26/F26/1000</f>
        <v>18.63063856941</v>
      </c>
      <c r="H26" s="74">
        <f t="shared" ref="H26" si="26">(G26+G27)/2</f>
        <v>18.6856985701491</v>
      </c>
      <c r="I26" s="74">
        <f t="shared" ref="I26" si="27">(G26-G27)/H26*100</f>
        <v>-0.589327720688365</v>
      </c>
    </row>
    <row r="27" spans="1:9">
      <c r="A27" s="55"/>
      <c r="B27" s="56"/>
      <c r="C27" s="72">
        <v>10.9</v>
      </c>
      <c r="D27" s="73">
        <v>2.0133</v>
      </c>
      <c r="E27" s="72">
        <v>1</v>
      </c>
      <c r="F27" s="66">
        <v>6.5</v>
      </c>
      <c r="G27" s="74">
        <f t="shared" si="25"/>
        <v>18.7407585708882</v>
      </c>
      <c r="H27" s="74"/>
      <c r="I27" s="74"/>
    </row>
  </sheetData>
  <mergeCells count="44">
    <mergeCell ref="A2:A3"/>
    <mergeCell ref="A4:A5"/>
    <mergeCell ref="A8:A9"/>
    <mergeCell ref="A11:A12"/>
    <mergeCell ref="A13:A14"/>
    <mergeCell ref="A15:A16"/>
    <mergeCell ref="A17:A18"/>
    <mergeCell ref="A19:A20"/>
    <mergeCell ref="A21:A22"/>
    <mergeCell ref="A23:A24"/>
    <mergeCell ref="A26:A27"/>
    <mergeCell ref="B2:B3"/>
    <mergeCell ref="B4:B5"/>
    <mergeCell ref="B8:B9"/>
    <mergeCell ref="B11:B12"/>
    <mergeCell ref="B13:B14"/>
    <mergeCell ref="B15:B16"/>
    <mergeCell ref="B17:B18"/>
    <mergeCell ref="B19:B20"/>
    <mergeCell ref="B21:B22"/>
    <mergeCell ref="B23:B24"/>
    <mergeCell ref="B26:B27"/>
    <mergeCell ref="H2:H3"/>
    <mergeCell ref="H4:H5"/>
    <mergeCell ref="H8:H9"/>
    <mergeCell ref="H11:H12"/>
    <mergeCell ref="H13:H14"/>
    <mergeCell ref="H15:H16"/>
    <mergeCell ref="H17:H18"/>
    <mergeCell ref="H19:H20"/>
    <mergeCell ref="H21:H22"/>
    <mergeCell ref="H23:H24"/>
    <mergeCell ref="H26:H27"/>
    <mergeCell ref="I2:I3"/>
    <mergeCell ref="I4:I5"/>
    <mergeCell ref="I8:I9"/>
    <mergeCell ref="I11:I12"/>
    <mergeCell ref="I13:I14"/>
    <mergeCell ref="I15:I16"/>
    <mergeCell ref="I17:I18"/>
    <mergeCell ref="I19:I20"/>
    <mergeCell ref="I21:I22"/>
    <mergeCell ref="I23:I24"/>
    <mergeCell ref="I26:I27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7"/>
  <dimension ref="A1:K790"/>
  <sheetViews>
    <sheetView zoomScale="120" zoomScaleNormal="120" workbookViewId="0">
      <pane ySplit="1" topLeftCell="A126" activePane="bottomLeft" state="frozen"/>
      <selection/>
      <selection pane="bottomLeft" activeCell="M144" sqref="M144"/>
    </sheetView>
  </sheetViews>
  <sheetFormatPr defaultColWidth="9" defaultRowHeight="13.5"/>
  <cols>
    <col min="2" max="2" width="11.625" style="46" customWidth="1"/>
    <col min="3" max="3" width="12.5" style="47" customWidth="1"/>
    <col min="4" max="4" width="9" style="47"/>
    <col min="5" max="5" width="12.875" style="47" customWidth="1"/>
    <col min="6" max="6" width="4.5" style="47" customWidth="1"/>
    <col min="7" max="7" width="13.375" style="47" customWidth="1"/>
    <col min="8" max="8" width="9" style="48" customWidth="1"/>
    <col min="9" max="9" width="9.375" style="49" customWidth="1"/>
    <col min="10" max="10" width="9" style="50" customWidth="1"/>
    <col min="11" max="11" width="9" style="47"/>
    <col min="12" max="12" width="9" style="51" customWidth="1"/>
    <col min="13" max="13" width="9" style="52" customWidth="1"/>
    <col min="14" max="14" width="9" style="51" customWidth="1"/>
  </cols>
  <sheetData>
    <row r="1" spans="2:11">
      <c r="B1" s="46" t="s">
        <v>2</v>
      </c>
      <c r="C1" s="53" t="s">
        <v>368</v>
      </c>
      <c r="D1" s="47" t="s">
        <v>140</v>
      </c>
      <c r="E1" s="54" t="s">
        <v>141</v>
      </c>
      <c r="F1" s="47" t="s">
        <v>142</v>
      </c>
      <c r="G1" s="47" t="s">
        <v>143</v>
      </c>
      <c r="H1" s="48" t="s">
        <v>144</v>
      </c>
      <c r="I1" s="49" t="s">
        <v>145</v>
      </c>
      <c r="J1" s="50" t="s">
        <v>146</v>
      </c>
      <c r="K1" s="47" t="s">
        <v>147</v>
      </c>
    </row>
    <row r="2" spans="2:10">
      <c r="B2" s="55" t="s">
        <v>2054</v>
      </c>
      <c r="C2" s="56" t="s">
        <v>2055</v>
      </c>
      <c r="D2" s="57">
        <v>11.35</v>
      </c>
      <c r="E2" s="58">
        <v>5.1886</v>
      </c>
      <c r="F2" s="57">
        <v>1</v>
      </c>
      <c r="G2" s="58">
        <v>8.45</v>
      </c>
      <c r="H2" s="59">
        <f t="shared" ref="H2:H5" si="0">(D2-G2)*250*100*F2*0.9/E2/10/1000</f>
        <v>1.25756466098755</v>
      </c>
      <c r="I2" s="61">
        <f t="shared" ref="I2" si="1">(H2+H3)/2</f>
        <v>1.25756466098755</v>
      </c>
      <c r="J2" s="62">
        <f t="shared" ref="J2" si="2">(H2-H3)/I2*100</f>
        <v>0</v>
      </c>
    </row>
    <row r="3" spans="2:10">
      <c r="B3" s="55"/>
      <c r="C3" s="56"/>
      <c r="D3" s="57">
        <v>11.35</v>
      </c>
      <c r="E3" s="58">
        <v>5.1886</v>
      </c>
      <c r="F3" s="57">
        <v>1</v>
      </c>
      <c r="G3" s="58">
        <v>8.45</v>
      </c>
      <c r="H3" s="59">
        <f t="shared" si="0"/>
        <v>1.25756466098755</v>
      </c>
      <c r="I3" s="61"/>
      <c r="J3" s="62"/>
    </row>
    <row r="4" spans="2:10">
      <c r="B4" s="55" t="s">
        <v>2056</v>
      </c>
      <c r="C4" s="56" t="s">
        <v>2057</v>
      </c>
      <c r="D4" s="57">
        <v>11.35</v>
      </c>
      <c r="E4" s="58">
        <v>5.4541</v>
      </c>
      <c r="F4" s="57">
        <v>1</v>
      </c>
      <c r="G4" s="58">
        <v>8.6</v>
      </c>
      <c r="H4" s="59">
        <f t="shared" si="0"/>
        <v>1.13446764819127</v>
      </c>
      <c r="I4" s="61">
        <f t="shared" ref="I4" si="3">(H4+H5)/2</f>
        <v>1.13446764819127</v>
      </c>
      <c r="J4" s="62">
        <f t="shared" ref="J4" si="4">(H4-H5)/I4*100</f>
        <v>0</v>
      </c>
    </row>
    <row r="5" spans="2:10">
      <c r="B5" s="55"/>
      <c r="C5" s="56"/>
      <c r="D5" s="57">
        <v>11.35</v>
      </c>
      <c r="E5" s="58">
        <v>5.4541</v>
      </c>
      <c r="F5" s="57">
        <v>1</v>
      </c>
      <c r="G5" s="58">
        <v>8.6</v>
      </c>
      <c r="H5" s="59">
        <f t="shared" si="0"/>
        <v>1.13446764819127</v>
      </c>
      <c r="I5" s="61"/>
      <c r="J5" s="62"/>
    </row>
    <row r="7" spans="2:10">
      <c r="B7" s="55" t="s">
        <v>2054</v>
      </c>
      <c r="C7" s="56" t="s">
        <v>2058</v>
      </c>
      <c r="D7" s="57">
        <v>11.6</v>
      </c>
      <c r="E7" s="58">
        <v>3.1593</v>
      </c>
      <c r="F7" s="57">
        <v>1</v>
      </c>
      <c r="G7" s="58">
        <v>10.1</v>
      </c>
      <c r="H7" s="59">
        <f t="shared" ref="H7:H10" si="5">(D7-G7)*250*100*F7*0.9/E7/10/1000</f>
        <v>1.06827461779508</v>
      </c>
      <c r="I7" s="61">
        <f t="shared" ref="I7" si="6">(H7+H8)/2</f>
        <v>0.995004061808278</v>
      </c>
      <c r="J7" s="62">
        <f t="shared" ref="J7" si="7">(H7-H8)/I7*100</f>
        <v>14.7276898254354</v>
      </c>
    </row>
    <row r="8" spans="2:10">
      <c r="B8" s="55"/>
      <c r="C8" s="56"/>
      <c r="D8" s="57">
        <v>11.6</v>
      </c>
      <c r="E8" s="58">
        <v>2.319</v>
      </c>
      <c r="F8" s="57">
        <v>1</v>
      </c>
      <c r="G8" s="58">
        <v>10.65</v>
      </c>
      <c r="H8" s="59">
        <f t="shared" si="5"/>
        <v>0.921733505821474</v>
      </c>
      <c r="I8" s="61"/>
      <c r="J8" s="62"/>
    </row>
    <row r="9" spans="2:10">
      <c r="B9" s="55" t="s">
        <v>2056</v>
      </c>
      <c r="C9" s="56" t="s">
        <v>2058</v>
      </c>
      <c r="D9" s="57">
        <v>11.6</v>
      </c>
      <c r="E9" s="58">
        <v>2.4986</v>
      </c>
      <c r="F9" s="57">
        <v>1</v>
      </c>
      <c r="G9" s="58">
        <v>10.5</v>
      </c>
      <c r="H9" s="59">
        <f t="shared" si="5"/>
        <v>0.990554710637957</v>
      </c>
      <c r="I9" s="61">
        <f t="shared" ref="I9" si="8">(H9+H10)/2</f>
        <v>0.969181058086576</v>
      </c>
      <c r="J9" s="62">
        <f t="shared" ref="J9" si="9">(H9-H10)/I9*100</f>
        <v>4.41066246044428</v>
      </c>
    </row>
    <row r="10" spans="2:10">
      <c r="B10" s="55"/>
      <c r="C10" s="56"/>
      <c r="D10" s="57">
        <v>11.6</v>
      </c>
      <c r="E10" s="58">
        <v>2.3739</v>
      </c>
      <c r="F10" s="57">
        <v>1</v>
      </c>
      <c r="G10" s="58">
        <v>10.6</v>
      </c>
      <c r="H10" s="59">
        <f t="shared" si="5"/>
        <v>0.947807405535195</v>
      </c>
      <c r="I10" s="61"/>
      <c r="J10" s="62"/>
    </row>
    <row r="11" spans="2:10">
      <c r="B11" s="55" t="s">
        <v>2059</v>
      </c>
      <c r="C11" s="56" t="s">
        <v>2060</v>
      </c>
      <c r="D11" s="57">
        <v>11.4</v>
      </c>
      <c r="E11" s="58">
        <v>1.0165</v>
      </c>
      <c r="F11" s="57">
        <v>1</v>
      </c>
      <c r="G11" s="58">
        <v>7.35</v>
      </c>
      <c r="H11" s="59">
        <f t="shared" ref="H11:H12" si="10">(D11-G11)*250*100*F11*0.9/E11/10/1000</f>
        <v>8.96458435809149</v>
      </c>
      <c r="I11" s="61">
        <f t="shared" ref="I11" si="11">(H11+H12)/2</f>
        <v>7.83243627126477</v>
      </c>
      <c r="J11" s="62">
        <f t="shared" ref="J11" si="12">(H11-H12)/I11*100</f>
        <v>28.9092192420459</v>
      </c>
    </row>
    <row r="12" spans="2:10">
      <c r="B12" s="55"/>
      <c r="C12" s="56"/>
      <c r="D12" s="57">
        <v>11.4</v>
      </c>
      <c r="E12" s="58">
        <v>1.041</v>
      </c>
      <c r="F12" s="57">
        <v>1</v>
      </c>
      <c r="G12" s="58">
        <v>8.3</v>
      </c>
      <c r="H12" s="59">
        <f t="shared" si="10"/>
        <v>6.70028818443804</v>
      </c>
      <c r="I12" s="61"/>
      <c r="J12" s="62"/>
    </row>
    <row r="13" spans="2:10">
      <c r="B13" s="55" t="s">
        <v>2061</v>
      </c>
      <c r="C13" s="56" t="s">
        <v>2062</v>
      </c>
      <c r="D13" s="57">
        <v>11.55</v>
      </c>
      <c r="E13" s="58">
        <v>3.7699</v>
      </c>
      <c r="F13" s="57">
        <v>1</v>
      </c>
      <c r="G13" s="58">
        <v>11.2</v>
      </c>
      <c r="H13" s="59">
        <f t="shared" ref="H13:H14" si="13">(D13-G13)*250*100*F13*0.9/E13/10/1000</f>
        <v>0.208891482532694</v>
      </c>
      <c r="I13" s="61">
        <f t="shared" ref="I13" si="14">(H13+H14)/2</f>
        <v>0.24778624752378</v>
      </c>
      <c r="J13" s="62">
        <f t="shared" ref="J13" si="15">(H13-H14)/I13*100</f>
        <v>-31.3938044421558</v>
      </c>
    </row>
    <row r="14" spans="2:10">
      <c r="B14" s="55"/>
      <c r="C14" s="56"/>
      <c r="D14" s="57">
        <v>11.55</v>
      </c>
      <c r="E14" s="58">
        <v>3.5318</v>
      </c>
      <c r="F14" s="57">
        <v>1</v>
      </c>
      <c r="G14" s="58">
        <v>11.1</v>
      </c>
      <c r="H14" s="59">
        <f t="shared" si="13"/>
        <v>0.286681012514866</v>
      </c>
      <c r="I14" s="61"/>
      <c r="J14" s="62"/>
    </row>
    <row r="15" spans="2:10">
      <c r="B15" s="55" t="s">
        <v>2063</v>
      </c>
      <c r="C15" s="56" t="s">
        <v>2064</v>
      </c>
      <c r="D15" s="57">
        <v>11.6</v>
      </c>
      <c r="E15" s="58">
        <v>2.8371</v>
      </c>
      <c r="F15" s="57">
        <v>1</v>
      </c>
      <c r="G15" s="58">
        <v>8.4</v>
      </c>
      <c r="H15" s="59">
        <f t="shared" ref="H15:H16" si="16">(D15-G15)*250*100*F15*0.9/E15/10/1000</f>
        <v>2.53780268584117</v>
      </c>
      <c r="I15" s="61">
        <f t="shared" ref="I15" si="17">(H15+H16)/2</f>
        <v>2.46225674006926</v>
      </c>
      <c r="J15" s="62">
        <f t="shared" ref="J15" si="18">(H15-H16)/I15*100</f>
        <v>6.13631751250977</v>
      </c>
    </row>
    <row r="16" spans="2:10">
      <c r="B16" s="55"/>
      <c r="C16" s="56"/>
      <c r="D16" s="57">
        <v>11.6</v>
      </c>
      <c r="E16" s="58">
        <v>2.3568</v>
      </c>
      <c r="F16" s="57">
        <v>1</v>
      </c>
      <c r="G16" s="58">
        <v>9.1</v>
      </c>
      <c r="H16" s="59">
        <f t="shared" si="16"/>
        <v>2.38671079429735</v>
      </c>
      <c r="I16" s="61"/>
      <c r="J16" s="62"/>
    </row>
    <row r="17" spans="2:10">
      <c r="B17" s="55" t="s">
        <v>2063</v>
      </c>
      <c r="C17" s="56" t="s">
        <v>2064</v>
      </c>
      <c r="D17" s="57">
        <v>11.6</v>
      </c>
      <c r="E17" s="58">
        <v>2.5496</v>
      </c>
      <c r="F17" s="57">
        <v>1</v>
      </c>
      <c r="G17" s="58">
        <v>8.7</v>
      </c>
      <c r="H17" s="59">
        <f t="shared" ref="H17:H18" si="19">(D17-G17)*250*100*F17*0.9/E17/10/1000</f>
        <v>2.5592249764669</v>
      </c>
      <c r="I17" s="61">
        <f t="shared" ref="I17" si="20">(H17+H18)/2</f>
        <v>2.57202622474516</v>
      </c>
      <c r="J17" s="62">
        <f t="shared" ref="J17" si="21">(H17-H18)/I17*100</f>
        <v>-0.995421287318564</v>
      </c>
    </row>
    <row r="18" spans="2:10">
      <c r="B18" s="55"/>
      <c r="C18" s="56"/>
      <c r="D18" s="57">
        <v>11.6</v>
      </c>
      <c r="E18" s="58">
        <v>2.4373</v>
      </c>
      <c r="F18" s="57">
        <v>1</v>
      </c>
      <c r="G18" s="58">
        <v>8.8</v>
      </c>
      <c r="H18" s="59">
        <f t="shared" si="19"/>
        <v>2.58482747302343</v>
      </c>
      <c r="I18" s="61"/>
      <c r="J18" s="62"/>
    </row>
    <row r="20" spans="2:10">
      <c r="B20" s="55" t="s">
        <v>2065</v>
      </c>
      <c r="C20" s="56" t="s">
        <v>2064</v>
      </c>
      <c r="D20" s="57">
        <v>11.6</v>
      </c>
      <c r="E20" s="58">
        <v>2.5326</v>
      </c>
      <c r="F20" s="57">
        <v>1</v>
      </c>
      <c r="G20" s="58">
        <v>10.2</v>
      </c>
      <c r="H20" s="59">
        <f t="shared" ref="H20:H23" si="22">(D20-G20)*250*100*F20*0.9/E20/10/1000</f>
        <v>1.24378109452736</v>
      </c>
      <c r="I20" s="61">
        <f t="shared" ref="I20" si="23">(H20+H21)/2</f>
        <v>1.29794688529185</v>
      </c>
      <c r="J20" s="62">
        <f t="shared" ref="J20" si="24">(H20-H21)/I20*100</f>
        <v>-8.34638017599735</v>
      </c>
    </row>
    <row r="21" spans="2:10">
      <c r="B21" s="55"/>
      <c r="C21" s="56"/>
      <c r="D21" s="57">
        <v>11.6</v>
      </c>
      <c r="E21" s="58">
        <v>2.6625</v>
      </c>
      <c r="F21" s="57">
        <v>1</v>
      </c>
      <c r="G21" s="58">
        <v>10</v>
      </c>
      <c r="H21" s="59">
        <f t="shared" si="22"/>
        <v>1.35211267605634</v>
      </c>
      <c r="I21" s="61"/>
      <c r="J21" s="62"/>
    </row>
    <row r="22" spans="2:10">
      <c r="B22" s="55" t="s">
        <v>2065</v>
      </c>
      <c r="C22" s="56" t="s">
        <v>2064</v>
      </c>
      <c r="D22" s="57">
        <v>11.6</v>
      </c>
      <c r="E22" s="58">
        <v>2.6005</v>
      </c>
      <c r="F22" s="57">
        <v>1</v>
      </c>
      <c r="G22" s="58">
        <v>10.1</v>
      </c>
      <c r="H22" s="59">
        <f t="shared" si="22"/>
        <v>1.29782734089598</v>
      </c>
      <c r="I22" s="61">
        <f t="shared" ref="I22" si="25">(H22+H23)/2</f>
        <v>1.2990684692096</v>
      </c>
      <c r="J22" s="62">
        <f t="shared" ref="J22" si="26">(H22-H23)/I22*100</f>
        <v>-0.191079737987095</v>
      </c>
    </row>
    <row r="23" spans="2:10">
      <c r="B23" s="55"/>
      <c r="C23" s="56"/>
      <c r="D23" s="57">
        <v>11.6</v>
      </c>
      <c r="E23" s="58">
        <v>2.4225</v>
      </c>
      <c r="F23" s="57">
        <v>1</v>
      </c>
      <c r="G23" s="58">
        <v>10.2</v>
      </c>
      <c r="H23" s="59">
        <f t="shared" si="22"/>
        <v>1.30030959752322</v>
      </c>
      <c r="I23" s="61"/>
      <c r="J23" s="62"/>
    </row>
    <row r="25" spans="2:10">
      <c r="B25" s="55" t="s">
        <v>2066</v>
      </c>
      <c r="C25" s="56" t="s">
        <v>2064</v>
      </c>
      <c r="D25" s="57">
        <v>11.5</v>
      </c>
      <c r="E25" s="58">
        <v>2.5326</v>
      </c>
      <c r="F25" s="57">
        <v>1</v>
      </c>
      <c r="G25" s="58">
        <v>8.7</v>
      </c>
      <c r="H25" s="59">
        <f t="shared" ref="H25:H30" si="27">(D25-G25)*250*100*F25*0.9/E25/10/1000</f>
        <v>2.48756218905473</v>
      </c>
      <c r="I25" s="61">
        <f>(H25+H26)/2</f>
        <v>2.46913320720342</v>
      </c>
      <c r="J25" s="62">
        <f>(H25-H26)/I25*100</f>
        <v>1.4927490989585</v>
      </c>
    </row>
    <row r="26" spans="2:10">
      <c r="B26" s="55"/>
      <c r="C26" s="56"/>
      <c r="D26" s="57">
        <v>11.5</v>
      </c>
      <c r="E26" s="58">
        <v>2.6625</v>
      </c>
      <c r="F26" s="57">
        <v>1</v>
      </c>
      <c r="G26" s="58">
        <v>8.6</v>
      </c>
      <c r="H26" s="59">
        <f t="shared" si="27"/>
        <v>2.45070422535211</v>
      </c>
      <c r="I26" s="61"/>
      <c r="J26" s="62"/>
    </row>
    <row r="27" spans="2:10">
      <c r="B27" s="55" t="s">
        <v>2065</v>
      </c>
      <c r="C27" s="56" t="s">
        <v>2064</v>
      </c>
      <c r="D27" s="57">
        <v>11.5</v>
      </c>
      <c r="E27" s="58">
        <v>2.6005</v>
      </c>
      <c r="F27" s="57">
        <v>1</v>
      </c>
      <c r="G27" s="58">
        <v>10</v>
      </c>
      <c r="H27" s="59">
        <f t="shared" si="27"/>
        <v>1.29782734089598</v>
      </c>
      <c r="I27" s="61">
        <f>(H27+H28)/2</f>
        <v>1.30899581400363</v>
      </c>
      <c r="J27" s="62">
        <f>(H27-H28)/I27*100</f>
        <v>-1.70641846034514</v>
      </c>
    </row>
    <row r="28" spans="2:10">
      <c r="B28" s="55"/>
      <c r="C28" s="56"/>
      <c r="D28" s="57">
        <v>11.5</v>
      </c>
      <c r="E28" s="58">
        <v>2.5565</v>
      </c>
      <c r="F28" s="57">
        <v>1</v>
      </c>
      <c r="G28" s="58">
        <v>10</v>
      </c>
      <c r="H28" s="59">
        <f t="shared" si="27"/>
        <v>1.32016428711128</v>
      </c>
      <c r="I28" s="61"/>
      <c r="J28" s="62"/>
    </row>
    <row r="29" spans="2:10">
      <c r="B29" s="55" t="s">
        <v>2067</v>
      </c>
      <c r="C29" s="56" t="s">
        <v>2062</v>
      </c>
      <c r="D29" s="57">
        <v>11.2</v>
      </c>
      <c r="E29" s="58">
        <v>3.8964</v>
      </c>
      <c r="F29" s="57">
        <v>1</v>
      </c>
      <c r="G29" s="58">
        <v>11</v>
      </c>
      <c r="H29" s="59">
        <f t="shared" si="27"/>
        <v>0.115491222667077</v>
      </c>
      <c r="I29" s="61">
        <f t="shared" ref="I29" si="28">(H29+H30)/2</f>
        <v>0.116987317494676</v>
      </c>
      <c r="J29" s="62">
        <f t="shared" ref="J29" si="29">(H29-H30)/I29*100</f>
        <v>-2.5577043044292</v>
      </c>
    </row>
    <row r="30" spans="2:10">
      <c r="B30" s="55"/>
      <c r="C30" s="56"/>
      <c r="D30" s="57">
        <v>11.2</v>
      </c>
      <c r="E30" s="58">
        <v>3.798</v>
      </c>
      <c r="F30" s="57">
        <v>1</v>
      </c>
      <c r="G30" s="58">
        <v>11</v>
      </c>
      <c r="H30" s="59">
        <f t="shared" si="27"/>
        <v>0.118483412322274</v>
      </c>
      <c r="I30" s="61"/>
      <c r="J30" s="62"/>
    </row>
    <row r="31" spans="2:10">
      <c r="B31" s="55" t="s">
        <v>2068</v>
      </c>
      <c r="C31" s="56" t="s">
        <v>2069</v>
      </c>
      <c r="D31" s="57">
        <v>11.2</v>
      </c>
      <c r="E31" s="58">
        <v>2.6543</v>
      </c>
      <c r="F31" s="57">
        <v>1</v>
      </c>
      <c r="G31" s="58">
        <v>8.7</v>
      </c>
      <c r="H31" s="59">
        <f t="shared" ref="H31:H32" si="30">(D31-G31)*250*100*F31*0.9/E31/10/1000</f>
        <v>2.11920280299891</v>
      </c>
      <c r="I31" s="63">
        <f t="shared" ref="I31" si="31">(H31+H32)/2</f>
        <v>2.1049965006184</v>
      </c>
      <c r="J31" s="62">
        <f t="shared" ref="J31" si="32">(H31-H32)/I31*100</f>
        <v>1.34976969095557</v>
      </c>
    </row>
    <row r="32" spans="2:10">
      <c r="B32" s="55"/>
      <c r="C32" s="56"/>
      <c r="D32" s="57">
        <v>11.2</v>
      </c>
      <c r="E32" s="58">
        <v>2.9056</v>
      </c>
      <c r="F32" s="57">
        <v>1</v>
      </c>
      <c r="G32" s="58">
        <v>8.5</v>
      </c>
      <c r="H32" s="59">
        <f t="shared" si="30"/>
        <v>2.09079019823788</v>
      </c>
      <c r="I32" s="63"/>
      <c r="J32" s="62"/>
    </row>
    <row r="35" spans="2:10">
      <c r="B35" s="55" t="s">
        <v>2070</v>
      </c>
      <c r="C35" s="56"/>
      <c r="D35" s="57">
        <v>11.4</v>
      </c>
      <c r="E35" s="58">
        <v>4.445</v>
      </c>
      <c r="F35" s="57">
        <v>1</v>
      </c>
      <c r="G35" s="58">
        <v>8.9</v>
      </c>
      <c r="H35" s="60">
        <f t="shared" ref="H35:H36" si="33">(D35-G35)*250*100*F35*0.9/E35/10/1000</f>
        <v>1.26546681664792</v>
      </c>
      <c r="I35" s="63">
        <f t="shared" ref="I35" si="34">(H35+H36)/2</f>
        <v>1.29319273577089</v>
      </c>
      <c r="J35" s="62">
        <f t="shared" ref="J35" si="35">(H35-H36)/I35*100</f>
        <v>-4.28797941034541</v>
      </c>
    </row>
    <row r="36" spans="2:10">
      <c r="B36" s="55"/>
      <c r="C36" s="56"/>
      <c r="D36" s="57">
        <v>11.4</v>
      </c>
      <c r="E36" s="58">
        <v>4.2584</v>
      </c>
      <c r="F36" s="57">
        <v>1</v>
      </c>
      <c r="G36" s="58">
        <v>8.9</v>
      </c>
      <c r="H36" s="60">
        <f t="shared" si="33"/>
        <v>1.32091865489386</v>
      </c>
      <c r="I36" s="63"/>
      <c r="J36" s="62"/>
    </row>
    <row r="37" ht="27" customHeight="1"/>
    <row r="38" spans="2:10">
      <c r="B38" s="55" t="s">
        <v>1542</v>
      </c>
      <c r="C38" s="56"/>
      <c r="D38" s="57">
        <v>11.4</v>
      </c>
      <c r="E38" s="58">
        <v>2.1157</v>
      </c>
      <c r="F38" s="57">
        <v>1</v>
      </c>
      <c r="G38" s="58">
        <v>10</v>
      </c>
      <c r="H38" s="60">
        <f t="shared" ref="H38:H39" si="36">(D38-G38)*250*100*F38*0.9/E38/10/1000</f>
        <v>1.48886893226828</v>
      </c>
      <c r="I38" s="63">
        <f t="shared" ref="I38" si="37">(H38+H39)/2</f>
        <v>1.47009686565781</v>
      </c>
      <c r="J38" s="62">
        <f t="shared" ref="J38" si="38">(H38-H39)/I38*100</f>
        <v>2.55385438184342</v>
      </c>
    </row>
    <row r="39" spans="2:10">
      <c r="B39" s="55"/>
      <c r="C39" s="56"/>
      <c r="D39" s="57">
        <v>11.4</v>
      </c>
      <c r="E39" s="58">
        <v>2.0154</v>
      </c>
      <c r="F39" s="57">
        <v>1</v>
      </c>
      <c r="G39" s="58">
        <v>10.1</v>
      </c>
      <c r="H39" s="60">
        <f t="shared" si="36"/>
        <v>1.45132479904734</v>
      </c>
      <c r="I39" s="63"/>
      <c r="J39" s="62"/>
    </row>
    <row r="40" spans="2:10">
      <c r="B40" s="55" t="s">
        <v>2071</v>
      </c>
      <c r="C40" s="56"/>
      <c r="D40" s="57">
        <v>11.3</v>
      </c>
      <c r="E40" s="58">
        <v>1.3025</v>
      </c>
      <c r="F40" s="57">
        <v>1</v>
      </c>
      <c r="G40" s="58">
        <v>8.2</v>
      </c>
      <c r="H40" s="60">
        <f t="shared" ref="H40:H42" si="39">(D40-G40)*250*100*F40*0.9/E40/10/1000</f>
        <v>5.35508637236085</v>
      </c>
      <c r="I40" s="63">
        <f t="shared" ref="I40" si="40">(H40+H41)/2</f>
        <v>5.32972474846051</v>
      </c>
      <c r="J40" s="62">
        <f t="shared" ref="J40" si="41">(H40-H41)/I40*100</f>
        <v>0.951704828946913</v>
      </c>
    </row>
    <row r="41" spans="2:10">
      <c r="B41" s="55"/>
      <c r="C41" s="56"/>
      <c r="D41" s="57">
        <v>11.3</v>
      </c>
      <c r="E41" s="58">
        <v>1.421</v>
      </c>
      <c r="F41" s="57">
        <v>1</v>
      </c>
      <c r="G41" s="58">
        <v>7.95</v>
      </c>
      <c r="H41" s="60">
        <f t="shared" si="39"/>
        <v>5.30436312456017</v>
      </c>
      <c r="I41" s="63"/>
      <c r="J41" s="62"/>
    </row>
    <row r="42" spans="2:10">
      <c r="B42" s="55" t="s">
        <v>2072</v>
      </c>
      <c r="C42" s="56" t="s">
        <v>2073</v>
      </c>
      <c r="D42" s="57">
        <v>11.3</v>
      </c>
      <c r="E42" s="58">
        <v>1.8009</v>
      </c>
      <c r="F42" s="57">
        <v>1</v>
      </c>
      <c r="G42" s="58">
        <v>5.1</v>
      </c>
      <c r="H42" s="60">
        <f t="shared" si="39"/>
        <v>7.74612693653174</v>
      </c>
      <c r="I42" s="63">
        <f t="shared" ref="I42" si="42">(H42+H43)/2</f>
        <v>7.72580319429327</v>
      </c>
      <c r="J42" s="62">
        <f t="shared" ref="J42" si="43">(H42-H43)/I42*100</f>
        <v>0.526126325699894</v>
      </c>
    </row>
    <row r="43" spans="2:10">
      <c r="B43" s="55"/>
      <c r="C43" s="56"/>
      <c r="D43" s="57">
        <v>11.3</v>
      </c>
      <c r="E43" s="58">
        <v>1.825</v>
      </c>
      <c r="F43" s="57">
        <v>1</v>
      </c>
      <c r="G43" s="58">
        <v>5.05</v>
      </c>
      <c r="H43" s="60">
        <f t="shared" ref="H43:H44" si="44">(D43-G43)*250*100*F43*0.9/E43/10/1000</f>
        <v>7.7054794520548</v>
      </c>
      <c r="I43" s="63"/>
      <c r="J43" s="62"/>
    </row>
    <row r="44" spans="2:10">
      <c r="B44" s="55" t="s">
        <v>2072</v>
      </c>
      <c r="C44" s="56" t="s">
        <v>2073</v>
      </c>
      <c r="D44" s="57">
        <v>11.3</v>
      </c>
      <c r="E44" s="58">
        <v>1.8009</v>
      </c>
      <c r="F44" s="57">
        <v>1</v>
      </c>
      <c r="G44" s="58">
        <v>5.1</v>
      </c>
      <c r="H44" s="60">
        <f t="shared" si="44"/>
        <v>7.74612693653174</v>
      </c>
      <c r="I44" s="63">
        <f t="shared" ref="I44" si="45">(H44+H45)/2</f>
        <v>7.72580319429327</v>
      </c>
      <c r="J44" s="62">
        <f t="shared" ref="J44" si="46">(H44-H45)/I44*100</f>
        <v>0.526126325699894</v>
      </c>
    </row>
    <row r="45" spans="2:11">
      <c r="B45" s="55"/>
      <c r="C45" s="56"/>
      <c r="D45" s="57">
        <v>11.3</v>
      </c>
      <c r="E45" s="58">
        <v>1.825</v>
      </c>
      <c r="F45" s="57">
        <v>1</v>
      </c>
      <c r="G45" s="58">
        <v>5.05</v>
      </c>
      <c r="H45" s="60">
        <f t="shared" ref="H45:H46" si="47">(D45-G45)*250*100*F45*0.9/E45/10/1000</f>
        <v>7.7054794520548</v>
      </c>
      <c r="I45" s="63"/>
      <c r="J45" s="62"/>
      <c r="K45" s="47" t="s">
        <v>2074</v>
      </c>
    </row>
    <row r="46" spans="2:10">
      <c r="B46" s="55" t="s">
        <v>2075</v>
      </c>
      <c r="C46" s="56" t="s">
        <v>2074</v>
      </c>
      <c r="D46" s="57">
        <v>11.1</v>
      </c>
      <c r="E46" s="58">
        <v>2.676</v>
      </c>
      <c r="F46" s="57">
        <v>1</v>
      </c>
      <c r="G46" s="58">
        <v>10.55</v>
      </c>
      <c r="H46" s="60">
        <f t="shared" si="47"/>
        <v>0.46244394618834</v>
      </c>
      <c r="I46" s="63">
        <f t="shared" ref="I46" si="48">(H46+H47)/2</f>
        <v>0.459931221264496</v>
      </c>
      <c r="J46" s="62">
        <f t="shared" ref="J46" si="49">(H46-H47)/I46*100</f>
        <v>1.09265246961757</v>
      </c>
    </row>
    <row r="47" spans="2:10">
      <c r="B47" s="55"/>
      <c r="C47" s="56"/>
      <c r="D47" s="57">
        <v>11.1</v>
      </c>
      <c r="E47" s="58">
        <v>2.7054</v>
      </c>
      <c r="F47" s="57">
        <v>1</v>
      </c>
      <c r="G47" s="58">
        <v>10.55</v>
      </c>
      <c r="H47" s="60">
        <f t="shared" ref="H47" si="50">(D47-G47)*250*100*F47*0.9/E47/10/1000</f>
        <v>0.457418496340651</v>
      </c>
      <c r="I47" s="63"/>
      <c r="J47" s="62"/>
    </row>
    <row r="49" spans="2:10">
      <c r="B49" s="55" t="s">
        <v>2076</v>
      </c>
      <c r="C49" s="56"/>
      <c r="D49" s="57">
        <v>11.1</v>
      </c>
      <c r="E49" s="58">
        <v>2.5034</v>
      </c>
      <c r="F49" s="57">
        <v>1</v>
      </c>
      <c r="G49" s="58">
        <v>9.55</v>
      </c>
      <c r="H49" s="60">
        <f t="shared" ref="H49:H55" si="51">(D49-G49)*250*100*F49*0.9/E49/10/1000</f>
        <v>1.3931053766877</v>
      </c>
      <c r="I49" s="63">
        <f t="shared" ref="I49" si="52">(H49+H50)/2</f>
        <v>1.3931053766877</v>
      </c>
      <c r="J49" s="62">
        <f t="shared" ref="J49" si="53">(H49-H50)/I49*100</f>
        <v>0</v>
      </c>
    </row>
    <row r="50" spans="2:10">
      <c r="B50" s="55"/>
      <c r="C50" s="56"/>
      <c r="D50" s="57">
        <v>11.1</v>
      </c>
      <c r="E50" s="58">
        <v>2.5034</v>
      </c>
      <c r="F50" s="57">
        <v>1</v>
      </c>
      <c r="G50" s="58">
        <v>9.55</v>
      </c>
      <c r="H50" s="60">
        <f t="shared" si="51"/>
        <v>1.3931053766877</v>
      </c>
      <c r="I50" s="63"/>
      <c r="J50" s="62"/>
    </row>
    <row r="51" spans="2:10">
      <c r="B51" s="55" t="s">
        <v>2077</v>
      </c>
      <c r="C51" s="56"/>
      <c r="D51" s="57">
        <v>11.1</v>
      </c>
      <c r="E51" s="58">
        <v>2.4473</v>
      </c>
      <c r="F51" s="57">
        <v>1</v>
      </c>
      <c r="G51" s="58">
        <v>10.2</v>
      </c>
      <c r="H51" s="60">
        <f t="shared" si="51"/>
        <v>0.82744248763944</v>
      </c>
      <c r="I51" s="63">
        <f t="shared" ref="I51" si="54">(H51+H52)/2</f>
        <v>0.82744248763944</v>
      </c>
      <c r="J51" s="62">
        <f t="shared" ref="J51" si="55">(H51-H52)/I51*100</f>
        <v>0</v>
      </c>
    </row>
    <row r="52" spans="2:10">
      <c r="B52" s="55"/>
      <c r="C52" s="56"/>
      <c r="D52" s="57">
        <v>11.1</v>
      </c>
      <c r="E52" s="58">
        <v>2.4473</v>
      </c>
      <c r="F52" s="57">
        <v>1</v>
      </c>
      <c r="G52" s="58">
        <v>10.2</v>
      </c>
      <c r="H52" s="60">
        <f t="shared" si="51"/>
        <v>0.82744248763944</v>
      </c>
      <c r="I52" s="63"/>
      <c r="J52" s="62"/>
    </row>
    <row r="53" spans="2:10">
      <c r="B53" s="55" t="s">
        <v>2078</v>
      </c>
      <c r="C53" s="56"/>
      <c r="D53" s="57">
        <v>11.1</v>
      </c>
      <c r="E53" s="58">
        <v>2.5318</v>
      </c>
      <c r="F53" s="57">
        <v>1</v>
      </c>
      <c r="G53" s="58">
        <v>10.25</v>
      </c>
      <c r="H53" s="60">
        <f t="shared" si="51"/>
        <v>0.755391421123311</v>
      </c>
      <c r="I53" s="63">
        <f t="shared" ref="I53" si="56">(H53+H54)/2</f>
        <v>0.755391421123311</v>
      </c>
      <c r="J53" s="62">
        <f t="shared" ref="J53:J55" si="57">(H53-H54)/I53*100</f>
        <v>0</v>
      </c>
    </row>
    <row r="54" spans="2:10">
      <c r="B54" s="55"/>
      <c r="C54" s="56"/>
      <c r="D54" s="57">
        <v>11.1</v>
      </c>
      <c r="E54" s="58">
        <v>2.5318</v>
      </c>
      <c r="F54" s="57">
        <v>1</v>
      </c>
      <c r="G54" s="58">
        <v>10.25</v>
      </c>
      <c r="H54" s="60">
        <f t="shared" si="51"/>
        <v>0.755391421123311</v>
      </c>
      <c r="I54" s="63"/>
      <c r="J54" s="62"/>
    </row>
    <row r="55" spans="2:10">
      <c r="B55" s="55" t="s">
        <v>2079</v>
      </c>
      <c r="C55" s="56"/>
      <c r="D55" s="57">
        <v>10.8</v>
      </c>
      <c r="E55" s="58">
        <v>7.928</v>
      </c>
      <c r="F55" s="57">
        <v>1</v>
      </c>
      <c r="G55" s="58">
        <v>10.75</v>
      </c>
      <c r="H55" s="60">
        <f t="shared" si="51"/>
        <v>0.0141902119071647</v>
      </c>
      <c r="I55" s="63">
        <f t="shared" ref="I55" si="58">(H55+H56)/2</f>
        <v>0.0142255583728657</v>
      </c>
      <c r="J55" s="62">
        <f t="shared" si="57"/>
        <v>-0.496943104440242</v>
      </c>
    </row>
    <row r="56" spans="2:10">
      <c r="B56" s="55"/>
      <c r="C56" s="56"/>
      <c r="D56" s="57">
        <v>10.8</v>
      </c>
      <c r="E56" s="58">
        <v>7.8887</v>
      </c>
      <c r="F56" s="57">
        <v>1</v>
      </c>
      <c r="G56" s="58">
        <v>10.75</v>
      </c>
      <c r="H56" s="60">
        <f t="shared" ref="H56:H57" si="59">(D56-G56)*250*100*F56*0.9/E56/10/1000</f>
        <v>0.0142609048385668</v>
      </c>
      <c r="I56" s="63"/>
      <c r="J56" s="62"/>
    </row>
    <row r="57" spans="2:10">
      <c r="B57" s="55" t="s">
        <v>2080</v>
      </c>
      <c r="C57" s="56"/>
      <c r="D57" s="57">
        <v>11</v>
      </c>
      <c r="E57" s="58">
        <v>1.3954</v>
      </c>
      <c r="F57" s="57">
        <v>1</v>
      </c>
      <c r="G57" s="58">
        <v>5.55</v>
      </c>
      <c r="H57" s="60">
        <f t="shared" si="59"/>
        <v>8.78780278056471</v>
      </c>
      <c r="I57" s="63">
        <f t="shared" ref="I57" si="60">(H57+H58)/2</f>
        <v>8.78780278056471</v>
      </c>
      <c r="J57" s="62">
        <f t="shared" ref="J57" si="61">(H57-H58)/I57*100</f>
        <v>0</v>
      </c>
    </row>
    <row r="58" spans="2:10">
      <c r="B58" s="55"/>
      <c r="C58" s="56"/>
      <c r="D58" s="57">
        <v>11</v>
      </c>
      <c r="E58" s="58">
        <v>1.3954</v>
      </c>
      <c r="F58" s="57">
        <v>1</v>
      </c>
      <c r="G58" s="58">
        <v>5.55</v>
      </c>
      <c r="H58" s="60">
        <f t="shared" ref="H58:H61" si="62">(D58-G58)*250*100*F58*0.9/E58/10/1000</f>
        <v>8.78780278056471</v>
      </c>
      <c r="I58" s="63"/>
      <c r="J58" s="62"/>
    </row>
    <row r="59" spans="2:10">
      <c r="B59" s="55" t="s">
        <v>2080</v>
      </c>
      <c r="C59" s="56"/>
      <c r="D59" s="57">
        <v>11</v>
      </c>
      <c r="E59" s="58">
        <v>1.564</v>
      </c>
      <c r="F59" s="57">
        <v>1</v>
      </c>
      <c r="G59" s="58">
        <v>5</v>
      </c>
      <c r="H59" s="60">
        <f t="shared" si="62"/>
        <v>8.63171355498721</v>
      </c>
      <c r="I59" s="63">
        <f t="shared" ref="I59" si="63">(H59+H60)/2</f>
        <v>8.61796002797162</v>
      </c>
      <c r="J59" s="62">
        <f t="shared" ref="J59" si="64">(H59-H60)/I59*100</f>
        <v>0.319182891797009</v>
      </c>
    </row>
    <row r="60" spans="2:10">
      <c r="B60" s="55"/>
      <c r="C60" s="56"/>
      <c r="D60" s="57">
        <v>11</v>
      </c>
      <c r="E60" s="58">
        <v>1.569</v>
      </c>
      <c r="F60" s="57">
        <v>1</v>
      </c>
      <c r="G60" s="58">
        <v>5</v>
      </c>
      <c r="H60" s="60">
        <f t="shared" si="62"/>
        <v>8.60420650095602</v>
      </c>
      <c r="I60" s="63"/>
      <c r="J60" s="62"/>
    </row>
    <row r="61" spans="2:10">
      <c r="B61" s="55" t="s">
        <v>2080</v>
      </c>
      <c r="C61" s="56"/>
      <c r="D61" s="57">
        <v>11</v>
      </c>
      <c r="E61" s="58">
        <v>1.3954</v>
      </c>
      <c r="F61" s="57">
        <v>1</v>
      </c>
      <c r="G61" s="58">
        <v>5.55</v>
      </c>
      <c r="H61" s="60">
        <f t="shared" si="62"/>
        <v>8.78780278056471</v>
      </c>
      <c r="I61" s="63">
        <f t="shared" ref="I61" si="65">(H61+H62)/2</f>
        <v>8.78780278056471</v>
      </c>
      <c r="J61" s="62">
        <f t="shared" ref="J61" si="66">(H61-H62)/I61*100</f>
        <v>0</v>
      </c>
    </row>
    <row r="62" spans="2:10">
      <c r="B62" s="55"/>
      <c r="C62" s="56"/>
      <c r="D62" s="57">
        <v>11</v>
      </c>
      <c r="E62" s="58">
        <v>1.3954</v>
      </c>
      <c r="F62" s="57">
        <v>1</v>
      </c>
      <c r="G62" s="58">
        <v>5.55</v>
      </c>
      <c r="H62" s="60">
        <f t="shared" ref="H62:H64" si="67">(D62-G62)*250*100*F62*0.9/E62/10/1000</f>
        <v>8.78780278056471</v>
      </c>
      <c r="I62" s="63"/>
      <c r="J62" s="62"/>
    </row>
    <row r="63" spans="2:10">
      <c r="B63" s="55" t="s">
        <v>2080</v>
      </c>
      <c r="C63" s="56"/>
      <c r="D63" s="57">
        <v>11</v>
      </c>
      <c r="E63" s="58">
        <v>1.564</v>
      </c>
      <c r="F63" s="57">
        <v>1</v>
      </c>
      <c r="G63" s="58">
        <v>5</v>
      </c>
      <c r="H63" s="60">
        <f t="shared" si="67"/>
        <v>8.63171355498721</v>
      </c>
      <c r="I63" s="63">
        <f t="shared" ref="I63" si="68">(H63+H64)/2</f>
        <v>8.61796002797162</v>
      </c>
      <c r="J63" s="62">
        <f t="shared" ref="J63" si="69">(H63-H64)/I63*100</f>
        <v>0.319182891797009</v>
      </c>
    </row>
    <row r="64" spans="2:10">
      <c r="B64" s="55"/>
      <c r="C64" s="56"/>
      <c r="D64" s="57">
        <v>11</v>
      </c>
      <c r="E64" s="58">
        <v>1.569</v>
      </c>
      <c r="F64" s="57">
        <v>1</v>
      </c>
      <c r="G64" s="58">
        <v>5</v>
      </c>
      <c r="H64" s="60">
        <f t="shared" si="67"/>
        <v>8.60420650095602</v>
      </c>
      <c r="I64" s="63"/>
      <c r="J64" s="62"/>
    </row>
    <row r="65" spans="2:10">
      <c r="B65" s="55" t="s">
        <v>2081</v>
      </c>
      <c r="C65" s="56"/>
      <c r="D65" s="57">
        <v>11.1</v>
      </c>
      <c r="E65" s="58">
        <v>6.1465</v>
      </c>
      <c r="F65" s="57">
        <v>1</v>
      </c>
      <c r="G65" s="58">
        <v>9.25</v>
      </c>
      <c r="H65" s="60">
        <f t="shared" ref="H65:H68" si="70">(D65-G65)*250*100*F65*0.9/E65/10/1000</f>
        <v>0.677214675018303</v>
      </c>
      <c r="I65" s="63">
        <f t="shared" ref="I65" si="71">(H65+H66)/2</f>
        <v>0.663577419628575</v>
      </c>
      <c r="J65" s="62">
        <f t="shared" ref="J65" si="72">(H65-H66)/I65*100</f>
        <v>4.11022285760139</v>
      </c>
    </row>
    <row r="66" spans="2:10">
      <c r="B66" s="55"/>
      <c r="C66" s="56"/>
      <c r="D66" s="57">
        <v>11.1</v>
      </c>
      <c r="E66" s="58">
        <v>7.2699</v>
      </c>
      <c r="F66" s="57">
        <v>1</v>
      </c>
      <c r="G66" s="58">
        <v>9</v>
      </c>
      <c r="H66" s="60">
        <f t="shared" si="70"/>
        <v>0.649940164238848</v>
      </c>
      <c r="I66" s="63"/>
      <c r="J66" s="62"/>
    </row>
    <row r="67" spans="2:10">
      <c r="B67" s="55" t="s">
        <v>2082</v>
      </c>
      <c r="C67" s="56"/>
      <c r="D67" s="57">
        <v>11.1</v>
      </c>
      <c r="E67" s="58">
        <v>3.6307</v>
      </c>
      <c r="F67" s="57">
        <v>2</v>
      </c>
      <c r="G67" s="58">
        <v>5.9</v>
      </c>
      <c r="H67" s="60">
        <f t="shared" si="70"/>
        <v>6.44503814691382</v>
      </c>
      <c r="I67" s="63">
        <f t="shared" ref="I67" si="73">(H67+H68)/2</f>
        <v>6.50231783506682</v>
      </c>
      <c r="J67" s="62">
        <f t="shared" ref="J67" si="74">(H67-H68)/I67*100</f>
        <v>-1.76182369443987</v>
      </c>
    </row>
    <row r="68" spans="2:10">
      <c r="B68" s="55"/>
      <c r="C68" s="56"/>
      <c r="D68" s="57">
        <v>11.1</v>
      </c>
      <c r="E68" s="58">
        <v>3.876</v>
      </c>
      <c r="F68" s="57">
        <v>2</v>
      </c>
      <c r="G68" s="58">
        <v>5.45</v>
      </c>
      <c r="H68" s="60">
        <f t="shared" si="70"/>
        <v>6.55959752321981</v>
      </c>
      <c r="I68" s="63"/>
      <c r="J68" s="62"/>
    </row>
    <row r="69" spans="1:11">
      <c r="A69">
        <v>1.14</v>
      </c>
      <c r="B69" s="55" t="s">
        <v>2083</v>
      </c>
      <c r="C69" s="56"/>
      <c r="D69" s="57">
        <v>11.1</v>
      </c>
      <c r="E69" s="58">
        <v>2.1668</v>
      </c>
      <c r="F69" s="57">
        <v>1</v>
      </c>
      <c r="G69" s="58">
        <v>9.3</v>
      </c>
      <c r="H69" s="60">
        <f>(D69-G69)*500*100*F69*0.9/E69/10/1000</f>
        <v>3.73823149344656</v>
      </c>
      <c r="I69" s="63">
        <f t="shared" ref="I69" si="75">(H69+H70)/2</f>
        <v>3.67693333629982</v>
      </c>
      <c r="J69" s="62">
        <f t="shared" ref="J69" si="76">(H69-H70)/I69*100</f>
        <v>3.33420008144161</v>
      </c>
      <c r="K69" s="68" t="s">
        <v>2023</v>
      </c>
    </row>
    <row r="70" spans="2:11">
      <c r="B70" s="55"/>
      <c r="C70" s="56"/>
      <c r="D70" s="57">
        <v>11.1</v>
      </c>
      <c r="E70" s="58">
        <v>2.3025</v>
      </c>
      <c r="F70" s="57">
        <v>1</v>
      </c>
      <c r="G70" s="58">
        <v>9.25</v>
      </c>
      <c r="H70" s="60">
        <f t="shared" ref="H70:H73" si="77">(D70-G70)*500*100*F70*0.9/E70/10/1000</f>
        <v>3.61563517915309</v>
      </c>
      <c r="I70" s="63"/>
      <c r="J70" s="62"/>
      <c r="K70" s="68" t="s">
        <v>2023</v>
      </c>
    </row>
    <row r="71" spans="2:11">
      <c r="B71" s="55" t="s">
        <v>2084</v>
      </c>
      <c r="C71" s="56"/>
      <c r="D71" s="57">
        <v>11.1</v>
      </c>
      <c r="E71" s="58">
        <v>2.3299</v>
      </c>
      <c r="F71" s="57">
        <v>1</v>
      </c>
      <c r="G71" s="58">
        <v>8.7</v>
      </c>
      <c r="H71" s="60">
        <f t="shared" si="77"/>
        <v>4.63539207691317</v>
      </c>
      <c r="I71" s="63">
        <f t="shared" ref="I71" si="78">(H71+H72)/2</f>
        <v>4.70050385526512</v>
      </c>
      <c r="J71" s="62">
        <f t="shared" ref="J71" si="79">(H71-H72)/I71*100</f>
        <v>-2.77041697472566</v>
      </c>
      <c r="K71" s="68" t="s">
        <v>2023</v>
      </c>
    </row>
    <row r="72" spans="2:11">
      <c r="B72" s="55"/>
      <c r="C72" s="56"/>
      <c r="D72" s="57">
        <v>11.1</v>
      </c>
      <c r="E72" s="58">
        <v>2.5023</v>
      </c>
      <c r="F72" s="57">
        <v>1</v>
      </c>
      <c r="G72" s="58">
        <v>8.45</v>
      </c>
      <c r="H72" s="60">
        <f t="shared" si="77"/>
        <v>4.76561563361707</v>
      </c>
      <c r="I72" s="63"/>
      <c r="J72" s="62"/>
      <c r="K72" s="68" t="s">
        <v>2023</v>
      </c>
    </row>
    <row r="73" spans="1:11">
      <c r="A73">
        <v>1.15</v>
      </c>
      <c r="B73" s="55" t="s">
        <v>2085</v>
      </c>
      <c r="C73" s="56"/>
      <c r="D73" s="57">
        <v>10.8</v>
      </c>
      <c r="E73" s="58">
        <v>1.8722</v>
      </c>
      <c r="F73" s="57">
        <v>1</v>
      </c>
      <c r="G73" s="58">
        <v>6.2</v>
      </c>
      <c r="H73" s="60">
        <f t="shared" si="77"/>
        <v>11.0565110565111</v>
      </c>
      <c r="I73" s="63">
        <f t="shared" ref="I73" si="80">(H73+H74)/2</f>
        <v>11.1194867062892</v>
      </c>
      <c r="J73" s="62">
        <f t="shared" ref="J73" si="81">(H73-H74)/I73*100</f>
        <v>-1.13270785678462</v>
      </c>
      <c r="K73" s="68" t="s">
        <v>2023</v>
      </c>
    </row>
    <row r="74" spans="2:11">
      <c r="B74" s="55"/>
      <c r="C74" s="56"/>
      <c r="D74" s="57">
        <v>10.8</v>
      </c>
      <c r="E74" s="58">
        <v>2.0322</v>
      </c>
      <c r="F74" s="57">
        <v>1</v>
      </c>
      <c r="G74" s="58">
        <v>5.75</v>
      </c>
      <c r="H74" s="60">
        <f t="shared" ref="H74" si="82">(D74-G74)*500*100*F74*0.9/E74/10/1000</f>
        <v>11.1824623560673</v>
      </c>
      <c r="I74" s="63"/>
      <c r="J74" s="62"/>
      <c r="K74" s="68" t="s">
        <v>2023</v>
      </c>
    </row>
    <row r="75" spans="2:10">
      <c r="B75" s="55" t="s">
        <v>2086</v>
      </c>
      <c r="C75" s="56"/>
      <c r="D75" s="57">
        <v>10.8</v>
      </c>
      <c r="E75" s="58">
        <v>3.0283</v>
      </c>
      <c r="F75" s="57">
        <v>1</v>
      </c>
      <c r="G75" s="58">
        <v>9.2</v>
      </c>
      <c r="H75" s="60">
        <f>(D75-G75)*250*100*F75*0.9/E75/10/1000</f>
        <v>1.18878578740548</v>
      </c>
      <c r="I75" s="63">
        <f t="shared" ref="I75" si="83">(H75+H76)/2</f>
        <v>1.18066482461571</v>
      </c>
      <c r="J75" s="62">
        <f t="shared" ref="J75" si="84">(H75-H76)/I75*100</f>
        <v>1.37565930998404</v>
      </c>
    </row>
    <row r="76" spans="2:10">
      <c r="B76" s="55"/>
      <c r="C76" s="56"/>
      <c r="D76" s="57">
        <v>10.8</v>
      </c>
      <c r="E76" s="58">
        <v>4.0297</v>
      </c>
      <c r="F76" s="57">
        <v>1</v>
      </c>
      <c r="G76" s="58">
        <v>8.7</v>
      </c>
      <c r="H76" s="60">
        <f>(D76-G76)*250*100*F76*0.9/E76/10/1000</f>
        <v>1.17254386182594</v>
      </c>
      <c r="I76" s="63"/>
      <c r="J76" s="62"/>
    </row>
    <row r="77" spans="1:10">
      <c r="A77" s="64" t="s">
        <v>2087</v>
      </c>
      <c r="B77" s="55" t="s">
        <v>2088</v>
      </c>
      <c r="C77" s="56"/>
      <c r="D77" s="57">
        <v>10.8</v>
      </c>
      <c r="E77" s="58">
        <v>2.0174</v>
      </c>
      <c r="F77" s="57">
        <v>1</v>
      </c>
      <c r="G77" s="58">
        <v>4</v>
      </c>
      <c r="H77" s="60">
        <f>(D77-G77)*250*100*F77*0.9/E77/10/1000</f>
        <v>7.58401903440072</v>
      </c>
      <c r="I77" s="63">
        <f t="shared" ref="I77" si="85">(H77+H78)/2</f>
        <v>7.54241278636909</v>
      </c>
      <c r="J77" s="62">
        <f t="shared" ref="J77" si="86">(H77-H78)/I77*100</f>
        <v>1.10326096462981</v>
      </c>
    </row>
    <row r="78" spans="1:10">
      <c r="A78" s="65"/>
      <c r="B78" s="55"/>
      <c r="C78" s="56"/>
      <c r="D78" s="57">
        <v>10.8</v>
      </c>
      <c r="E78" s="58">
        <v>1.8598</v>
      </c>
      <c r="F78" s="57">
        <v>1</v>
      </c>
      <c r="G78" s="58">
        <v>4.6</v>
      </c>
      <c r="H78" s="60">
        <f>(D78-G78)*250*100*F78*0.9/E78/10/1000</f>
        <v>7.50080653833746</v>
      </c>
      <c r="I78" s="63"/>
      <c r="J78" s="62"/>
    </row>
    <row r="79" spans="2:10">
      <c r="B79" s="55" t="s">
        <v>2089</v>
      </c>
      <c r="C79" s="56"/>
      <c r="D79" s="57">
        <v>10.8</v>
      </c>
      <c r="E79" s="58">
        <v>1.6528</v>
      </c>
      <c r="F79" s="57">
        <v>1</v>
      </c>
      <c r="G79" s="58">
        <v>5.2</v>
      </c>
      <c r="H79" s="60">
        <f t="shared" ref="H79:H86" si="87">(D79-G79)*250*100*F79*0.9/E79/10/1000</f>
        <v>7.62342691190707</v>
      </c>
      <c r="I79" s="63">
        <f t="shared" ref="I79" si="88">(H79+H80)/2</f>
        <v>7.5085523022954</v>
      </c>
      <c r="J79" s="62">
        <f t="shared" ref="J79" si="89">(H79-H80)/I79*100</f>
        <v>3.05983377319099</v>
      </c>
    </row>
    <row r="80" spans="2:10">
      <c r="B80" s="55"/>
      <c r="C80" s="56"/>
      <c r="D80" s="57">
        <v>10.8</v>
      </c>
      <c r="E80" s="58">
        <v>1.8411</v>
      </c>
      <c r="F80" s="57">
        <v>1</v>
      </c>
      <c r="G80" s="58">
        <v>4.75</v>
      </c>
      <c r="H80" s="60">
        <f t="shared" si="87"/>
        <v>7.39367769268372</v>
      </c>
      <c r="I80" s="63"/>
      <c r="J80" s="62"/>
    </row>
    <row r="81" spans="2:10">
      <c r="B81" s="55" t="s">
        <v>625</v>
      </c>
      <c r="C81" s="56"/>
      <c r="D81" s="57">
        <v>10.8</v>
      </c>
      <c r="E81" s="58">
        <v>2.1774</v>
      </c>
      <c r="F81" s="57">
        <v>1</v>
      </c>
      <c r="G81" s="58">
        <v>7.8</v>
      </c>
      <c r="H81" s="60">
        <f t="shared" si="87"/>
        <v>3.1000275558005</v>
      </c>
      <c r="I81" s="63">
        <f t="shared" ref="I81" si="90">(H81+H82)/2</f>
        <v>3.09800139399932</v>
      </c>
      <c r="J81" s="62">
        <f t="shared" ref="J81" si="91">(H81-H82)/I81*100</f>
        <v>0.130804447351222</v>
      </c>
    </row>
    <row r="82" spans="2:10">
      <c r="B82" s="55"/>
      <c r="C82" s="56"/>
      <c r="D82" s="57">
        <v>10.8</v>
      </c>
      <c r="E82" s="58">
        <v>2.3256</v>
      </c>
      <c r="F82" s="57">
        <v>1</v>
      </c>
      <c r="G82" s="58">
        <v>7.6</v>
      </c>
      <c r="H82" s="60">
        <f t="shared" si="87"/>
        <v>3.09597523219814</v>
      </c>
      <c r="I82" s="63"/>
      <c r="J82" s="62"/>
    </row>
    <row r="83" spans="2:10">
      <c r="B83" s="55" t="s">
        <v>2090</v>
      </c>
      <c r="C83" s="56"/>
      <c r="D83" s="57">
        <v>11.1</v>
      </c>
      <c r="E83" s="58">
        <v>2.0955</v>
      </c>
      <c r="F83" s="57">
        <v>1</v>
      </c>
      <c r="G83" s="58">
        <v>9.35</v>
      </c>
      <c r="H83" s="60">
        <f t="shared" si="87"/>
        <v>1.8790264853257</v>
      </c>
      <c r="I83" s="63">
        <f>(H83+H84)/2</f>
        <v>1.87456429941896</v>
      </c>
      <c r="J83" s="62">
        <f>(H83-H84)/I83*100</f>
        <v>0.476077124494198</v>
      </c>
    </row>
    <row r="84" spans="2:10">
      <c r="B84" s="55"/>
      <c r="C84" s="56"/>
      <c r="D84" s="57">
        <v>11.1</v>
      </c>
      <c r="E84" s="58">
        <v>2.1055</v>
      </c>
      <c r="F84" s="57">
        <v>1</v>
      </c>
      <c r="G84" s="58">
        <v>9.35</v>
      </c>
      <c r="H84" s="60">
        <f t="shared" si="87"/>
        <v>1.87010211351223</v>
      </c>
      <c r="I84" s="63"/>
      <c r="J84" s="62"/>
    </row>
    <row r="85" spans="2:10">
      <c r="B85" s="55" t="s">
        <v>2091</v>
      </c>
      <c r="C85" s="56"/>
      <c r="D85" s="57">
        <v>11.1</v>
      </c>
      <c r="E85" s="58">
        <v>2.1229</v>
      </c>
      <c r="F85" s="57">
        <v>1</v>
      </c>
      <c r="G85" s="58">
        <v>9.5</v>
      </c>
      <c r="H85" s="60">
        <f t="shared" si="87"/>
        <v>1.69579349003721</v>
      </c>
      <c r="I85" s="63">
        <f>(H85+H86)/2</f>
        <v>1.70302752972686</v>
      </c>
      <c r="J85" s="62">
        <f>(H85-H86)/I85*100</f>
        <v>-0.84955052849947</v>
      </c>
    </row>
    <row r="86" spans="2:10">
      <c r="B86" s="55"/>
      <c r="C86" s="56"/>
      <c r="D86" s="57">
        <v>11.1</v>
      </c>
      <c r="E86" s="58">
        <v>2.2365</v>
      </c>
      <c r="F86" s="57">
        <v>1</v>
      </c>
      <c r="G86" s="58">
        <v>9.4</v>
      </c>
      <c r="H86" s="60">
        <f t="shared" si="87"/>
        <v>1.7102615694165</v>
      </c>
      <c r="I86" s="63"/>
      <c r="J86" s="62"/>
    </row>
    <row r="87" spans="1:10">
      <c r="A87">
        <v>2.9</v>
      </c>
      <c r="B87" s="55" t="s">
        <v>2092</v>
      </c>
      <c r="C87" s="56"/>
      <c r="D87" s="57">
        <v>11.1</v>
      </c>
      <c r="E87" s="58">
        <v>1.7544</v>
      </c>
      <c r="F87" s="57">
        <v>1</v>
      </c>
      <c r="G87" s="58">
        <v>5.6</v>
      </c>
      <c r="H87" s="60">
        <f t="shared" ref="H87:H88" si="92">(D87-G87)*250*100*F87*0.9/E87/10/1000</f>
        <v>7.05369357045144</v>
      </c>
      <c r="I87" s="63">
        <f>(H87+H88)/2</f>
        <v>6.98262561538059</v>
      </c>
      <c r="J87" s="62">
        <f>(H87-H88)/I87*100</f>
        <v>2.0355653871606</v>
      </c>
    </row>
    <row r="88" spans="2:10">
      <c r="B88" s="55"/>
      <c r="C88" s="56"/>
      <c r="D88" s="57">
        <v>11.1</v>
      </c>
      <c r="E88" s="58">
        <v>1.5626</v>
      </c>
      <c r="F88" s="57">
        <v>1</v>
      </c>
      <c r="G88" s="58">
        <v>6.3</v>
      </c>
      <c r="H88" s="60">
        <f t="shared" si="92"/>
        <v>6.91155766030974</v>
      </c>
      <c r="I88" s="63"/>
      <c r="J88" s="62"/>
    </row>
    <row r="89" spans="1:10">
      <c r="A89">
        <v>3.23</v>
      </c>
      <c r="B89" s="55" t="s">
        <v>2093</v>
      </c>
      <c r="C89" s="56"/>
      <c r="D89" s="57">
        <v>11</v>
      </c>
      <c r="E89" s="58">
        <v>1.7544</v>
      </c>
      <c r="F89" s="57">
        <v>1</v>
      </c>
      <c r="G89" s="58">
        <v>10.45</v>
      </c>
      <c r="H89" s="60">
        <f t="shared" ref="H89:H90" si="93">(D89-G89)*250*100*F89*0.9/E89/10/1000</f>
        <v>0.705369357045144</v>
      </c>
      <c r="I89" s="63">
        <f>(H89+H90)/2</f>
        <v>0.684881607546518</v>
      </c>
      <c r="J89" s="62">
        <f>(H89-H90)/I89*100</f>
        <v>5.98285872269835</v>
      </c>
    </row>
    <row r="90" spans="2:10">
      <c r="B90" s="55"/>
      <c r="C90" s="56"/>
      <c r="D90" s="57">
        <v>11</v>
      </c>
      <c r="E90" s="58">
        <v>1.8626</v>
      </c>
      <c r="F90" s="57">
        <v>1</v>
      </c>
      <c r="G90" s="58">
        <v>10.45</v>
      </c>
      <c r="H90" s="60">
        <f t="shared" si="93"/>
        <v>0.664393858047891</v>
      </c>
      <c r="I90" s="63"/>
      <c r="J90" s="62"/>
    </row>
    <row r="91" spans="2:10">
      <c r="B91" s="55" t="s">
        <v>2094</v>
      </c>
      <c r="C91" s="56"/>
      <c r="D91" s="57">
        <v>11</v>
      </c>
      <c r="E91" s="58">
        <v>3.3399</v>
      </c>
      <c r="F91" s="57">
        <v>1</v>
      </c>
      <c r="G91" s="58">
        <v>10.05</v>
      </c>
      <c r="H91" s="60">
        <f t="shared" ref="H91:H94" si="94">(D91-G91)*250*100*F91*0.9/E91/10/1000</f>
        <v>0.639989221234168</v>
      </c>
      <c r="I91" s="63">
        <f>(H91+H92)/2</f>
        <v>0.650711605061039</v>
      </c>
      <c r="J91" s="62">
        <f>(H91-H92)/I91*100</f>
        <v>-3.29558709064811</v>
      </c>
    </row>
    <row r="92" spans="2:10">
      <c r="B92" s="55"/>
      <c r="C92" s="56"/>
      <c r="D92" s="57">
        <v>11</v>
      </c>
      <c r="E92" s="58">
        <v>3.4017</v>
      </c>
      <c r="F92" s="57">
        <v>1</v>
      </c>
      <c r="G92" s="58">
        <v>10</v>
      </c>
      <c r="H92" s="60">
        <f t="shared" si="94"/>
        <v>0.661433988887909</v>
      </c>
      <c r="I92" s="63"/>
      <c r="J92" s="62"/>
    </row>
    <row r="93" spans="1:10">
      <c r="A93">
        <v>4.1</v>
      </c>
      <c r="B93" s="55" t="s">
        <v>2095</v>
      </c>
      <c r="C93" s="56"/>
      <c r="D93" s="57">
        <v>11.1</v>
      </c>
      <c r="E93" s="58">
        <v>2.5684</v>
      </c>
      <c r="F93" s="57">
        <v>1</v>
      </c>
      <c r="G93" s="58">
        <v>4.8</v>
      </c>
      <c r="H93" s="66">
        <f t="shared" si="94"/>
        <v>5.51900015573898</v>
      </c>
      <c r="I93" s="63">
        <f t="shared" ref="I93:I97" si="95">(H93+H94)/2</f>
        <v>5.55467002420223</v>
      </c>
      <c r="J93" s="62">
        <f t="shared" ref="J93:J97" si="96">(H93-H94)/I93*100</f>
        <v>-1.28431997968661</v>
      </c>
    </row>
    <row r="94" spans="2:10">
      <c r="B94" s="55"/>
      <c r="C94" s="56"/>
      <c r="D94" s="57">
        <v>11.1</v>
      </c>
      <c r="E94" s="58">
        <v>2.0124</v>
      </c>
      <c r="F94" s="57">
        <v>1</v>
      </c>
      <c r="G94" s="58">
        <v>6.1</v>
      </c>
      <c r="H94" s="66">
        <f t="shared" si="94"/>
        <v>5.59033989266547</v>
      </c>
      <c r="I94" s="63"/>
      <c r="J94" s="62"/>
    </row>
    <row r="95" spans="2:10">
      <c r="B95" s="55" t="s">
        <v>2096</v>
      </c>
      <c r="C95" s="56"/>
      <c r="D95" s="57">
        <v>11.1</v>
      </c>
      <c r="E95" s="58">
        <v>2.671</v>
      </c>
      <c r="F95" s="57">
        <v>1</v>
      </c>
      <c r="G95" s="58">
        <v>4</v>
      </c>
      <c r="H95" s="66">
        <f t="shared" ref="H95:H106" si="97">(D95-G95)*250*100*F95*0.9/E95/10/1000</f>
        <v>5.98090602770498</v>
      </c>
      <c r="I95" s="63">
        <f t="shared" si="95"/>
        <v>5.97344232608224</v>
      </c>
      <c r="J95" s="62">
        <f t="shared" si="96"/>
        <v>0.249896164231959</v>
      </c>
    </row>
    <row r="96" spans="2:10">
      <c r="B96" s="55"/>
      <c r="C96" s="56"/>
      <c r="D96" s="57">
        <v>11.1</v>
      </c>
      <c r="E96" s="58">
        <v>2.4514</v>
      </c>
      <c r="F96" s="57">
        <v>1</v>
      </c>
      <c r="G96" s="58">
        <v>4.6</v>
      </c>
      <c r="H96" s="66">
        <f t="shared" si="97"/>
        <v>5.96597862445949</v>
      </c>
      <c r="I96" s="63"/>
      <c r="J96" s="62"/>
    </row>
    <row r="97" spans="1:10">
      <c r="A97">
        <v>5.25</v>
      </c>
      <c r="B97" s="55" t="s">
        <v>2097</v>
      </c>
      <c r="C97" s="56"/>
      <c r="D97" s="57">
        <v>11.1</v>
      </c>
      <c r="E97" s="58">
        <v>3.0611</v>
      </c>
      <c r="F97" s="57">
        <v>1</v>
      </c>
      <c r="G97" s="58">
        <v>8.9</v>
      </c>
      <c r="H97" s="60">
        <f t="shared" si="97"/>
        <v>1.61706576067427</v>
      </c>
      <c r="I97" s="61">
        <f t="shared" si="95"/>
        <v>1.63325797197325</v>
      </c>
      <c r="J97" s="62">
        <f t="shared" si="96"/>
        <v>-1.98281123703009</v>
      </c>
    </row>
    <row r="98" spans="2:10">
      <c r="B98" s="55"/>
      <c r="C98" s="56"/>
      <c r="D98" s="57">
        <v>11.1</v>
      </c>
      <c r="E98" s="58">
        <v>3.001</v>
      </c>
      <c r="F98" s="57">
        <v>1</v>
      </c>
      <c r="G98" s="58">
        <v>8.9</v>
      </c>
      <c r="H98" s="60">
        <f t="shared" si="97"/>
        <v>1.64945018327224</v>
      </c>
      <c r="I98" s="61"/>
      <c r="J98" s="62"/>
    </row>
    <row r="99" spans="2:10">
      <c r="B99" s="55" t="s">
        <v>1830</v>
      </c>
      <c r="C99" s="56"/>
      <c r="D99" s="57">
        <v>11.1</v>
      </c>
      <c r="E99" s="58">
        <v>1.2565</v>
      </c>
      <c r="F99" s="57">
        <v>1</v>
      </c>
      <c r="G99" s="58">
        <v>2.9</v>
      </c>
      <c r="H99" s="60">
        <f t="shared" si="97"/>
        <v>14.683645045762</v>
      </c>
      <c r="I99" s="61">
        <f t="shared" ref="I99:I103" si="98">(H99+H100)/2</f>
        <v>14.683645045762</v>
      </c>
      <c r="J99" s="62">
        <f t="shared" ref="J99:J103" si="99">(H99-H100)/I99*100</f>
        <v>0</v>
      </c>
    </row>
    <row r="100" spans="2:10">
      <c r="B100" s="55"/>
      <c r="C100" s="56"/>
      <c r="D100" s="57">
        <v>11.1</v>
      </c>
      <c r="E100" s="58">
        <v>1.2565</v>
      </c>
      <c r="F100" s="57">
        <v>1</v>
      </c>
      <c r="G100" s="58">
        <v>2.9</v>
      </c>
      <c r="H100" s="60">
        <f t="shared" si="97"/>
        <v>14.683645045762</v>
      </c>
      <c r="I100" s="61"/>
      <c r="J100" s="62"/>
    </row>
    <row r="101" spans="2:10">
      <c r="B101" s="55" t="s">
        <v>2098</v>
      </c>
      <c r="C101" s="56"/>
      <c r="D101" s="57">
        <v>11.1</v>
      </c>
      <c r="E101" s="58">
        <v>2.6528</v>
      </c>
      <c r="F101" s="57">
        <v>1</v>
      </c>
      <c r="G101" s="58">
        <v>9.3</v>
      </c>
      <c r="H101" s="60">
        <f t="shared" si="97"/>
        <v>1.52668878166466</v>
      </c>
      <c r="I101" s="61">
        <f t="shared" si="98"/>
        <v>1.50813088537056</v>
      </c>
      <c r="J101" s="62">
        <f t="shared" si="99"/>
        <v>2.46104585140639</v>
      </c>
    </row>
    <row r="102" spans="2:10">
      <c r="B102" s="55"/>
      <c r="C102" s="56"/>
      <c r="D102" s="57">
        <v>11.1</v>
      </c>
      <c r="E102" s="58">
        <v>3.021</v>
      </c>
      <c r="F102" s="57">
        <v>1</v>
      </c>
      <c r="G102" s="58">
        <v>9.1</v>
      </c>
      <c r="H102" s="60">
        <f t="shared" si="97"/>
        <v>1.48957298907646</v>
      </c>
      <c r="I102" s="61"/>
      <c r="J102" s="62"/>
    </row>
    <row r="103" spans="1:10">
      <c r="A103">
        <v>6.6</v>
      </c>
      <c r="B103" s="55" t="s">
        <v>2099</v>
      </c>
      <c r="C103" s="56"/>
      <c r="D103" s="57">
        <v>11.1</v>
      </c>
      <c r="E103" s="58">
        <v>2.1263</v>
      </c>
      <c r="F103" s="57">
        <v>1</v>
      </c>
      <c r="G103" s="58">
        <v>10.05</v>
      </c>
      <c r="H103" s="60">
        <f t="shared" si="97"/>
        <v>1.11108498330433</v>
      </c>
      <c r="I103" s="61">
        <f t="shared" si="98"/>
        <v>1.11108498330433</v>
      </c>
      <c r="J103" s="62">
        <f t="shared" si="99"/>
        <v>0</v>
      </c>
    </row>
    <row r="104" spans="2:10">
      <c r="B104" s="55"/>
      <c r="C104" s="56"/>
      <c r="D104" s="57">
        <v>11.1</v>
      </c>
      <c r="E104" s="58">
        <v>2.1263</v>
      </c>
      <c r="F104" s="57">
        <v>1</v>
      </c>
      <c r="G104" s="58">
        <v>10.05</v>
      </c>
      <c r="H104" s="60">
        <f t="shared" si="97"/>
        <v>1.11108498330433</v>
      </c>
      <c r="I104" s="61"/>
      <c r="J104" s="62"/>
    </row>
    <row r="105" spans="1:10">
      <c r="A105">
        <v>6.29</v>
      </c>
      <c r="B105" s="55" t="s">
        <v>2100</v>
      </c>
      <c r="C105" s="56"/>
      <c r="D105" s="57">
        <v>11.1</v>
      </c>
      <c r="E105" s="58">
        <v>5.2008</v>
      </c>
      <c r="F105" s="57">
        <v>1</v>
      </c>
      <c r="G105" s="58">
        <v>10.8</v>
      </c>
      <c r="H105" s="60">
        <f t="shared" si="97"/>
        <v>0.129787724965389</v>
      </c>
      <c r="I105" s="61">
        <f>(H105+H106)/2</f>
        <v>0.124885330362818</v>
      </c>
      <c r="J105" s="62">
        <f>(H105-H106)/I105*100</f>
        <v>7.85103356547763</v>
      </c>
    </row>
    <row r="106" spans="2:10">
      <c r="B106" s="55"/>
      <c r="C106" s="56"/>
      <c r="D106" s="57">
        <v>11.1</v>
      </c>
      <c r="E106" s="58">
        <v>5.6258</v>
      </c>
      <c r="F106" s="57">
        <v>1</v>
      </c>
      <c r="G106" s="58">
        <v>10.8</v>
      </c>
      <c r="H106" s="60">
        <f t="shared" si="97"/>
        <v>0.119982935760247</v>
      </c>
      <c r="I106" s="61"/>
      <c r="J106" s="62"/>
    </row>
    <row r="107" spans="1:10">
      <c r="A107">
        <v>630</v>
      </c>
      <c r="B107" s="55" t="s">
        <v>1865</v>
      </c>
      <c r="C107" s="56"/>
      <c r="D107" s="57">
        <v>11</v>
      </c>
      <c r="E107" s="58">
        <v>1.229</v>
      </c>
      <c r="F107" s="57">
        <v>1</v>
      </c>
      <c r="G107" s="58">
        <v>4.5</v>
      </c>
      <c r="H107" s="60">
        <f t="shared" ref="H107:H112" si="100">(D107-G107)*250*100*F107*0.9/E107/10/1000</f>
        <v>11.899918633035</v>
      </c>
      <c r="I107" s="61">
        <f t="shared" ref="I107" si="101">(H107+H108)/2</f>
        <v>12.8152969894223</v>
      </c>
      <c r="J107" s="62">
        <f t="shared" ref="J107" si="102">(H107-H108)/I107*100</f>
        <v>-14.2857142857143</v>
      </c>
    </row>
    <row r="108" spans="2:10">
      <c r="B108" s="55"/>
      <c r="C108" s="56"/>
      <c r="D108" s="57">
        <v>12</v>
      </c>
      <c r="E108" s="58">
        <v>1.229</v>
      </c>
      <c r="F108" s="57">
        <v>1</v>
      </c>
      <c r="G108" s="58">
        <v>4.5</v>
      </c>
      <c r="H108" s="60">
        <f t="shared" si="100"/>
        <v>13.7306753458096</v>
      </c>
      <c r="I108" s="61"/>
      <c r="J108" s="62"/>
    </row>
    <row r="109" spans="2:10">
      <c r="B109" s="55" t="s">
        <v>1866</v>
      </c>
      <c r="C109" s="56"/>
      <c r="D109" s="57">
        <v>13</v>
      </c>
      <c r="E109" s="58">
        <v>1.2781</v>
      </c>
      <c r="F109" s="57">
        <v>1</v>
      </c>
      <c r="G109" s="58">
        <v>3.75</v>
      </c>
      <c r="H109" s="60">
        <f t="shared" si="100"/>
        <v>16.2839370941241</v>
      </c>
      <c r="I109" s="61">
        <f t="shared" ref="I109" si="103">(H109+H110)/2</f>
        <v>17.1641499100227</v>
      </c>
      <c r="J109" s="62">
        <f t="shared" ref="J109" si="104">(H109-H110)/I109*100</f>
        <v>-10.2564102564103</v>
      </c>
    </row>
    <row r="110" spans="2:10">
      <c r="B110" s="55"/>
      <c r="C110" s="56"/>
      <c r="D110" s="57">
        <v>14</v>
      </c>
      <c r="E110" s="58">
        <v>1.2781</v>
      </c>
      <c r="F110" s="57">
        <v>1</v>
      </c>
      <c r="G110" s="58">
        <v>3.75</v>
      </c>
      <c r="H110" s="60">
        <f t="shared" si="100"/>
        <v>18.0443627259213</v>
      </c>
      <c r="I110" s="61"/>
      <c r="J110" s="62"/>
    </row>
    <row r="111" spans="2:10">
      <c r="B111" s="55" t="s">
        <v>1867</v>
      </c>
      <c r="C111" s="56"/>
      <c r="D111" s="57">
        <v>15</v>
      </c>
      <c r="E111" s="58">
        <v>1.201</v>
      </c>
      <c r="F111" s="57">
        <v>1</v>
      </c>
      <c r="G111" s="58">
        <v>4.15</v>
      </c>
      <c r="H111" s="60">
        <f t="shared" si="100"/>
        <v>20.326810990841</v>
      </c>
      <c r="I111" s="61">
        <f>(H111+H112)/2</f>
        <v>21.2635303913405</v>
      </c>
      <c r="J111" s="62">
        <f>(H111-H112)/I111*100</f>
        <v>-8.81057268722467</v>
      </c>
    </row>
    <row r="112" spans="2:10">
      <c r="B112" s="55"/>
      <c r="C112" s="56"/>
      <c r="D112" s="57">
        <v>16</v>
      </c>
      <c r="E112" s="58">
        <v>1.201</v>
      </c>
      <c r="F112" s="57">
        <v>1</v>
      </c>
      <c r="G112" s="58">
        <v>4.15</v>
      </c>
      <c r="H112" s="60">
        <f t="shared" si="100"/>
        <v>22.2002497918401</v>
      </c>
      <c r="I112" s="61"/>
      <c r="J112" s="62"/>
    </row>
    <row r="113" spans="1:10">
      <c r="A113">
        <v>630</v>
      </c>
      <c r="B113" s="55" t="s">
        <v>1870</v>
      </c>
      <c r="C113" s="56"/>
      <c r="D113" s="57">
        <v>11</v>
      </c>
      <c r="E113" s="58">
        <v>1.2902</v>
      </c>
      <c r="F113" s="57">
        <v>1</v>
      </c>
      <c r="G113" s="58">
        <v>4.25</v>
      </c>
      <c r="H113" s="60">
        <f t="shared" ref="H113:H120" si="105">(D113-G113)*250*100*F113*0.9/E113/10/1000</f>
        <v>11.7714307859247</v>
      </c>
      <c r="I113" s="61">
        <f t="shared" ref="I113" si="106">(H113+H114)/2</f>
        <v>11.714954665243</v>
      </c>
      <c r="J113" s="62">
        <f t="shared" ref="J113" si="107">(H113-H114)/I113*100</f>
        <v>0.964171391106494</v>
      </c>
    </row>
    <row r="114" spans="2:10">
      <c r="B114" s="55"/>
      <c r="C114" s="56"/>
      <c r="D114" s="57">
        <v>11</v>
      </c>
      <c r="E114" s="58">
        <v>1.3027</v>
      </c>
      <c r="F114" s="57">
        <v>1</v>
      </c>
      <c r="G114" s="58">
        <v>4.25</v>
      </c>
      <c r="H114" s="60">
        <f t="shared" si="105"/>
        <v>11.6584785445613</v>
      </c>
      <c r="I114" s="61"/>
      <c r="J114" s="62"/>
    </row>
    <row r="115" spans="2:10">
      <c r="B115" s="55" t="s">
        <v>1869</v>
      </c>
      <c r="C115" s="56"/>
      <c r="D115" s="57">
        <v>11</v>
      </c>
      <c r="E115" s="58">
        <v>1.2773</v>
      </c>
      <c r="F115" s="57">
        <v>1</v>
      </c>
      <c r="G115" s="58">
        <v>4.45</v>
      </c>
      <c r="H115" s="60">
        <f t="shared" si="105"/>
        <v>11.5380098645581</v>
      </c>
      <c r="I115" s="61">
        <f t="shared" ref="I115" si="108">(H115+H116)/2</f>
        <v>11.4071168203909</v>
      </c>
      <c r="J115" s="62">
        <f t="shared" ref="J115" si="109">(H115-H116)/I115*100</f>
        <v>2.29493650723658</v>
      </c>
    </row>
    <row r="116" spans="2:10">
      <c r="B116" s="55"/>
      <c r="C116" s="56"/>
      <c r="D116" s="57">
        <v>11</v>
      </c>
      <c r="E116" s="58">
        <v>1.2012</v>
      </c>
      <c r="F116" s="57">
        <v>1</v>
      </c>
      <c r="G116" s="58">
        <v>4.98</v>
      </c>
      <c r="H116" s="60">
        <f t="shared" si="105"/>
        <v>11.2762237762238</v>
      </c>
      <c r="I116" s="61"/>
      <c r="J116" s="62"/>
    </row>
    <row r="117" spans="2:10">
      <c r="B117" s="55" t="s">
        <v>1873</v>
      </c>
      <c r="C117" s="56"/>
      <c r="D117" s="57">
        <v>11</v>
      </c>
      <c r="E117" s="58">
        <v>1.3421</v>
      </c>
      <c r="F117" s="57">
        <v>1</v>
      </c>
      <c r="G117" s="58">
        <v>4.05</v>
      </c>
      <c r="H117" s="60">
        <f t="shared" si="105"/>
        <v>11.651516280456</v>
      </c>
      <c r="I117" s="61">
        <f t="shared" ref="I117" si="110">(H117+H118)/2</f>
        <v>11.4869483975809</v>
      </c>
      <c r="J117" s="62">
        <f t="shared" ref="J117" si="111">(H117-H118)/I117*100</f>
        <v>2.86530203112459</v>
      </c>
    </row>
    <row r="118" spans="2:10">
      <c r="B118" s="55"/>
      <c r="C118" s="56"/>
      <c r="D118" s="57">
        <v>11</v>
      </c>
      <c r="E118" s="58">
        <v>1.3056</v>
      </c>
      <c r="F118" s="57">
        <v>1</v>
      </c>
      <c r="G118" s="58">
        <v>4.43</v>
      </c>
      <c r="H118" s="60">
        <f t="shared" si="105"/>
        <v>11.3223805147059</v>
      </c>
      <c r="I118" s="61"/>
      <c r="J118" s="62"/>
    </row>
    <row r="119" spans="2:10">
      <c r="B119" s="55" t="s">
        <v>1874</v>
      </c>
      <c r="C119" s="56"/>
      <c r="D119" s="57">
        <v>11</v>
      </c>
      <c r="E119" s="58">
        <v>1.3883</v>
      </c>
      <c r="F119" s="57">
        <v>1</v>
      </c>
      <c r="G119" s="58">
        <v>3.7</v>
      </c>
      <c r="H119" s="60">
        <f t="shared" si="105"/>
        <v>11.8310163509328</v>
      </c>
      <c r="I119" s="61">
        <f t="shared" ref="I119" si="112">(H119+H120)/2</f>
        <v>11.5619559227234</v>
      </c>
      <c r="J119" s="62">
        <f t="shared" ref="J119" si="113">(H119-H120)/I119*100</f>
        <v>4.65423722435358</v>
      </c>
    </row>
    <row r="120" spans="2:10">
      <c r="B120" s="55"/>
      <c r="C120" s="56"/>
      <c r="D120" s="57">
        <v>11</v>
      </c>
      <c r="E120" s="58">
        <v>1.2851</v>
      </c>
      <c r="F120" s="57">
        <v>1</v>
      </c>
      <c r="G120" s="58">
        <v>4.55</v>
      </c>
      <c r="H120" s="60">
        <f t="shared" si="105"/>
        <v>11.292895494514</v>
      </c>
      <c r="I120" s="61"/>
      <c r="J120" s="62"/>
    </row>
    <row r="121" ht="17.25" spans="1:10">
      <c r="A121">
        <v>7.2</v>
      </c>
      <c r="B121" s="37" t="s">
        <v>1865</v>
      </c>
      <c r="D121" s="39">
        <v>11</v>
      </c>
      <c r="E121" s="40">
        <v>1.229</v>
      </c>
      <c r="F121" s="67">
        <v>1</v>
      </c>
      <c r="G121" s="67">
        <v>4.5</v>
      </c>
      <c r="H121" s="60">
        <f t="shared" ref="H121:H128" si="114">(D121-G121)*250*100*F121*0.9/E121/10/1000</f>
        <v>11.899918633035</v>
      </c>
      <c r="I121" s="61">
        <f>(H121+H122)/2</f>
        <v>11.899918633035</v>
      </c>
      <c r="J121" s="62">
        <f>(H121-H122)/I121*100</f>
        <v>0</v>
      </c>
    </row>
    <row r="122" ht="17.25" spans="2:10">
      <c r="B122" s="41"/>
      <c r="D122" s="39">
        <v>11</v>
      </c>
      <c r="E122" s="40">
        <v>1.229</v>
      </c>
      <c r="F122" s="67">
        <v>1</v>
      </c>
      <c r="G122" s="67">
        <v>4.5</v>
      </c>
      <c r="H122" s="60">
        <f t="shared" si="114"/>
        <v>11.899918633035</v>
      </c>
      <c r="I122" s="61"/>
      <c r="J122" s="62"/>
    </row>
    <row r="123" ht="17.25" spans="2:10">
      <c r="B123" s="37" t="s">
        <v>1866</v>
      </c>
      <c r="D123" s="39">
        <v>11</v>
      </c>
      <c r="E123" s="40">
        <v>1.2781</v>
      </c>
      <c r="F123" s="67">
        <v>1</v>
      </c>
      <c r="G123" s="67">
        <v>3.75</v>
      </c>
      <c r="H123" s="60">
        <f t="shared" si="114"/>
        <v>12.7630858305297</v>
      </c>
      <c r="I123" s="61">
        <f t="shared" ref="I123:I127" si="115">(H123+H124)/2</f>
        <v>12.7630858305297</v>
      </c>
      <c r="J123" s="62">
        <f t="shared" ref="J123:J127" si="116">(H123-H124)/I123*100</f>
        <v>0</v>
      </c>
    </row>
    <row r="124" ht="17.25" spans="2:10">
      <c r="B124" s="41"/>
      <c r="D124" s="39">
        <v>11</v>
      </c>
      <c r="E124" s="40">
        <v>1.2781</v>
      </c>
      <c r="F124" s="67">
        <v>1</v>
      </c>
      <c r="G124" s="67">
        <v>3.75</v>
      </c>
      <c r="H124" s="60">
        <f t="shared" si="114"/>
        <v>12.7630858305297</v>
      </c>
      <c r="I124" s="61"/>
      <c r="J124" s="62"/>
    </row>
    <row r="125" ht="17.25" spans="2:10">
      <c r="B125" s="37" t="s">
        <v>1867</v>
      </c>
      <c r="D125" s="39">
        <v>11</v>
      </c>
      <c r="E125" s="40">
        <v>1.201</v>
      </c>
      <c r="F125" s="67">
        <v>1</v>
      </c>
      <c r="G125" s="67">
        <v>4.15</v>
      </c>
      <c r="H125" s="60">
        <f t="shared" si="114"/>
        <v>12.8330557868443</v>
      </c>
      <c r="I125" s="61">
        <f t="shared" si="115"/>
        <v>12.8330557868443</v>
      </c>
      <c r="J125" s="62">
        <f t="shared" si="116"/>
        <v>0</v>
      </c>
    </row>
    <row r="126" ht="17.25" spans="2:10">
      <c r="B126" s="41"/>
      <c r="D126" s="39">
        <v>11</v>
      </c>
      <c r="E126" s="40">
        <v>1.201</v>
      </c>
      <c r="F126" s="67">
        <v>1</v>
      </c>
      <c r="G126" s="67">
        <v>4.15</v>
      </c>
      <c r="H126" s="60">
        <f t="shared" si="114"/>
        <v>12.8330557868443</v>
      </c>
      <c r="I126" s="61"/>
      <c r="J126" s="62"/>
    </row>
    <row r="127" ht="17.25" spans="2:10">
      <c r="B127" s="37" t="s">
        <v>2101</v>
      </c>
      <c r="D127" s="39">
        <v>11</v>
      </c>
      <c r="E127" s="40">
        <v>2.1098</v>
      </c>
      <c r="F127" s="67">
        <v>1</v>
      </c>
      <c r="G127" s="67">
        <v>6.4</v>
      </c>
      <c r="H127" s="60">
        <f t="shared" si="114"/>
        <v>4.9056782633425</v>
      </c>
      <c r="I127" s="61">
        <f t="shared" si="115"/>
        <v>4.92946424298024</v>
      </c>
      <c r="J127" s="62">
        <f t="shared" si="116"/>
        <v>-0.965053339077062</v>
      </c>
    </row>
    <row r="128" ht="15.95" customHeight="1" spans="2:10">
      <c r="B128" s="41"/>
      <c r="D128" s="39">
        <v>11</v>
      </c>
      <c r="E128" s="40">
        <v>2.0214</v>
      </c>
      <c r="F128" s="67">
        <v>1</v>
      </c>
      <c r="G128" s="67">
        <v>6.55</v>
      </c>
      <c r="H128" s="60">
        <f t="shared" si="114"/>
        <v>4.95325022261799</v>
      </c>
      <c r="I128" s="61"/>
      <c r="J128" s="62"/>
    </row>
    <row r="129" ht="20.25" spans="2:10">
      <c r="B129" s="37" t="s">
        <v>2102</v>
      </c>
      <c r="D129" s="39">
        <v>10.8</v>
      </c>
      <c r="E129" s="40">
        <v>2.3408</v>
      </c>
      <c r="F129" s="67">
        <v>1</v>
      </c>
      <c r="G129" s="28">
        <v>9.8</v>
      </c>
      <c r="H129" s="60">
        <f t="shared" ref="H129:H144" si="117">(D129-G129)*250*100*F129*0.9/E129/10/1000</f>
        <v>0.96120984278879</v>
      </c>
      <c r="I129" s="61">
        <f>(H129+H130)/2</f>
        <v>0.982965217388271</v>
      </c>
      <c r="J129" s="62">
        <f>(H129-H130)/I129*100</f>
        <v>-4.42647902787142</v>
      </c>
    </row>
    <row r="130" ht="20.25" spans="2:10">
      <c r="B130" s="41"/>
      <c r="D130" s="39">
        <v>10.8</v>
      </c>
      <c r="E130" s="40">
        <v>2.3514</v>
      </c>
      <c r="F130" s="67">
        <v>1</v>
      </c>
      <c r="G130" s="28">
        <v>9.75</v>
      </c>
      <c r="H130" s="60">
        <f t="shared" si="117"/>
        <v>1.00472059198775</v>
      </c>
      <c r="I130" s="61"/>
      <c r="J130" s="62"/>
    </row>
    <row r="131" ht="20.25" spans="2:10">
      <c r="B131" s="37" t="s">
        <v>2103</v>
      </c>
      <c r="D131" s="39">
        <v>10.8</v>
      </c>
      <c r="E131" s="40">
        <v>1.7608</v>
      </c>
      <c r="F131" s="67">
        <v>1</v>
      </c>
      <c r="G131" s="28">
        <v>9.95</v>
      </c>
      <c r="H131" s="60">
        <f t="shared" si="117"/>
        <v>1.08615402089959</v>
      </c>
      <c r="I131" s="61">
        <f>(H131+H132)/2</f>
        <v>1.04907401194905</v>
      </c>
      <c r="J131" s="62">
        <f>(H131-H132)/I131*100</f>
        <v>7.06909303408553</v>
      </c>
    </row>
    <row r="132" ht="20.25" spans="2:10">
      <c r="B132" s="41"/>
      <c r="D132" s="39">
        <v>10.8</v>
      </c>
      <c r="E132" s="40">
        <v>2.001</v>
      </c>
      <c r="F132" s="67">
        <v>1</v>
      </c>
      <c r="G132" s="28">
        <v>9.9</v>
      </c>
      <c r="H132" s="60">
        <f t="shared" si="117"/>
        <v>1.0119940029985</v>
      </c>
      <c r="I132" s="61"/>
      <c r="J132" s="62"/>
    </row>
    <row r="133" ht="20.25" spans="2:10">
      <c r="B133" s="37" t="s">
        <v>2104</v>
      </c>
      <c r="D133" s="39">
        <v>10.8</v>
      </c>
      <c r="E133" s="40">
        <v>2.0326</v>
      </c>
      <c r="F133" s="67">
        <v>1</v>
      </c>
      <c r="G133" s="28">
        <v>8.5</v>
      </c>
      <c r="H133" s="60">
        <f t="shared" si="117"/>
        <v>2.54600019679229</v>
      </c>
      <c r="I133" s="61">
        <f t="shared" ref="I133:I135" si="118">(H133+H134)/2</f>
        <v>1.22163023538244</v>
      </c>
      <c r="J133" s="62">
        <f t="shared" ref="J133:J135" si="119">(H133-H134)/I133*100</f>
        <v>216.820102032794</v>
      </c>
    </row>
    <row r="134" ht="20.25" spans="2:10">
      <c r="B134" s="41"/>
      <c r="D134" s="39">
        <v>10.8</v>
      </c>
      <c r="E134" s="40">
        <v>2.19</v>
      </c>
      <c r="F134" s="67">
        <v>1</v>
      </c>
      <c r="G134" s="28">
        <v>10.9</v>
      </c>
      <c r="H134" s="60">
        <f t="shared" si="117"/>
        <v>-0.102739726027397</v>
      </c>
      <c r="I134" s="61"/>
      <c r="J134" s="62"/>
    </row>
    <row r="135" ht="20.25" spans="2:10">
      <c r="B135" s="37" t="s">
        <v>2105</v>
      </c>
      <c r="D135" s="39">
        <v>10.8</v>
      </c>
      <c r="E135" s="40">
        <v>1.9851</v>
      </c>
      <c r="F135" s="67">
        <v>1</v>
      </c>
      <c r="G135" s="28">
        <v>7</v>
      </c>
      <c r="H135" s="60">
        <f t="shared" si="117"/>
        <v>4.30708780414085</v>
      </c>
      <c r="I135" s="61">
        <f t="shared" si="118"/>
        <v>2.22444726341496</v>
      </c>
      <c r="J135" s="62">
        <f t="shared" si="119"/>
        <v>187.250160970652</v>
      </c>
    </row>
    <row r="136" ht="20.25" spans="2:10">
      <c r="B136" s="41"/>
      <c r="D136" s="39">
        <v>10.8</v>
      </c>
      <c r="E136" s="40">
        <v>2.38</v>
      </c>
      <c r="F136" s="67">
        <v>1</v>
      </c>
      <c r="G136" s="28">
        <v>10.65</v>
      </c>
      <c r="H136" s="60">
        <f t="shared" si="117"/>
        <v>0.141806722689076</v>
      </c>
      <c r="I136" s="61"/>
      <c r="J136" s="62"/>
    </row>
    <row r="137" ht="20.25" spans="2:10">
      <c r="B137" s="37" t="s">
        <v>2106</v>
      </c>
      <c r="D137" s="39">
        <v>11</v>
      </c>
      <c r="E137" s="40">
        <v>2.1547</v>
      </c>
      <c r="F137" s="67">
        <v>1</v>
      </c>
      <c r="G137" s="28">
        <v>5.6</v>
      </c>
      <c r="H137" s="60">
        <f t="shared" si="117"/>
        <v>5.6388360328584</v>
      </c>
      <c r="I137" s="61">
        <f t="shared" ref="I137:I141" si="120">(H137+H138)/2</f>
        <v>5.7659419446192</v>
      </c>
      <c r="J137" s="62">
        <f t="shared" ref="J137:J141" si="121">(H137-H138)/I137*100</f>
        <v>-4.40885159724567</v>
      </c>
    </row>
    <row r="138" ht="20.25" spans="2:10">
      <c r="B138" s="41"/>
      <c r="D138" s="39">
        <v>11</v>
      </c>
      <c r="E138" s="40">
        <v>1.9663</v>
      </c>
      <c r="F138" s="67">
        <v>1</v>
      </c>
      <c r="G138" s="28">
        <v>5.85</v>
      </c>
      <c r="H138" s="60">
        <f t="shared" si="117"/>
        <v>5.89304785638</v>
      </c>
      <c r="I138" s="61"/>
      <c r="J138" s="62"/>
    </row>
    <row r="139" ht="17.25" spans="2:10">
      <c r="B139" s="37" t="s">
        <v>2107</v>
      </c>
      <c r="C139" s="47" t="s">
        <v>1916</v>
      </c>
      <c r="D139" s="39">
        <v>10.85</v>
      </c>
      <c r="E139" s="40">
        <v>1.0132</v>
      </c>
      <c r="F139" s="67">
        <v>2</v>
      </c>
      <c r="G139" s="67">
        <v>7.65</v>
      </c>
      <c r="H139" s="60">
        <f t="shared" si="117"/>
        <v>14.2123963679431</v>
      </c>
      <c r="I139" s="61">
        <f t="shared" si="120"/>
        <v>14.2123963679431</v>
      </c>
      <c r="J139" s="62">
        <f t="shared" si="121"/>
        <v>0</v>
      </c>
    </row>
    <row r="140" ht="17.25" spans="2:10">
      <c r="B140" s="41"/>
      <c r="D140" s="39">
        <v>10.85</v>
      </c>
      <c r="E140" s="40">
        <v>1.0132</v>
      </c>
      <c r="F140" s="67">
        <v>2</v>
      </c>
      <c r="G140" s="67">
        <v>7.65</v>
      </c>
      <c r="H140" s="60">
        <f t="shared" si="117"/>
        <v>14.2123963679431</v>
      </c>
      <c r="I140" s="61"/>
      <c r="J140" s="62"/>
    </row>
    <row r="141" ht="20.25" spans="2:10">
      <c r="B141" s="37" t="s">
        <v>1915</v>
      </c>
      <c r="D141" s="39">
        <v>11.1</v>
      </c>
      <c r="E141" s="40">
        <v>1.0844</v>
      </c>
      <c r="F141" s="67">
        <v>1</v>
      </c>
      <c r="G141" s="28">
        <v>4.7</v>
      </c>
      <c r="H141" s="60">
        <f t="shared" si="117"/>
        <v>13.2792327554408</v>
      </c>
      <c r="I141" s="61">
        <f t="shared" si="120"/>
        <v>13.2792327554408</v>
      </c>
      <c r="J141" s="62">
        <f t="shared" si="121"/>
        <v>0</v>
      </c>
    </row>
    <row r="142" ht="20.25" spans="2:10">
      <c r="B142" s="41"/>
      <c r="D142" s="39">
        <v>11.1</v>
      </c>
      <c r="E142" s="40">
        <v>1.0844</v>
      </c>
      <c r="F142" s="67">
        <v>1</v>
      </c>
      <c r="G142" s="28">
        <v>4.7</v>
      </c>
      <c r="H142" s="60">
        <f t="shared" si="117"/>
        <v>13.2792327554408</v>
      </c>
      <c r="I142" s="61"/>
      <c r="J142" s="62"/>
    </row>
    <row r="143" ht="20.25" spans="2:10">
      <c r="B143" s="37" t="s">
        <v>2107</v>
      </c>
      <c r="D143" s="39">
        <v>11.1</v>
      </c>
      <c r="E143" s="40">
        <v>1.0401</v>
      </c>
      <c r="F143" s="67">
        <v>2</v>
      </c>
      <c r="G143" s="28">
        <v>7.9</v>
      </c>
      <c r="H143" s="60">
        <f t="shared" si="117"/>
        <v>13.8448226132103</v>
      </c>
      <c r="I143" s="61">
        <f>(H143+H144)/2</f>
        <v>13.8448226132103</v>
      </c>
      <c r="J143" s="62">
        <f>(H143-H144)/I143*100</f>
        <v>0</v>
      </c>
    </row>
    <row r="144" ht="20.25" spans="2:10">
      <c r="B144" s="41"/>
      <c r="D144" s="39">
        <v>11.1</v>
      </c>
      <c r="E144" s="40">
        <v>1.0401</v>
      </c>
      <c r="F144" s="67">
        <v>2</v>
      </c>
      <c r="G144" s="28">
        <v>7.9</v>
      </c>
      <c r="H144" s="60">
        <f t="shared" si="117"/>
        <v>13.8448226132103</v>
      </c>
      <c r="I144" s="61"/>
      <c r="J144" s="62"/>
    </row>
    <row r="789" spans="2:8">
      <c r="B789" s="46" t="s">
        <v>2108</v>
      </c>
      <c r="C789" s="47" t="s">
        <v>2109</v>
      </c>
      <c r="E789" s="47">
        <v>8.1945</v>
      </c>
      <c r="H789" s="48">
        <v>10.3</v>
      </c>
    </row>
    <row r="790" spans="5:8">
      <c r="E790" s="47">
        <v>8.1523</v>
      </c>
      <c r="H790" s="48">
        <v>10.28</v>
      </c>
    </row>
  </sheetData>
  <mergeCells count="260">
    <mergeCell ref="B2:B3"/>
    <mergeCell ref="B4:B5"/>
    <mergeCell ref="B7:B8"/>
    <mergeCell ref="B9:B10"/>
    <mergeCell ref="B11:B12"/>
    <mergeCell ref="B13:B14"/>
    <mergeCell ref="B15:B16"/>
    <mergeCell ref="B17:B18"/>
    <mergeCell ref="B20:B21"/>
    <mergeCell ref="B22:B23"/>
    <mergeCell ref="B25:B26"/>
    <mergeCell ref="B27:B28"/>
    <mergeCell ref="B29:B30"/>
    <mergeCell ref="B31:B32"/>
    <mergeCell ref="B35:B36"/>
    <mergeCell ref="B38:B39"/>
    <mergeCell ref="B40:B41"/>
    <mergeCell ref="B42:B43"/>
    <mergeCell ref="B44:B45"/>
    <mergeCell ref="B46:B47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C2:C3"/>
    <mergeCell ref="C4:C5"/>
    <mergeCell ref="C7:C8"/>
    <mergeCell ref="C9:C10"/>
    <mergeCell ref="C11:C12"/>
    <mergeCell ref="C13:C14"/>
    <mergeCell ref="C15:C16"/>
    <mergeCell ref="C17:C18"/>
    <mergeCell ref="C20:C21"/>
    <mergeCell ref="C22:C23"/>
    <mergeCell ref="C25:C26"/>
    <mergeCell ref="C27:C28"/>
    <mergeCell ref="C29:C30"/>
    <mergeCell ref="C31:C32"/>
    <mergeCell ref="C35:C36"/>
    <mergeCell ref="C38:C39"/>
    <mergeCell ref="C40:C41"/>
    <mergeCell ref="C42:C43"/>
    <mergeCell ref="C44:C45"/>
    <mergeCell ref="C46:C47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I2:I3"/>
    <mergeCell ref="I4:I5"/>
    <mergeCell ref="I7:I8"/>
    <mergeCell ref="I9:I10"/>
    <mergeCell ref="I11:I12"/>
    <mergeCell ref="I13:I14"/>
    <mergeCell ref="I15:I16"/>
    <mergeCell ref="I17:I18"/>
    <mergeCell ref="I20:I21"/>
    <mergeCell ref="I22:I23"/>
    <mergeCell ref="I25:I26"/>
    <mergeCell ref="I27:I28"/>
    <mergeCell ref="I29:I30"/>
    <mergeCell ref="I31:I32"/>
    <mergeCell ref="I35:I36"/>
    <mergeCell ref="I38:I39"/>
    <mergeCell ref="I40:I41"/>
    <mergeCell ref="I42:I43"/>
    <mergeCell ref="I44:I45"/>
    <mergeCell ref="I46:I47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J2:J3"/>
    <mergeCell ref="J4:J5"/>
    <mergeCell ref="J7:J8"/>
    <mergeCell ref="J9:J10"/>
    <mergeCell ref="J11:J12"/>
    <mergeCell ref="J13:J14"/>
    <mergeCell ref="J15:J16"/>
    <mergeCell ref="J17:J18"/>
    <mergeCell ref="J20:J21"/>
    <mergeCell ref="J22:J23"/>
    <mergeCell ref="J25:J26"/>
    <mergeCell ref="J27:J28"/>
    <mergeCell ref="J29:J30"/>
    <mergeCell ref="J31:J32"/>
    <mergeCell ref="J35:J36"/>
    <mergeCell ref="J38:J39"/>
    <mergeCell ref="J40:J41"/>
    <mergeCell ref="J42:J43"/>
    <mergeCell ref="J44:J45"/>
    <mergeCell ref="J46:J47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</mergeCells>
  <pageMargins left="0.75" right="0.75" top="1" bottom="1" header="0.511805555555556" footer="0.511805555555556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I105"/>
  <sheetViews>
    <sheetView workbookViewId="0">
      <pane ySplit="1" topLeftCell="A85" activePane="bottomLeft" state="frozen"/>
      <selection/>
      <selection pane="bottomLeft" activeCell="C106" sqref="C106"/>
    </sheetView>
  </sheetViews>
  <sheetFormatPr defaultColWidth="9" defaultRowHeight="13.5"/>
  <cols>
    <col min="1" max="1" width="22" customWidth="1"/>
    <col min="2" max="2" width="14.625" customWidth="1"/>
    <col min="4" max="4" width="24.625" customWidth="1"/>
    <col min="6" max="6" width="18.375" customWidth="1"/>
    <col min="9" max="9" width="12.625"/>
  </cols>
  <sheetData>
    <row r="1" ht="40.5" spans="1:8">
      <c r="A1" s="20" t="s">
        <v>2</v>
      </c>
      <c r="B1" s="21" t="s">
        <v>368</v>
      </c>
      <c r="C1" s="20" t="s">
        <v>140</v>
      </c>
      <c r="D1" s="22" t="s">
        <v>141</v>
      </c>
      <c r="E1" s="21" t="s">
        <v>143</v>
      </c>
      <c r="F1" s="23" t="s">
        <v>144</v>
      </c>
      <c r="G1" s="24" t="s">
        <v>145</v>
      </c>
      <c r="H1" s="25" t="s">
        <v>146</v>
      </c>
    </row>
    <row r="2" ht="20.25" spans="1:8">
      <c r="A2" s="26" t="s">
        <v>2110</v>
      </c>
      <c r="B2" s="27" t="s">
        <v>2062</v>
      </c>
      <c r="C2" s="28">
        <v>11.2</v>
      </c>
      <c r="D2" s="29">
        <v>10.4272</v>
      </c>
      <c r="E2" s="28">
        <v>10.15</v>
      </c>
      <c r="F2" s="30">
        <f>(C2-E2)*250*100*100*0.9/D2/10/1000/50</f>
        <v>0.453141783029001</v>
      </c>
      <c r="G2" s="31">
        <f t="shared" ref="G2" si="0">(F2+F3)/2</f>
        <v>0.453141783029001</v>
      </c>
      <c r="H2" s="32">
        <f t="shared" ref="H2" si="1">ROUND((F2-F3)/G2*100,1)</f>
        <v>0</v>
      </c>
    </row>
    <row r="3" ht="20.25" spans="1:8">
      <c r="A3" s="33"/>
      <c r="B3" s="34"/>
      <c r="C3" s="28">
        <v>11.2</v>
      </c>
      <c r="D3" s="29">
        <v>10.4272</v>
      </c>
      <c r="E3" s="28">
        <v>10.15</v>
      </c>
      <c r="F3" s="30">
        <f>(C3-E3)*250*100*100*0.9/D3/10/1000/50</f>
        <v>0.453141783029001</v>
      </c>
      <c r="G3" s="35"/>
      <c r="H3" s="36"/>
    </row>
    <row r="6" ht="20.25" spans="1:8">
      <c r="A6" s="26" t="s">
        <v>2111</v>
      </c>
      <c r="B6" s="27" t="s">
        <v>2112</v>
      </c>
      <c r="C6" s="28">
        <v>11.35</v>
      </c>
      <c r="D6" s="29">
        <v>2.2576</v>
      </c>
      <c r="E6" s="28">
        <v>5.3</v>
      </c>
      <c r="F6" s="30">
        <f>(C6-E6)*250*100*100*0.9/D6/10/1000/50</f>
        <v>12.0592664776754</v>
      </c>
      <c r="G6" s="31">
        <f t="shared" ref="G6" si="2">(F6+F7)/2</f>
        <v>12.0385058441171</v>
      </c>
      <c r="H6" s="32">
        <f t="shared" ref="H6" si="3">ROUND((F6-F7)/G6*100,1)</f>
        <v>0.3</v>
      </c>
    </row>
    <row r="7" ht="20.25" spans="1:8">
      <c r="A7" s="33"/>
      <c r="B7" s="34"/>
      <c r="C7" s="28">
        <v>11.35</v>
      </c>
      <c r="D7" s="29">
        <v>2.2654</v>
      </c>
      <c r="E7" s="28">
        <v>5.3</v>
      </c>
      <c r="F7" s="30">
        <f>(C7-E7)*250*100*100*0.9/D7/10/1000/50</f>
        <v>12.0177452105588</v>
      </c>
      <c r="G7" s="35"/>
      <c r="H7" s="36"/>
    </row>
    <row r="8" ht="20.25" spans="1:8">
      <c r="A8" s="26" t="s">
        <v>2113</v>
      </c>
      <c r="B8" s="27" t="s">
        <v>2114</v>
      </c>
      <c r="C8" s="28">
        <v>11.35</v>
      </c>
      <c r="D8" s="29">
        <v>2.0404</v>
      </c>
      <c r="E8" s="28">
        <v>5.8</v>
      </c>
      <c r="F8" s="30">
        <f>(C8-E8)*250*100*100*0.9/D8/10/1000/50</f>
        <v>12.2402470103901</v>
      </c>
      <c r="G8" s="31">
        <f t="shared" ref="G8" si="4">(F8+F9)/2</f>
        <v>12.2330567340966</v>
      </c>
      <c r="H8" s="32">
        <f t="shared" ref="H8" si="5">ROUND((F8-F9)/G8*100,1)</f>
        <v>0.1</v>
      </c>
    </row>
    <row r="9" ht="20.25" spans="1:8">
      <c r="A9" s="33"/>
      <c r="B9" s="34"/>
      <c r="C9" s="28">
        <v>11.35</v>
      </c>
      <c r="D9" s="29">
        <v>2.0428</v>
      </c>
      <c r="E9" s="28">
        <v>5.8</v>
      </c>
      <c r="F9" s="30">
        <f>(C9-E9)*250*100*100*0.9/D9/10/1000/50</f>
        <v>12.225866457803</v>
      </c>
      <c r="G9" s="35"/>
      <c r="H9" s="36"/>
    </row>
    <row r="11" ht="20.25" spans="1:8">
      <c r="A11" s="37" t="s">
        <v>2115</v>
      </c>
      <c r="B11" s="38" t="s">
        <v>2116</v>
      </c>
      <c r="C11" s="39">
        <v>11.4</v>
      </c>
      <c r="D11" s="40">
        <v>4.1047</v>
      </c>
      <c r="E11" s="28">
        <v>11</v>
      </c>
      <c r="F11" s="30">
        <f>(C11-E11)*250*100*100*0.9/D11/10/1000/50</f>
        <v>0.438521694642727</v>
      </c>
      <c r="G11" s="31">
        <f t="shared" ref="G11" si="6">(F11+F12)/2</f>
        <v>0.438111153711793</v>
      </c>
      <c r="H11" s="32">
        <f t="shared" ref="H11" si="7">ROUND((F11-F12)/G11*100,1)</f>
        <v>0.2</v>
      </c>
    </row>
    <row r="12" ht="20.25" spans="1:8">
      <c r="A12" s="41"/>
      <c r="B12" s="42"/>
      <c r="C12" s="39">
        <v>11.4</v>
      </c>
      <c r="D12" s="40">
        <v>4.1124</v>
      </c>
      <c r="E12" s="28">
        <v>11</v>
      </c>
      <c r="F12" s="30">
        <f>(C12-E12)*250*100*100*0.9/D12/10/1000/50</f>
        <v>0.437700612780858</v>
      </c>
      <c r="G12" s="35"/>
      <c r="H12" s="36"/>
    </row>
    <row r="13" ht="20.25" spans="1:8">
      <c r="A13" s="37" t="s">
        <v>2117</v>
      </c>
      <c r="B13" s="38" t="s">
        <v>2116</v>
      </c>
      <c r="C13" s="39">
        <v>11.4</v>
      </c>
      <c r="D13" s="40">
        <v>4.9156</v>
      </c>
      <c r="E13" s="28">
        <v>11</v>
      </c>
      <c r="F13" s="30">
        <f>(C13-E13)*250*100*100*0.9/D13/10/1000/50</f>
        <v>0.366181137602734</v>
      </c>
      <c r="G13" s="31">
        <f t="shared" ref="G13" si="8">(F13+F14)/2</f>
        <v>0.365891072518311</v>
      </c>
      <c r="H13" s="32">
        <f t="shared" ref="H13" si="9">ROUND((F13-F14)/G13*100,1)</f>
        <v>0.2</v>
      </c>
    </row>
    <row r="14" ht="20.25" spans="1:8">
      <c r="A14" s="41"/>
      <c r="B14" s="42"/>
      <c r="C14" s="39">
        <v>11.4</v>
      </c>
      <c r="D14" s="40">
        <v>4.9234</v>
      </c>
      <c r="E14" s="28">
        <v>11</v>
      </c>
      <c r="F14" s="30">
        <f>(C14-E14)*250*100*100*0.9/D14/10/1000/50</f>
        <v>0.365601007433887</v>
      </c>
      <c r="G14" s="35"/>
      <c r="H14" s="36"/>
    </row>
    <row r="16" ht="20.25" spans="1:8">
      <c r="A16" s="37" t="s">
        <v>1935</v>
      </c>
      <c r="B16" s="38" t="s">
        <v>1936</v>
      </c>
      <c r="C16" s="39">
        <v>11.3</v>
      </c>
      <c r="D16" s="40">
        <v>2.6219</v>
      </c>
      <c r="E16" s="28">
        <v>4.7</v>
      </c>
      <c r="F16" s="30">
        <f>(C16-E16)*250*100*100*0.9/D16/10/1000/50</f>
        <v>11.3276631450475</v>
      </c>
      <c r="G16" s="31">
        <f t="shared" ref="G16" si="10">(F16+F17)/2</f>
        <v>11.0898765886009</v>
      </c>
      <c r="H16" s="32">
        <f t="shared" ref="H16" si="11">ROUND((F16-F17)/G16*100,1)</f>
        <v>4.3</v>
      </c>
    </row>
    <row r="17" ht="20.25" spans="1:8">
      <c r="A17" s="41"/>
      <c r="B17" s="42"/>
      <c r="C17" s="39">
        <v>11.3</v>
      </c>
      <c r="D17" s="40">
        <v>2.488</v>
      </c>
      <c r="E17" s="28">
        <v>5.3</v>
      </c>
      <c r="F17" s="30">
        <f>(C17-E17)*250*100*100*0.9/D17/10/1000/50</f>
        <v>10.8520900321543</v>
      </c>
      <c r="G17" s="35"/>
      <c r="H17" s="36"/>
    </row>
    <row r="19" ht="20.25" spans="1:8">
      <c r="A19" s="37" t="s">
        <v>2118</v>
      </c>
      <c r="B19" s="38" t="s">
        <v>1936</v>
      </c>
      <c r="C19" s="39">
        <v>11.4</v>
      </c>
      <c r="D19" s="40">
        <v>1.0706</v>
      </c>
      <c r="E19" s="28">
        <v>4.7</v>
      </c>
      <c r="F19" s="30">
        <f t="shared" ref="F19:F24" si="12">(C19-E19)*250*100*100*0.9/D19/10/1000/50</f>
        <v>28.1617784419951</v>
      </c>
      <c r="G19" s="31">
        <f t="shared" ref="G19" si="13">(F19+F20)/2</f>
        <v>26.3618998733437</v>
      </c>
      <c r="H19" s="32">
        <f t="shared" ref="H19" si="14">ROUND((F19-F20)/G19*100,1)</f>
        <v>13.7</v>
      </c>
    </row>
    <row r="20" ht="20.25" spans="1:8">
      <c r="A20" s="41"/>
      <c r="B20" s="42"/>
      <c r="C20" s="39">
        <v>11.4</v>
      </c>
      <c r="D20" s="40">
        <v>1.1359</v>
      </c>
      <c r="E20" s="28">
        <v>5.2</v>
      </c>
      <c r="F20" s="30">
        <f t="shared" si="12"/>
        <v>24.5620213046923</v>
      </c>
      <c r="G20" s="35"/>
      <c r="H20" s="36"/>
    </row>
    <row r="21" ht="20.25" spans="1:8">
      <c r="A21" s="37" t="s">
        <v>1949</v>
      </c>
      <c r="B21" s="38" t="s">
        <v>1936</v>
      </c>
      <c r="C21" s="39">
        <v>10.8</v>
      </c>
      <c r="D21" s="40">
        <v>1.2535</v>
      </c>
      <c r="E21" s="28">
        <v>4.2</v>
      </c>
      <c r="F21" s="30">
        <f t="shared" si="12"/>
        <v>23.6936577582768</v>
      </c>
      <c r="G21" s="31">
        <f t="shared" ref="G21" si="15">(F21+F22)/2</f>
        <v>23.6936577582768</v>
      </c>
      <c r="H21" s="32">
        <f t="shared" ref="H21" si="16">ROUND((F21-F22)/G21*100,1)</f>
        <v>0</v>
      </c>
    </row>
    <row r="22" ht="20.25" spans="1:8">
      <c r="A22" s="41"/>
      <c r="B22" s="42"/>
      <c r="C22" s="39">
        <v>10.8</v>
      </c>
      <c r="D22" s="40">
        <v>1.2535</v>
      </c>
      <c r="E22" s="28">
        <v>4.2</v>
      </c>
      <c r="F22" s="30">
        <f t="shared" si="12"/>
        <v>23.6936577582768</v>
      </c>
      <c r="G22" s="35"/>
      <c r="H22" s="36"/>
    </row>
    <row r="23" ht="20.25" spans="1:8">
      <c r="A23" s="37" t="s">
        <v>2119</v>
      </c>
      <c r="B23" s="38" t="s">
        <v>2120</v>
      </c>
      <c r="C23" s="39">
        <v>11.4</v>
      </c>
      <c r="D23" s="40">
        <v>1.0343</v>
      </c>
      <c r="E23" s="28">
        <v>7.3</v>
      </c>
      <c r="F23" s="30">
        <f t="shared" si="12"/>
        <v>17.8381514067485</v>
      </c>
      <c r="G23" s="31">
        <f t="shared" ref="G23" si="17">(F23+F24)/2</f>
        <v>18.2484752727866</v>
      </c>
      <c r="H23" s="32">
        <f t="shared" ref="H23" si="18">ROUND((F23-F24)/G23*100,1)</f>
        <v>-4.5</v>
      </c>
    </row>
    <row r="24" ht="20.25" spans="1:8">
      <c r="A24" s="41"/>
      <c r="B24" s="42"/>
      <c r="C24" s="39">
        <v>11.4</v>
      </c>
      <c r="D24" s="40">
        <v>1.2541</v>
      </c>
      <c r="E24" s="28">
        <v>6.2</v>
      </c>
      <c r="F24" s="30">
        <f t="shared" si="12"/>
        <v>18.6587991388247</v>
      </c>
      <c r="G24" s="35"/>
      <c r="H24" s="36"/>
    </row>
    <row r="25" ht="20.25" spans="1:8">
      <c r="A25" s="37" t="s">
        <v>399</v>
      </c>
      <c r="B25" s="38" t="s">
        <v>1953</v>
      </c>
      <c r="C25" s="39">
        <v>11.4</v>
      </c>
      <c r="D25" s="40">
        <v>2.793</v>
      </c>
      <c r="E25" s="28">
        <v>3.25</v>
      </c>
      <c r="F25" s="30">
        <f t="shared" ref="F25:F26" si="19">(C25-E25)*250*100*100*0.9/D25/10/1000/50</f>
        <v>13.1310418904404</v>
      </c>
      <c r="G25" s="31">
        <f t="shared" ref="G25" si="20">(F25+F26)/2</f>
        <v>13.1689952055518</v>
      </c>
      <c r="H25" s="32">
        <f t="shared" ref="H25" si="21">ROUND((F25-F26)/G25*100,1)</f>
        <v>-0.6</v>
      </c>
    </row>
    <row r="26" ht="20.25" spans="1:8">
      <c r="A26" s="41"/>
      <c r="B26" s="42"/>
      <c r="C26" s="39">
        <v>11.4</v>
      </c>
      <c r="D26" s="40">
        <v>2.5214</v>
      </c>
      <c r="E26" s="28">
        <v>4</v>
      </c>
      <c r="F26" s="30">
        <f t="shared" si="19"/>
        <v>13.2069485206631</v>
      </c>
      <c r="G26" s="35"/>
      <c r="H26" s="36"/>
    </row>
    <row r="27" ht="20.25" spans="1:8">
      <c r="A27" s="37" t="s">
        <v>1533</v>
      </c>
      <c r="B27" s="38" t="s">
        <v>1953</v>
      </c>
      <c r="C27" s="39">
        <v>11.4</v>
      </c>
      <c r="D27" s="40">
        <v>1.0193</v>
      </c>
      <c r="E27" s="28">
        <v>10.05</v>
      </c>
      <c r="F27" s="30">
        <f t="shared" ref="F27:F28" si="22">(C27-E27)*250*100*100*0.9/D27/10/1000/50</f>
        <v>5.95997253016776</v>
      </c>
      <c r="G27" s="31">
        <f t="shared" ref="G27" si="23">(F27+F28)/2</f>
        <v>5.95997253016776</v>
      </c>
      <c r="H27" s="32">
        <f t="shared" ref="H27" si="24">ROUND((F27-F28)/G27*100,1)</f>
        <v>0</v>
      </c>
    </row>
    <row r="28" ht="20.25" spans="1:8">
      <c r="A28" s="41"/>
      <c r="B28" s="42"/>
      <c r="C28" s="39">
        <v>11.4</v>
      </c>
      <c r="D28" s="40">
        <v>1.0193</v>
      </c>
      <c r="E28" s="28">
        <v>10.05</v>
      </c>
      <c r="F28" s="30">
        <f t="shared" si="22"/>
        <v>5.95997253016776</v>
      </c>
      <c r="G28" s="35"/>
      <c r="H28" s="36"/>
    </row>
    <row r="30" ht="20.25" spans="1:8">
      <c r="A30" s="37" t="s">
        <v>2121</v>
      </c>
      <c r="B30" s="38"/>
      <c r="C30" s="39">
        <v>11.4</v>
      </c>
      <c r="D30" s="40">
        <v>1.6597</v>
      </c>
      <c r="E30" s="28">
        <v>4.2</v>
      </c>
      <c r="F30" s="30">
        <f t="shared" ref="F30:F31" si="25">(C30-E30)*250*100*100*0.9/D30/10/1000/50</f>
        <v>19.5216002892089</v>
      </c>
      <c r="G30" s="31">
        <f t="shared" ref="G30" si="26">(F30+F31)/2</f>
        <v>19.3888915170794</v>
      </c>
      <c r="H30" s="32">
        <f t="shared" ref="H30" si="27">ROUND((F30-F31)/G30*100,1)</f>
        <v>1.4</v>
      </c>
    </row>
    <row r="31" ht="20.25" spans="1:8">
      <c r="A31" s="41"/>
      <c r="B31" s="42"/>
      <c r="C31" s="39">
        <v>11.4</v>
      </c>
      <c r="D31" s="40">
        <v>1.5891</v>
      </c>
      <c r="E31" s="28">
        <v>4.6</v>
      </c>
      <c r="F31" s="30">
        <f t="shared" si="25"/>
        <v>19.25618274495</v>
      </c>
      <c r="G31" s="35"/>
      <c r="H31" s="36"/>
    </row>
    <row r="32" ht="20.25" spans="1:8">
      <c r="A32" s="37" t="s">
        <v>2122</v>
      </c>
      <c r="B32" s="38"/>
      <c r="C32" s="39">
        <v>11.3</v>
      </c>
      <c r="D32" s="40">
        <v>1.6324</v>
      </c>
      <c r="E32" s="28">
        <v>7.3</v>
      </c>
      <c r="F32" s="30">
        <f t="shared" ref="F32:F33" si="28">(C32-E32)*250*100*100*0.9/D32/10/1000/50</f>
        <v>11.0267091399167</v>
      </c>
      <c r="G32" s="31">
        <f t="shared" ref="G32" si="29">(F32+F33)/2</f>
        <v>11.1083572663452</v>
      </c>
      <c r="H32" s="32">
        <f t="shared" ref="H32" si="30">ROUND((F32-F33)/G32*100,1)</f>
        <v>-1.5</v>
      </c>
    </row>
    <row r="33" ht="28.5" customHeight="1" spans="1:8">
      <c r="A33" s="41"/>
      <c r="B33" s="42"/>
      <c r="C33" s="39">
        <v>11.3</v>
      </c>
      <c r="D33" s="40">
        <v>1.6689</v>
      </c>
      <c r="E33" s="28">
        <v>7.15</v>
      </c>
      <c r="F33" s="30">
        <f t="shared" si="28"/>
        <v>11.1900053927737</v>
      </c>
      <c r="G33" s="35"/>
      <c r="H33" s="36"/>
    </row>
    <row r="34" ht="20.25" spans="1:8">
      <c r="A34" s="37" t="s">
        <v>2123</v>
      </c>
      <c r="B34" s="38"/>
      <c r="C34" s="39">
        <v>11.3</v>
      </c>
      <c r="D34" s="40">
        <v>1.6015</v>
      </c>
      <c r="E34" s="28">
        <v>8.4</v>
      </c>
      <c r="F34" s="30">
        <f t="shared" ref="F34:F35" si="31">(C34-E34)*250*100*100*0.9/D34/10/1000/50</f>
        <v>8.14861067748986</v>
      </c>
      <c r="G34" s="31">
        <f t="shared" ref="G34" si="32">(F34+F35)/2</f>
        <v>8.10608960523926</v>
      </c>
      <c r="H34" s="32">
        <f t="shared" ref="H34" si="33">ROUND((F34-F35)/G34*100,1)</f>
        <v>1</v>
      </c>
    </row>
    <row r="35" ht="20.25" spans="1:8">
      <c r="A35" s="41"/>
      <c r="B35" s="42"/>
      <c r="C35" s="39">
        <v>11.3</v>
      </c>
      <c r="D35" s="40">
        <v>1.7021</v>
      </c>
      <c r="E35" s="28">
        <v>8.25</v>
      </c>
      <c r="F35" s="30">
        <f t="shared" si="31"/>
        <v>8.06356853298866</v>
      </c>
      <c r="G35" s="35"/>
      <c r="H35" s="36"/>
    </row>
    <row r="36" ht="20.25" spans="1:8">
      <c r="A36" s="37" t="s">
        <v>2124</v>
      </c>
      <c r="B36" s="38"/>
      <c r="C36" s="39">
        <v>11.3</v>
      </c>
      <c r="D36" s="40">
        <v>2.674</v>
      </c>
      <c r="E36" s="28">
        <v>8.7</v>
      </c>
      <c r="F36" s="30">
        <f t="shared" ref="F36:F37" si="34">(C36-E36)*250*100*100*0.9/D36/10/1000/50</f>
        <v>4.3754674644727</v>
      </c>
      <c r="G36" s="31">
        <f t="shared" ref="G36" si="35">(F36+F37)/2</f>
        <v>4.51701727001274</v>
      </c>
      <c r="H36" s="32">
        <f t="shared" ref="H36" si="36">ROUND((F36-F37)/G36*100,1)</f>
        <v>-6.3</v>
      </c>
    </row>
    <row r="37" ht="20.25" spans="1:8">
      <c r="A37" s="41"/>
      <c r="B37" s="42"/>
      <c r="C37" s="39">
        <v>11.3</v>
      </c>
      <c r="D37" s="40">
        <v>2.5598</v>
      </c>
      <c r="E37" s="28">
        <v>8.65</v>
      </c>
      <c r="F37" s="30">
        <f t="shared" si="34"/>
        <v>4.65856707555278</v>
      </c>
      <c r="G37" s="35"/>
      <c r="H37" s="36"/>
    </row>
    <row r="39" ht="20.25" spans="1:8">
      <c r="A39" s="37" t="s">
        <v>2124</v>
      </c>
      <c r="B39" s="38"/>
      <c r="C39" s="39">
        <v>11.3</v>
      </c>
      <c r="D39" s="40">
        <v>2.5767</v>
      </c>
      <c r="E39" s="28">
        <v>3</v>
      </c>
      <c r="F39" s="30">
        <f t="shared" ref="F39:F40" si="37">(C39-E39)*250*100*100*0.9/D39/10/1000/50</f>
        <v>14.4952846664338</v>
      </c>
      <c r="G39" s="31">
        <f t="shared" ref="G39" si="38">(F39+F40)/2</f>
        <v>14.2921839211186</v>
      </c>
      <c r="H39" s="32">
        <f t="shared" ref="H39" si="39">ROUND((F39-F40)/G39*100,1)</f>
        <v>2.8</v>
      </c>
    </row>
    <row r="40" ht="20.25" spans="1:8">
      <c r="A40" s="41"/>
      <c r="B40" s="42"/>
      <c r="C40" s="39">
        <v>11.3</v>
      </c>
      <c r="D40" s="40">
        <v>2.5392</v>
      </c>
      <c r="E40" s="28">
        <v>3.35</v>
      </c>
      <c r="F40" s="30">
        <f t="shared" si="37"/>
        <v>14.0890831758034</v>
      </c>
      <c r="G40" s="35"/>
      <c r="H40" s="36"/>
    </row>
    <row r="42" ht="20.25" spans="1:8">
      <c r="A42" s="37" t="s">
        <v>2125</v>
      </c>
      <c r="B42" s="38"/>
      <c r="C42" s="39">
        <v>11.3</v>
      </c>
      <c r="D42" s="40">
        <v>1.1217</v>
      </c>
      <c r="E42" s="28">
        <v>10.5</v>
      </c>
      <c r="F42" s="30">
        <f t="shared" ref="F42:F49" si="40">(C42-E42)*250*100*100*0.9/D42/10/1000/50</f>
        <v>3.20941428189356</v>
      </c>
      <c r="G42" s="31">
        <f t="shared" ref="G42" si="41">(F42+F43)/2</f>
        <v>3.30586114015092</v>
      </c>
      <c r="H42" s="32">
        <f t="shared" ref="H42" si="42">ROUND((F42-F43)/G42*100,1)</f>
        <v>-5.8</v>
      </c>
    </row>
    <row r="43" ht="20.25" spans="1:8">
      <c r="A43" s="41"/>
      <c r="B43" s="42"/>
      <c r="C43" s="39">
        <v>11.3</v>
      </c>
      <c r="D43" s="40">
        <v>1.2565</v>
      </c>
      <c r="E43" s="28">
        <v>10.35</v>
      </c>
      <c r="F43" s="30">
        <f t="shared" si="40"/>
        <v>3.40230799840828</v>
      </c>
      <c r="G43" s="35"/>
      <c r="H43" s="36"/>
    </row>
    <row r="44" ht="20.25" spans="1:8">
      <c r="A44" s="37" t="s">
        <v>2126</v>
      </c>
      <c r="B44" s="38"/>
      <c r="C44" s="39">
        <v>11.3</v>
      </c>
      <c r="D44" s="40">
        <v>1.5771</v>
      </c>
      <c r="E44" s="28">
        <v>7.75</v>
      </c>
      <c r="F44" s="30">
        <f t="shared" si="40"/>
        <v>10.1293513410691</v>
      </c>
      <c r="G44" s="31">
        <f t="shared" ref="G44" si="43">(F44+F45)/2</f>
        <v>10.3808154375894</v>
      </c>
      <c r="H44" s="32">
        <f t="shared" ref="H44" si="44">ROUND((F44-F45)/G44*100,1)</f>
        <v>-4.8</v>
      </c>
    </row>
    <row r="45" ht="20.25" spans="1:8">
      <c r="A45" s="41"/>
      <c r="B45" s="42"/>
      <c r="C45" s="39">
        <v>11.3</v>
      </c>
      <c r="D45" s="40">
        <v>1.5025</v>
      </c>
      <c r="E45" s="28">
        <v>7.75</v>
      </c>
      <c r="F45" s="30">
        <f t="shared" si="40"/>
        <v>10.6322795341098</v>
      </c>
      <c r="G45" s="35"/>
      <c r="H45" s="36"/>
    </row>
    <row r="46" ht="20.25" spans="1:8">
      <c r="A46" s="37" t="s">
        <v>2127</v>
      </c>
      <c r="B46" s="38"/>
      <c r="C46" s="39">
        <v>11.3</v>
      </c>
      <c r="D46" s="40">
        <v>1.218</v>
      </c>
      <c r="E46" s="28">
        <v>10.45</v>
      </c>
      <c r="F46" s="30">
        <f t="shared" si="40"/>
        <v>3.14039408866996</v>
      </c>
      <c r="G46" s="31">
        <f t="shared" ref="G46" si="45">(F46+F47)/2</f>
        <v>3.18291773242914</v>
      </c>
      <c r="H46" s="32">
        <f t="shared" ref="H46" si="46">ROUND((F46-F47)/G46*100,1)</f>
        <v>-2.7</v>
      </c>
    </row>
    <row r="47" ht="20.25" spans="1:8">
      <c r="A47" s="41"/>
      <c r="B47" s="42"/>
      <c r="C47" s="39">
        <v>11.3</v>
      </c>
      <c r="D47" s="40">
        <v>1.3254</v>
      </c>
      <c r="E47" s="28">
        <v>10.35</v>
      </c>
      <c r="F47" s="30">
        <f t="shared" si="40"/>
        <v>3.22544137618832</v>
      </c>
      <c r="G47" s="35"/>
      <c r="H47" s="36"/>
    </row>
    <row r="48" ht="20.25" spans="1:8">
      <c r="A48" s="37" t="s">
        <v>2128</v>
      </c>
      <c r="B48" s="38"/>
      <c r="C48" s="39">
        <v>11.3</v>
      </c>
      <c r="D48" s="40">
        <v>1.417</v>
      </c>
      <c r="E48" s="28">
        <v>10.5</v>
      </c>
      <c r="F48" s="30">
        <f t="shared" si="40"/>
        <v>2.54057868736768</v>
      </c>
      <c r="G48" s="31">
        <f t="shared" ref="G48" si="47">(F48+F49)/2</f>
        <v>2.57329429831996</v>
      </c>
      <c r="H48" s="32">
        <f t="shared" ref="H48" si="48">ROUND((F48-F49)/G48*100,1)</f>
        <v>-2.5</v>
      </c>
    </row>
    <row r="49" ht="20.25" spans="1:8">
      <c r="A49" s="41"/>
      <c r="B49" s="42"/>
      <c r="C49" s="39">
        <v>11.3</v>
      </c>
      <c r="D49" s="40">
        <v>1.5541</v>
      </c>
      <c r="E49" s="28">
        <v>10.4</v>
      </c>
      <c r="F49" s="30">
        <f t="shared" si="40"/>
        <v>2.60600990927225</v>
      </c>
      <c r="G49" s="35"/>
      <c r="H49" s="36"/>
    </row>
    <row r="51" ht="20.25" spans="1:8">
      <c r="A51" s="37" t="s">
        <v>2129</v>
      </c>
      <c r="B51" s="38" t="s">
        <v>2130</v>
      </c>
      <c r="C51" s="39">
        <v>11</v>
      </c>
      <c r="D51" s="40">
        <v>1.9225</v>
      </c>
      <c r="E51" s="28">
        <v>7.1</v>
      </c>
      <c r="F51" s="30">
        <f t="shared" ref="F51:F52" si="49">(C51-E51)*250*100*100*0.9/D51/10/1000/50</f>
        <v>9.12873862158648</v>
      </c>
      <c r="G51" s="31">
        <f t="shared" ref="G51" si="50">(F51+F52)/2</f>
        <v>9.17427926927709</v>
      </c>
      <c r="H51" s="32">
        <f t="shared" ref="H51" si="51">ROUND((F51-F52)/G51*100,1)</f>
        <v>-1</v>
      </c>
    </row>
    <row r="52" ht="20.25" spans="1:8">
      <c r="A52" s="41"/>
      <c r="B52" s="42"/>
      <c r="C52" s="39">
        <v>11</v>
      </c>
      <c r="D52" s="40">
        <v>1.8547</v>
      </c>
      <c r="E52" s="28">
        <v>7.2</v>
      </c>
      <c r="F52" s="30">
        <f t="shared" si="49"/>
        <v>9.2198199169677</v>
      </c>
      <c r="G52" s="35"/>
      <c r="H52" s="36"/>
    </row>
    <row r="54" ht="20.25" spans="1:8">
      <c r="A54" s="37" t="s">
        <v>2131</v>
      </c>
      <c r="B54" s="38"/>
      <c r="C54" s="39">
        <v>11.1</v>
      </c>
      <c r="D54" s="40">
        <v>2.4087</v>
      </c>
      <c r="E54" s="28">
        <v>7.9</v>
      </c>
      <c r="F54" s="30">
        <f t="shared" ref="F54:F55" si="52">(C54-E54)*250*100*100*0.9/D54/10/1000/50</f>
        <v>5.97832855897372</v>
      </c>
      <c r="G54" s="31">
        <f t="shared" ref="G54" si="53">(F54+F55)/2</f>
        <v>5.9486285865537</v>
      </c>
      <c r="H54" s="32">
        <f t="shared" ref="H54" si="54">ROUND((F54-F55)/G54*100,1)</f>
        <v>1</v>
      </c>
    </row>
    <row r="55" ht="20.25" spans="1:8">
      <c r="A55" s="41"/>
      <c r="B55" s="42"/>
      <c r="C55" s="39">
        <v>11.1</v>
      </c>
      <c r="D55" s="40">
        <v>2.5089</v>
      </c>
      <c r="E55" s="28">
        <v>7.8</v>
      </c>
      <c r="F55" s="30">
        <f t="shared" si="52"/>
        <v>5.91892861413368</v>
      </c>
      <c r="G55" s="35"/>
      <c r="H55" s="36"/>
    </row>
    <row r="56" ht="21" customHeight="1" spans="1:8">
      <c r="A56" s="37" t="s">
        <v>2132</v>
      </c>
      <c r="B56" s="38"/>
      <c r="C56" s="39">
        <v>11.1</v>
      </c>
      <c r="D56" s="40">
        <v>3.9035</v>
      </c>
      <c r="E56" s="28">
        <v>6.6</v>
      </c>
      <c r="F56" s="30">
        <f t="shared" ref="F56:F57" si="55">(C56-E56)*250*100*100*0.9/D56/10/1000/50</f>
        <v>5.18765210708339</v>
      </c>
      <c r="G56" s="31">
        <f t="shared" ref="G56" si="56">(F56+F57)/2</f>
        <v>5.16755659514412</v>
      </c>
      <c r="H56" s="32">
        <f t="shared" ref="H56" si="57">ROUND((F56-F57)/G56*100,1)</f>
        <v>0.8</v>
      </c>
    </row>
    <row r="57" ht="20.25" spans="1:8">
      <c r="A57" s="41"/>
      <c r="B57" s="42"/>
      <c r="C57" s="39">
        <v>11.1</v>
      </c>
      <c r="D57" s="40">
        <v>4.0214</v>
      </c>
      <c r="E57" s="28">
        <v>6.5</v>
      </c>
      <c r="F57" s="30">
        <f t="shared" si="55"/>
        <v>5.14746108320485</v>
      </c>
      <c r="G57" s="35"/>
      <c r="H57" s="36"/>
    </row>
    <row r="59" ht="20.25" spans="1:8">
      <c r="A59" s="37" t="s">
        <v>2076</v>
      </c>
      <c r="B59" s="38"/>
      <c r="C59" s="39">
        <v>11.1</v>
      </c>
      <c r="D59" s="40">
        <v>1.2268</v>
      </c>
      <c r="E59" s="28">
        <v>10.6</v>
      </c>
      <c r="F59" s="30">
        <f t="shared" ref="F59:F64" si="58">(C59-E59)*250*100*100*0.9/D59/10/1000/50</f>
        <v>1.83403977828497</v>
      </c>
      <c r="G59" s="31">
        <f t="shared" ref="G59" si="59">(F59+F60)/2</f>
        <v>1.85342741369717</v>
      </c>
      <c r="H59" s="32">
        <f t="shared" ref="H59" si="60">ROUND((F59-F60)/G59*100,1)</f>
        <v>-2.1</v>
      </c>
    </row>
    <row r="60" ht="20.25" spans="1:8">
      <c r="A60" s="41"/>
      <c r="B60" s="42"/>
      <c r="C60" s="39">
        <v>11.1</v>
      </c>
      <c r="D60" s="40">
        <v>1.2014</v>
      </c>
      <c r="E60" s="28">
        <v>10.6</v>
      </c>
      <c r="F60" s="30">
        <f t="shared" si="58"/>
        <v>1.87281504910937</v>
      </c>
      <c r="G60" s="35"/>
      <c r="H60" s="36"/>
    </row>
    <row r="61" ht="20.25" spans="1:8">
      <c r="A61" s="37" t="s">
        <v>2077</v>
      </c>
      <c r="B61" s="38"/>
      <c r="C61" s="39">
        <v>11.1</v>
      </c>
      <c r="D61" s="40">
        <v>1.322</v>
      </c>
      <c r="E61" s="28">
        <v>10.55</v>
      </c>
      <c r="F61" s="30">
        <f t="shared" si="58"/>
        <v>1.87216338880484</v>
      </c>
      <c r="G61" s="31">
        <f t="shared" ref="G61" si="61">(F61+F62)/2</f>
        <v>1.88603179803334</v>
      </c>
      <c r="H61" s="32">
        <f t="shared" ref="H61" si="62">ROUND((F61-F62)/G61*100,1)</f>
        <v>-1.5</v>
      </c>
    </row>
    <row r="62" ht="20.25" spans="1:8">
      <c r="A62" s="41"/>
      <c r="B62" s="42"/>
      <c r="C62" s="39">
        <v>11.1</v>
      </c>
      <c r="D62" s="40">
        <v>1.3027</v>
      </c>
      <c r="E62" s="28">
        <v>10.55</v>
      </c>
      <c r="F62" s="30">
        <f t="shared" si="58"/>
        <v>1.89990020726184</v>
      </c>
      <c r="G62" s="35"/>
      <c r="H62" s="36"/>
    </row>
    <row r="63" ht="20.25" spans="1:8">
      <c r="A63" s="37" t="s">
        <v>2078</v>
      </c>
      <c r="B63" s="38"/>
      <c r="C63" s="39">
        <v>11.1</v>
      </c>
      <c r="D63" s="40">
        <v>1.4547</v>
      </c>
      <c r="E63" s="28">
        <v>10.6</v>
      </c>
      <c r="F63" s="30">
        <f t="shared" si="58"/>
        <v>1.54671066199216</v>
      </c>
      <c r="G63" s="31">
        <f t="shared" ref="G63" si="63">(F63+F64)/2</f>
        <v>1.55384652011777</v>
      </c>
      <c r="H63" s="32">
        <f t="shared" ref="H63" si="64">ROUND((F63-F64)/G63*100,1)</f>
        <v>-0.9</v>
      </c>
    </row>
    <row r="64" ht="20.25" spans="1:8">
      <c r="A64" s="41"/>
      <c r="B64" s="42"/>
      <c r="C64" s="39">
        <v>11.1</v>
      </c>
      <c r="D64" s="40">
        <v>1.4414</v>
      </c>
      <c r="E64" s="28">
        <v>10.6</v>
      </c>
      <c r="F64" s="30">
        <f t="shared" si="58"/>
        <v>1.56098237824337</v>
      </c>
      <c r="G64" s="35"/>
      <c r="H64" s="36"/>
    </row>
    <row r="65" ht="20.25" spans="1:8">
      <c r="A65" s="37" t="s">
        <v>2133</v>
      </c>
      <c r="B65" s="38"/>
      <c r="C65" s="39">
        <v>11.1</v>
      </c>
      <c r="D65" s="40">
        <v>2.111</v>
      </c>
      <c r="E65" s="28">
        <v>7.4</v>
      </c>
      <c r="F65" s="30">
        <f t="shared" ref="F65:F66" si="65">(C65-E65)*250*100*100*0.9/D65/10/1000/50</f>
        <v>7.88725722406442</v>
      </c>
      <c r="G65" s="31">
        <f t="shared" ref="G65" si="66">(F65+F66)/2</f>
        <v>7.85859247390425</v>
      </c>
      <c r="H65" s="32">
        <f t="shared" ref="H65" si="67">ROUND((F65-F66)/G65*100,1)</f>
        <v>0.7</v>
      </c>
    </row>
    <row r="66" ht="20.25" spans="1:8">
      <c r="A66" s="41"/>
      <c r="B66" s="42"/>
      <c r="C66" s="39">
        <v>11.1</v>
      </c>
      <c r="D66" s="40">
        <v>2.2414</v>
      </c>
      <c r="E66" s="28">
        <v>7.2</v>
      </c>
      <c r="F66" s="30">
        <f t="shared" si="65"/>
        <v>7.82992772374409</v>
      </c>
      <c r="G66" s="35"/>
      <c r="H66" s="36"/>
    </row>
    <row r="67" ht="20.25" spans="1:8">
      <c r="A67" s="37" t="s">
        <v>2134</v>
      </c>
      <c r="B67" s="38"/>
      <c r="C67" s="39">
        <v>11.1</v>
      </c>
      <c r="D67" s="40">
        <v>2.2488</v>
      </c>
      <c r="E67" s="28">
        <v>5.1</v>
      </c>
      <c r="F67" s="43">
        <f t="shared" ref="F67:F72" si="68">(C67-E67)*250*100*100*0.9/D67/10/1000/50</f>
        <v>12.0064034151547</v>
      </c>
      <c r="G67" s="44">
        <f t="shared" ref="G67" si="69">(F67+F68)/2</f>
        <v>12.0994085122323</v>
      </c>
      <c r="H67" s="32">
        <f t="shared" ref="H67" si="70">ROUND((F67-F68)/G67*100,1)</f>
        <v>-1.5</v>
      </c>
    </row>
    <row r="68" ht="20.25" spans="1:8">
      <c r="A68" s="41"/>
      <c r="B68" s="42"/>
      <c r="C68" s="39">
        <v>11.1</v>
      </c>
      <c r="D68" s="40">
        <v>2.2514</v>
      </c>
      <c r="E68" s="28">
        <v>5</v>
      </c>
      <c r="F68" s="43">
        <f t="shared" si="68"/>
        <v>12.1924136093098</v>
      </c>
      <c r="G68" s="45"/>
      <c r="H68" s="36"/>
    </row>
    <row r="69" ht="20.25" spans="1:8">
      <c r="A69" s="37" t="s">
        <v>2135</v>
      </c>
      <c r="B69" s="38"/>
      <c r="C69" s="39">
        <v>11.1</v>
      </c>
      <c r="D69" s="40">
        <v>2.3616</v>
      </c>
      <c r="E69" s="28">
        <v>4.7</v>
      </c>
      <c r="F69" s="43">
        <f t="shared" si="68"/>
        <v>12.1951219512195</v>
      </c>
      <c r="G69" s="44">
        <f t="shared" ref="G69" si="71">(F69+F70)/2</f>
        <v>12.1550365578787</v>
      </c>
      <c r="H69" s="32">
        <f t="shared" ref="H69" si="72">ROUND((F69-F70)/G69*100,1)</f>
        <v>0.7</v>
      </c>
    </row>
    <row r="70" ht="20.25" spans="1:8">
      <c r="A70" s="41"/>
      <c r="B70" s="42"/>
      <c r="C70" s="39">
        <v>11.1</v>
      </c>
      <c r="D70" s="40">
        <v>2.3958</v>
      </c>
      <c r="E70" s="28">
        <v>4.65</v>
      </c>
      <c r="F70" s="43">
        <f t="shared" si="68"/>
        <v>12.1149511645379</v>
      </c>
      <c r="G70" s="45"/>
      <c r="H70" s="36"/>
    </row>
    <row r="71" ht="20.25" spans="1:8">
      <c r="A71" s="37" t="s">
        <v>2136</v>
      </c>
      <c r="B71" s="38"/>
      <c r="C71" s="39">
        <v>11.1</v>
      </c>
      <c r="D71" s="40">
        <v>2.3356</v>
      </c>
      <c r="E71" s="28">
        <v>7.4</v>
      </c>
      <c r="F71" s="30">
        <f t="shared" si="68"/>
        <v>7.1287891762288</v>
      </c>
      <c r="G71" s="31">
        <f t="shared" ref="G71" si="73">(F71+F72)/2</f>
        <v>7.17166534683848</v>
      </c>
      <c r="H71" s="32">
        <f t="shared" ref="H71" si="74">ROUND((F71-F72)/G71*100,1)</f>
        <v>-1.2</v>
      </c>
    </row>
    <row r="72" ht="20.25" spans="1:8">
      <c r="A72" s="41"/>
      <c r="B72" s="42"/>
      <c r="C72" s="39">
        <v>11.1</v>
      </c>
      <c r="D72" s="40">
        <v>2.4014</v>
      </c>
      <c r="E72" s="28">
        <v>7.25</v>
      </c>
      <c r="F72" s="30">
        <f t="shared" si="68"/>
        <v>7.21454151744815</v>
      </c>
      <c r="G72" s="35"/>
      <c r="H72" s="36"/>
    </row>
    <row r="73" ht="20.25" spans="1:8">
      <c r="A73" s="37" t="s">
        <v>2134</v>
      </c>
      <c r="B73" s="38"/>
      <c r="C73" s="39">
        <v>11.1</v>
      </c>
      <c r="D73" s="40">
        <v>2.2488</v>
      </c>
      <c r="E73" s="28">
        <v>3.9</v>
      </c>
      <c r="F73" s="30">
        <f t="shared" ref="F73:F78" si="75">(C73-E73)*250*100*100*0.9/D73/10/1000/50</f>
        <v>14.4076840981857</v>
      </c>
      <c r="G73" s="31">
        <f t="shared" ref="G73" si="76">(F73+F74)/2</f>
        <v>14.4076840981857</v>
      </c>
      <c r="H73" s="32">
        <f t="shared" ref="H73" si="77">ROUND((F73-F74)/G73*100,1)</f>
        <v>0</v>
      </c>
    </row>
    <row r="74" ht="20.25" spans="1:8">
      <c r="A74" s="41"/>
      <c r="B74" s="42"/>
      <c r="C74" s="39">
        <v>11.1</v>
      </c>
      <c r="D74" s="40">
        <v>2.2488</v>
      </c>
      <c r="E74" s="28">
        <v>3.9</v>
      </c>
      <c r="F74" s="30">
        <f t="shared" si="75"/>
        <v>14.4076840981857</v>
      </c>
      <c r="G74" s="35"/>
      <c r="H74" s="36"/>
    </row>
    <row r="75" ht="20.25" spans="1:8">
      <c r="A75" s="37" t="s">
        <v>2135</v>
      </c>
      <c r="B75" s="38"/>
      <c r="C75" s="39">
        <v>11.1</v>
      </c>
      <c r="D75" s="40">
        <v>2.3616</v>
      </c>
      <c r="E75" s="28">
        <v>4.4</v>
      </c>
      <c r="F75" s="30">
        <f t="shared" si="75"/>
        <v>12.7667682926829</v>
      </c>
      <c r="G75" s="31">
        <f t="shared" ref="G75" si="78">(F75+F76)/2</f>
        <v>12.7667682926829</v>
      </c>
      <c r="H75" s="32">
        <f t="shared" ref="H75" si="79">ROUND((F75-F76)/G75*100,1)</f>
        <v>0</v>
      </c>
    </row>
    <row r="76" ht="20.25" spans="1:8">
      <c r="A76" s="41"/>
      <c r="B76" s="42"/>
      <c r="C76" s="39">
        <v>11.1</v>
      </c>
      <c r="D76" s="40">
        <v>2.3616</v>
      </c>
      <c r="E76" s="28">
        <v>4.4</v>
      </c>
      <c r="F76" s="30">
        <f t="shared" si="75"/>
        <v>12.7667682926829</v>
      </c>
      <c r="G76" s="35"/>
      <c r="H76" s="36"/>
    </row>
    <row r="77" ht="20.25" spans="1:8">
      <c r="A77" s="37" t="s">
        <v>2136</v>
      </c>
      <c r="B77" s="38"/>
      <c r="C77" s="39">
        <v>11.1</v>
      </c>
      <c r="D77" s="40">
        <v>2.3356</v>
      </c>
      <c r="E77" s="28">
        <v>6.1</v>
      </c>
      <c r="F77" s="30">
        <f t="shared" si="75"/>
        <v>9.63349888679568</v>
      </c>
      <c r="G77" s="31">
        <f t="shared" ref="G77" si="80">(F77+F78)/2</f>
        <v>9.63349888679568</v>
      </c>
      <c r="H77" s="32">
        <f t="shared" ref="H77" si="81">ROUND((F77-F78)/G77*100,1)</f>
        <v>0</v>
      </c>
    </row>
    <row r="78" ht="20.25" spans="1:8">
      <c r="A78" s="41"/>
      <c r="B78" s="42"/>
      <c r="C78" s="39">
        <v>11.1</v>
      </c>
      <c r="D78" s="40">
        <v>2.3356</v>
      </c>
      <c r="E78" s="28">
        <v>6.1</v>
      </c>
      <c r="F78" s="30">
        <f t="shared" si="75"/>
        <v>9.63349888679568</v>
      </c>
      <c r="G78" s="35"/>
      <c r="H78" s="36"/>
    </row>
    <row r="80" ht="20.25" spans="1:8">
      <c r="A80" s="37" t="s">
        <v>2137</v>
      </c>
      <c r="B80" s="38"/>
      <c r="C80" s="39">
        <v>11</v>
      </c>
      <c r="D80" s="40">
        <v>1.1958</v>
      </c>
      <c r="E80" s="28">
        <v>5.1</v>
      </c>
      <c r="F80" s="30">
        <f t="shared" ref="F80:F87" si="82">(C80-E80)*250*100*100*0.9/D80/10/1000/50</f>
        <v>22.2027094831912</v>
      </c>
      <c r="G80" s="31">
        <f t="shared" ref="G80" si="83">(F80+F81)/2</f>
        <v>22.602952185685</v>
      </c>
      <c r="H80" s="32">
        <f t="shared" ref="H80" si="84">ROUND((F80-F81)/G80*100,1)</f>
        <v>-3.5</v>
      </c>
    </row>
    <row r="81" ht="20.25" spans="1:8">
      <c r="A81" s="41"/>
      <c r="B81" s="42"/>
      <c r="C81" s="39">
        <v>11</v>
      </c>
      <c r="D81" s="40">
        <v>1.0955</v>
      </c>
      <c r="E81" s="28">
        <v>5.4</v>
      </c>
      <c r="F81" s="30">
        <f t="shared" si="82"/>
        <v>23.0031948881789</v>
      </c>
      <c r="G81" s="35"/>
      <c r="H81" s="36"/>
    </row>
    <row r="82" ht="20.25" spans="1:9">
      <c r="A82" s="37" t="s">
        <v>2138</v>
      </c>
      <c r="B82" s="38"/>
      <c r="C82" s="39">
        <v>11</v>
      </c>
      <c r="D82" s="40">
        <v>1.0402</v>
      </c>
      <c r="E82" s="28">
        <v>10.65</v>
      </c>
      <c r="F82" s="30">
        <f t="shared" si="82"/>
        <v>1.51413189771198</v>
      </c>
      <c r="G82" s="31">
        <f t="shared" ref="G82:G86" si="85">(F82+F83)/2</f>
        <v>1.51413189771198</v>
      </c>
      <c r="H82" s="32">
        <f t="shared" ref="H82:H86" si="86">ROUND((F82-F83)/G82*100,1)</f>
        <v>0</v>
      </c>
      <c r="I82">
        <f>F82/(100-0.7)*100</f>
        <v>1.52480553646725</v>
      </c>
    </row>
    <row r="83" ht="20.25" spans="1:8">
      <c r="A83" s="41"/>
      <c r="B83" s="42"/>
      <c r="C83" s="39">
        <v>11</v>
      </c>
      <c r="D83" s="40">
        <v>1.0402</v>
      </c>
      <c r="E83" s="28">
        <v>10.65</v>
      </c>
      <c r="F83" s="30">
        <f t="shared" si="82"/>
        <v>1.51413189771198</v>
      </c>
      <c r="G83" s="35"/>
      <c r="H83" s="36"/>
    </row>
    <row r="84" ht="20.25" spans="1:8">
      <c r="A84" s="37" t="s">
        <v>2139</v>
      </c>
      <c r="B84" s="38"/>
      <c r="C84" s="39">
        <v>11</v>
      </c>
      <c r="D84" s="40">
        <v>1.0955</v>
      </c>
      <c r="E84" s="28">
        <v>10.2</v>
      </c>
      <c r="F84" s="30">
        <f t="shared" si="82"/>
        <v>3.28617069831128</v>
      </c>
      <c r="G84" s="31">
        <f t="shared" si="85"/>
        <v>3.87279499141111</v>
      </c>
      <c r="H84" s="32">
        <f t="shared" si="86"/>
        <v>-30.3</v>
      </c>
    </row>
    <row r="85" ht="20.25" spans="1:8">
      <c r="A85" s="41"/>
      <c r="B85" s="42"/>
      <c r="C85" s="39">
        <v>11</v>
      </c>
      <c r="D85" s="40">
        <v>1.0091</v>
      </c>
      <c r="E85" s="28">
        <v>10</v>
      </c>
      <c r="F85" s="30">
        <f t="shared" si="82"/>
        <v>4.45941928451095</v>
      </c>
      <c r="G85" s="35"/>
      <c r="H85" s="36"/>
    </row>
    <row r="86" ht="20.25" spans="1:9">
      <c r="A86" s="37" t="s">
        <v>2138</v>
      </c>
      <c r="B86" s="38"/>
      <c r="C86" s="39">
        <v>11</v>
      </c>
      <c r="D86" s="40">
        <v>1.2092</v>
      </c>
      <c r="E86" s="28">
        <v>10.6</v>
      </c>
      <c r="F86" s="30">
        <f t="shared" si="82"/>
        <v>1.48858749586504</v>
      </c>
      <c r="G86" s="31">
        <f t="shared" si="85"/>
        <v>1.48858749586504</v>
      </c>
      <c r="H86" s="32">
        <f t="shared" si="86"/>
        <v>0</v>
      </c>
      <c r="I86">
        <f>F86/(100-0.7)*100</f>
        <v>1.49908106330819</v>
      </c>
    </row>
    <row r="87" ht="20.25" spans="1:8">
      <c r="A87" s="41"/>
      <c r="B87" s="42"/>
      <c r="C87" s="39">
        <v>11</v>
      </c>
      <c r="D87" s="40">
        <v>1.2092</v>
      </c>
      <c r="E87" s="28">
        <v>10.6</v>
      </c>
      <c r="F87" s="30">
        <f t="shared" si="82"/>
        <v>1.48858749586504</v>
      </c>
      <c r="G87" s="35"/>
      <c r="H87" s="36"/>
    </row>
    <row r="88" ht="20.25" spans="1:8">
      <c r="A88" s="37" t="s">
        <v>2140</v>
      </c>
      <c r="B88" s="38"/>
      <c r="C88" s="39">
        <v>11</v>
      </c>
      <c r="D88" s="40">
        <v>1.7846</v>
      </c>
      <c r="E88" s="28">
        <v>8.95</v>
      </c>
      <c r="F88" s="30">
        <f t="shared" ref="F88:F105" si="87">(C88-E88)*250*100*100*0.9/D88/10/1000/50</f>
        <v>5.16922559677239</v>
      </c>
      <c r="G88" s="31">
        <f t="shared" ref="G88" si="88">(F88+F89)/2</f>
        <v>5.03617060508859</v>
      </c>
      <c r="H88" s="32">
        <f t="shared" ref="H88" si="89">ROUND((F88-F89)/G88*100,1)</f>
        <v>5.3</v>
      </c>
    </row>
    <row r="89" ht="20.25" spans="1:8">
      <c r="A89" s="41"/>
      <c r="B89" s="42"/>
      <c r="C89" s="39">
        <v>11</v>
      </c>
      <c r="D89" s="40">
        <v>1.6979</v>
      </c>
      <c r="E89" s="28">
        <v>9.15</v>
      </c>
      <c r="F89" s="30">
        <f t="shared" si="87"/>
        <v>4.90311561340479</v>
      </c>
      <c r="G89" s="35"/>
      <c r="H89" s="36"/>
    </row>
    <row r="90" ht="20.25" spans="1:8">
      <c r="A90" s="37" t="s">
        <v>2140</v>
      </c>
      <c r="B90" s="38"/>
      <c r="C90" s="39">
        <v>11</v>
      </c>
      <c r="D90" s="40">
        <v>1.7846</v>
      </c>
      <c r="E90" s="28">
        <v>8.95</v>
      </c>
      <c r="F90" s="30">
        <f t="shared" si="87"/>
        <v>5.16922559677239</v>
      </c>
      <c r="G90" s="31">
        <f t="shared" ref="G90:G94" si="90">(F90+F91)/2</f>
        <v>5.03617060508859</v>
      </c>
      <c r="H90" s="32">
        <f t="shared" ref="H90:H94" si="91">ROUND((F90-F91)/G90*100,1)</f>
        <v>5.3</v>
      </c>
    </row>
    <row r="91" ht="20.25" spans="1:8">
      <c r="A91" s="41"/>
      <c r="B91" s="42"/>
      <c r="C91" s="39">
        <v>11</v>
      </c>
      <c r="D91" s="40">
        <v>1.6979</v>
      </c>
      <c r="E91" s="28">
        <v>9.15</v>
      </c>
      <c r="F91" s="30">
        <f t="shared" si="87"/>
        <v>4.90311561340479</v>
      </c>
      <c r="G91" s="35"/>
      <c r="H91" s="36"/>
    </row>
    <row r="92" ht="20.25" spans="1:8">
      <c r="A92" s="37" t="s">
        <v>2101</v>
      </c>
      <c r="B92" s="38"/>
      <c r="C92" s="39">
        <v>10.8</v>
      </c>
      <c r="D92" s="40">
        <v>1.8983</v>
      </c>
      <c r="E92" s="28">
        <v>10.3</v>
      </c>
      <c r="F92" s="30">
        <f t="shared" si="87"/>
        <v>1.18527103197598</v>
      </c>
      <c r="G92" s="31">
        <f t="shared" si="90"/>
        <v>3.05374392629426</v>
      </c>
      <c r="H92" s="32">
        <f t="shared" si="91"/>
        <v>-122.4</v>
      </c>
    </row>
    <row r="93" ht="20.25" spans="1:8">
      <c r="A93" s="41"/>
      <c r="B93" s="42"/>
      <c r="C93" s="39">
        <v>10.8</v>
      </c>
      <c r="D93" s="40">
        <v>1.2342</v>
      </c>
      <c r="E93" s="28">
        <v>9.45</v>
      </c>
      <c r="F93" s="30">
        <f t="shared" si="87"/>
        <v>4.92221682061255</v>
      </c>
      <c r="G93" s="35"/>
      <c r="H93" s="36"/>
    </row>
    <row r="94" ht="20.25" spans="1:8">
      <c r="A94" s="37" t="s">
        <v>2102</v>
      </c>
      <c r="B94" s="38"/>
      <c r="C94" s="39">
        <v>10.8</v>
      </c>
      <c r="D94" s="40">
        <v>2.3408</v>
      </c>
      <c r="E94" s="28">
        <v>9.6</v>
      </c>
      <c r="F94" s="30">
        <f t="shared" si="87"/>
        <v>2.3069036226931</v>
      </c>
      <c r="G94" s="31">
        <f t="shared" si="90"/>
        <v>2.1581724033343</v>
      </c>
      <c r="H94" s="32">
        <f t="shared" si="91"/>
        <v>13.8</v>
      </c>
    </row>
    <row r="95" ht="20.25" spans="1:8">
      <c r="A95" s="41"/>
      <c r="B95" s="42"/>
      <c r="C95" s="39">
        <v>10.8</v>
      </c>
      <c r="D95" s="40">
        <v>2.3514</v>
      </c>
      <c r="E95" s="28">
        <v>9.75</v>
      </c>
      <c r="F95" s="30">
        <f t="shared" si="87"/>
        <v>2.00944118397551</v>
      </c>
      <c r="G95" s="35"/>
      <c r="H95" s="36"/>
    </row>
    <row r="96" ht="20.25" spans="1:8">
      <c r="A96" s="37" t="s">
        <v>2103</v>
      </c>
      <c r="B96" s="38"/>
      <c r="C96" s="39">
        <v>10.8</v>
      </c>
      <c r="D96" s="40">
        <v>1.7608</v>
      </c>
      <c r="E96" s="28">
        <v>9.75</v>
      </c>
      <c r="F96" s="30">
        <f t="shared" si="87"/>
        <v>2.68343934575193</v>
      </c>
      <c r="G96" s="31">
        <f t="shared" ref="G96:G100" si="92">(F96+F97)/2</f>
        <v>2.6910450102073</v>
      </c>
      <c r="H96" s="32">
        <f t="shared" ref="H96:H100" si="93">ROUND((F96-F97)/G96*100,1)</f>
        <v>-0.6</v>
      </c>
    </row>
    <row r="97" ht="20.25" spans="1:8">
      <c r="A97" s="41"/>
      <c r="B97" s="42"/>
      <c r="C97" s="39">
        <v>10.8</v>
      </c>
      <c r="D97" s="40">
        <v>2.001</v>
      </c>
      <c r="E97" s="28">
        <v>9.6</v>
      </c>
      <c r="F97" s="30">
        <f t="shared" si="87"/>
        <v>2.69865067466267</v>
      </c>
      <c r="G97" s="35"/>
      <c r="H97" s="36"/>
    </row>
    <row r="98" ht="20.25" spans="1:8">
      <c r="A98" s="37" t="s">
        <v>2104</v>
      </c>
      <c r="B98" s="38"/>
      <c r="C98" s="39">
        <v>10.8</v>
      </c>
      <c r="D98" s="40">
        <v>2.0326</v>
      </c>
      <c r="E98" s="28">
        <v>8.2</v>
      </c>
      <c r="F98" s="30">
        <f t="shared" si="87"/>
        <v>5.75617435796517</v>
      </c>
      <c r="G98" s="31">
        <f t="shared" si="92"/>
        <v>2.77534745295519</v>
      </c>
      <c r="H98" s="32">
        <f t="shared" si="93"/>
        <v>214.8</v>
      </c>
    </row>
    <row r="99" ht="20.25" spans="1:9">
      <c r="A99" s="41"/>
      <c r="B99" s="42"/>
      <c r="C99" s="39">
        <v>10.8</v>
      </c>
      <c r="D99" s="40">
        <v>2.19</v>
      </c>
      <c r="E99" s="28">
        <v>10.9</v>
      </c>
      <c r="F99" s="30">
        <f t="shared" si="87"/>
        <v>-0.205479452054794</v>
      </c>
      <c r="G99" s="35"/>
      <c r="H99" s="36"/>
      <c r="I99" t="s">
        <v>2141</v>
      </c>
    </row>
    <row r="100" ht="20.25" spans="1:8">
      <c r="A100" s="37" t="s">
        <v>2105</v>
      </c>
      <c r="B100" s="38"/>
      <c r="C100" s="39">
        <v>10.8</v>
      </c>
      <c r="D100" s="40">
        <v>1.9851</v>
      </c>
      <c r="E100" s="28">
        <v>7</v>
      </c>
      <c r="F100" s="30">
        <f t="shared" si="87"/>
        <v>8.6141756082817</v>
      </c>
      <c r="G100" s="31">
        <f t="shared" si="92"/>
        <v>4.44889452682993</v>
      </c>
      <c r="H100" s="32">
        <f t="shared" si="93"/>
        <v>187.3</v>
      </c>
    </row>
    <row r="101" ht="20.25" spans="1:9">
      <c r="A101" s="41"/>
      <c r="B101" s="42"/>
      <c r="C101" s="39">
        <v>10.8</v>
      </c>
      <c r="D101" s="40">
        <v>2.38</v>
      </c>
      <c r="E101" s="28">
        <v>10.65</v>
      </c>
      <c r="F101" s="30">
        <f t="shared" si="87"/>
        <v>0.283613445378152</v>
      </c>
      <c r="G101" s="35"/>
      <c r="H101" s="36"/>
      <c r="I101" t="s">
        <v>2141</v>
      </c>
    </row>
    <row r="102" ht="20.25" spans="1:8">
      <c r="A102" s="37" t="s">
        <v>2106</v>
      </c>
      <c r="B102" s="38"/>
      <c r="C102" s="39">
        <v>11</v>
      </c>
      <c r="D102" s="40">
        <v>2.2423</v>
      </c>
      <c r="E102" s="28">
        <v>9.9</v>
      </c>
      <c r="F102" s="30">
        <f t="shared" si="87"/>
        <v>2.20755474289792</v>
      </c>
      <c r="G102" s="31">
        <f>(F102+F103)/2</f>
        <v>2.20755474289792</v>
      </c>
      <c r="H102" s="32">
        <f>ROUND((F102-F103)/G102*100,1)</f>
        <v>0</v>
      </c>
    </row>
    <row r="103" ht="20.25" spans="1:8">
      <c r="A103" s="41"/>
      <c r="B103" s="42"/>
      <c r="C103" s="39">
        <v>11</v>
      </c>
      <c r="D103" s="40">
        <v>2.2423</v>
      </c>
      <c r="E103" s="28">
        <v>9.9</v>
      </c>
      <c r="F103" s="30">
        <f t="shared" si="87"/>
        <v>2.20755474289792</v>
      </c>
      <c r="G103" s="35"/>
      <c r="H103" s="36"/>
    </row>
    <row r="104" ht="20.25" spans="1:8">
      <c r="A104" s="37" t="s">
        <v>2142</v>
      </c>
      <c r="B104" s="38"/>
      <c r="C104" s="39">
        <v>10.8</v>
      </c>
      <c r="D104" s="40">
        <v>2.6714</v>
      </c>
      <c r="E104" s="28">
        <v>9.35</v>
      </c>
      <c r="F104" s="30">
        <f t="shared" si="87"/>
        <v>2.44253949240099</v>
      </c>
      <c r="G104" s="31">
        <f>(F104+F105)/2</f>
        <v>2.39763781869962</v>
      </c>
      <c r="H104" s="32">
        <f>ROUND((F104-F105)/G104*100,1)</f>
        <v>3.7</v>
      </c>
    </row>
    <row r="105" ht="20.25" spans="1:8">
      <c r="A105" s="41"/>
      <c r="B105" s="42"/>
      <c r="C105" s="39">
        <v>10.8</v>
      </c>
      <c r="D105" s="40">
        <v>2.869</v>
      </c>
      <c r="E105" s="28">
        <v>9.3</v>
      </c>
      <c r="F105" s="30">
        <f t="shared" si="87"/>
        <v>2.35273614499826</v>
      </c>
      <c r="G105" s="35"/>
      <c r="H105" s="36"/>
    </row>
  </sheetData>
  <mergeCells count="184">
    <mergeCell ref="A2:A3"/>
    <mergeCell ref="A6:A7"/>
    <mergeCell ref="A8:A9"/>
    <mergeCell ref="A11:A12"/>
    <mergeCell ref="A13:A14"/>
    <mergeCell ref="A16:A17"/>
    <mergeCell ref="A19:A20"/>
    <mergeCell ref="A21:A22"/>
    <mergeCell ref="A23:A24"/>
    <mergeCell ref="A25:A26"/>
    <mergeCell ref="A27:A28"/>
    <mergeCell ref="A30:A31"/>
    <mergeCell ref="A32:A33"/>
    <mergeCell ref="A34:A35"/>
    <mergeCell ref="A36:A37"/>
    <mergeCell ref="A39:A40"/>
    <mergeCell ref="A42:A43"/>
    <mergeCell ref="A44:A45"/>
    <mergeCell ref="A46:A47"/>
    <mergeCell ref="A48:A49"/>
    <mergeCell ref="A51:A52"/>
    <mergeCell ref="A54:A55"/>
    <mergeCell ref="A56:A57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B2:B3"/>
    <mergeCell ref="B6:B7"/>
    <mergeCell ref="B8:B9"/>
    <mergeCell ref="B11:B12"/>
    <mergeCell ref="B13:B14"/>
    <mergeCell ref="B16:B17"/>
    <mergeCell ref="B19:B20"/>
    <mergeCell ref="B21:B22"/>
    <mergeCell ref="B23:B24"/>
    <mergeCell ref="B25:B26"/>
    <mergeCell ref="B27:B28"/>
    <mergeCell ref="B30:B31"/>
    <mergeCell ref="B32:B33"/>
    <mergeCell ref="B34:B35"/>
    <mergeCell ref="B36:B37"/>
    <mergeCell ref="B39:B40"/>
    <mergeCell ref="B42:B43"/>
    <mergeCell ref="B44:B45"/>
    <mergeCell ref="B46:B47"/>
    <mergeCell ref="B48:B49"/>
    <mergeCell ref="B51:B52"/>
    <mergeCell ref="B54:B55"/>
    <mergeCell ref="B56:B57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G2:G3"/>
    <mergeCell ref="G6:G7"/>
    <mergeCell ref="G8:G9"/>
    <mergeCell ref="G11:G12"/>
    <mergeCell ref="G13:G14"/>
    <mergeCell ref="G16:G17"/>
    <mergeCell ref="G19:G20"/>
    <mergeCell ref="G21:G22"/>
    <mergeCell ref="G23:G24"/>
    <mergeCell ref="G25:G26"/>
    <mergeCell ref="G27:G28"/>
    <mergeCell ref="G30:G31"/>
    <mergeCell ref="G32:G33"/>
    <mergeCell ref="G34:G35"/>
    <mergeCell ref="G36:G37"/>
    <mergeCell ref="G39:G40"/>
    <mergeCell ref="G42:G43"/>
    <mergeCell ref="G44:G45"/>
    <mergeCell ref="G46:G47"/>
    <mergeCell ref="G48:G49"/>
    <mergeCell ref="G51:G52"/>
    <mergeCell ref="G54:G55"/>
    <mergeCell ref="G56:G57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H2:H3"/>
    <mergeCell ref="H6:H7"/>
    <mergeCell ref="H8:H9"/>
    <mergeCell ref="H11:H12"/>
    <mergeCell ref="H13:H14"/>
    <mergeCell ref="H16:H17"/>
    <mergeCell ref="H19:H20"/>
    <mergeCell ref="H21:H22"/>
    <mergeCell ref="H23:H24"/>
    <mergeCell ref="H25:H26"/>
    <mergeCell ref="H27:H28"/>
    <mergeCell ref="H30:H31"/>
    <mergeCell ref="H32:H33"/>
    <mergeCell ref="H34:H35"/>
    <mergeCell ref="H36:H37"/>
    <mergeCell ref="H39:H40"/>
    <mergeCell ref="H42:H43"/>
    <mergeCell ref="H44:H45"/>
    <mergeCell ref="H46:H47"/>
    <mergeCell ref="H48:H49"/>
    <mergeCell ref="H51:H52"/>
    <mergeCell ref="H54:H55"/>
    <mergeCell ref="H56:H57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K102"/>
  <sheetViews>
    <sheetView topLeftCell="A80" workbookViewId="0">
      <selection activeCell="E1115" sqref="E1115"/>
    </sheetView>
  </sheetViews>
  <sheetFormatPr defaultColWidth="9" defaultRowHeight="13.5"/>
  <cols>
    <col min="1" max="1" width="9" style="1"/>
    <col min="2" max="2" width="5.125" style="1" customWidth="1"/>
    <col min="3" max="3" width="9.125" style="1" customWidth="1"/>
    <col min="4" max="4" width="9" style="1"/>
    <col min="5" max="5" width="14.625" style="1" customWidth="1"/>
    <col min="6" max="6" width="17.5" style="1" customWidth="1"/>
    <col min="7" max="8" width="9" style="1"/>
    <col min="9" max="9" width="11" style="1" customWidth="1"/>
    <col min="10" max="16384" width="9" style="1"/>
  </cols>
  <sheetData>
    <row r="1" ht="24" spans="1:8">
      <c r="A1" s="2" t="s">
        <v>2143</v>
      </c>
      <c r="B1" s="3" t="s">
        <v>2143</v>
      </c>
      <c r="C1" s="4" t="s">
        <v>2144</v>
      </c>
      <c r="D1" s="5" t="s">
        <v>2145</v>
      </c>
      <c r="E1" s="4" t="s">
        <v>2146</v>
      </c>
      <c r="F1" s="4" t="s">
        <v>2147</v>
      </c>
      <c r="G1" s="6" t="s">
        <v>2148</v>
      </c>
      <c r="H1" s="6" t="s">
        <v>2149</v>
      </c>
    </row>
    <row r="2" ht="14.25" spans="1:9">
      <c r="A2" s="2" t="s">
        <v>184</v>
      </c>
      <c r="B2" s="7"/>
      <c r="C2" s="8" t="s">
        <v>1346</v>
      </c>
      <c r="D2" s="9">
        <v>22299</v>
      </c>
      <c r="E2" s="10" t="s">
        <v>2150</v>
      </c>
      <c r="F2" s="10" t="s">
        <v>2151</v>
      </c>
      <c r="G2" s="10" t="s">
        <v>2152</v>
      </c>
      <c r="H2" s="10"/>
      <c r="I2" s="16">
        <v>64</v>
      </c>
    </row>
    <row r="3" ht="14.25" spans="1:9">
      <c r="A3" s="2" t="s">
        <v>2153</v>
      </c>
      <c r="B3" s="7"/>
      <c r="C3" s="8" t="s">
        <v>2154</v>
      </c>
      <c r="D3" s="9">
        <v>22201</v>
      </c>
      <c r="E3" s="10" t="s">
        <v>2150</v>
      </c>
      <c r="F3" s="10" t="s">
        <v>2151</v>
      </c>
      <c r="G3" s="10"/>
      <c r="H3" s="10"/>
      <c r="I3" s="16">
        <v>64</v>
      </c>
    </row>
    <row r="4" ht="14.25" spans="1:9">
      <c r="A4" s="2" t="s">
        <v>2155</v>
      </c>
      <c r="B4" s="7"/>
      <c r="C4" s="8" t="s">
        <v>1240</v>
      </c>
      <c r="D4" s="11">
        <v>22201</v>
      </c>
      <c r="E4" s="10" t="s">
        <v>2156</v>
      </c>
      <c r="F4" s="10" t="s">
        <v>2157</v>
      </c>
      <c r="G4" s="10" t="s">
        <v>2158</v>
      </c>
      <c r="H4" s="12"/>
      <c r="I4" s="17">
        <v>202</v>
      </c>
    </row>
    <row r="5" ht="14.25" spans="1:9">
      <c r="A5" s="2" t="s">
        <v>2159</v>
      </c>
      <c r="B5" s="7"/>
      <c r="C5" s="8" t="s">
        <v>1240</v>
      </c>
      <c r="D5" s="9">
        <v>22201</v>
      </c>
      <c r="E5" s="10" t="s">
        <v>2160</v>
      </c>
      <c r="F5" s="10" t="s">
        <v>2161</v>
      </c>
      <c r="G5" s="10" t="s">
        <v>2162</v>
      </c>
      <c r="H5" s="12"/>
      <c r="I5" s="17">
        <v>202</v>
      </c>
    </row>
    <row r="6" ht="14.25" spans="1:9">
      <c r="A6" s="2" t="s">
        <v>2163</v>
      </c>
      <c r="B6" s="7"/>
      <c r="C6" s="8" t="s">
        <v>1240</v>
      </c>
      <c r="D6" s="9">
        <v>22201</v>
      </c>
      <c r="E6" s="10" t="s">
        <v>2160</v>
      </c>
      <c r="F6" s="10" t="s">
        <v>2161</v>
      </c>
      <c r="G6" s="10" t="s">
        <v>2162</v>
      </c>
      <c r="H6" s="12"/>
      <c r="I6" s="17">
        <v>202</v>
      </c>
    </row>
    <row r="7" ht="14.25" spans="1:9">
      <c r="A7" s="2" t="s">
        <v>2164</v>
      </c>
      <c r="B7" s="7"/>
      <c r="C7" s="8" t="s">
        <v>1240</v>
      </c>
      <c r="D7" s="11">
        <v>22201</v>
      </c>
      <c r="E7" s="10" t="s">
        <v>2160</v>
      </c>
      <c r="F7" s="10" t="s">
        <v>2161</v>
      </c>
      <c r="G7" s="10" t="s">
        <v>2162</v>
      </c>
      <c r="H7" s="12"/>
      <c r="I7" s="17">
        <v>202</v>
      </c>
    </row>
    <row r="8" ht="36" spans="1:9">
      <c r="A8" s="2" t="s">
        <v>2165</v>
      </c>
      <c r="B8" s="7"/>
      <c r="C8" s="8" t="s">
        <v>2166</v>
      </c>
      <c r="D8" s="9">
        <v>22299</v>
      </c>
      <c r="E8" s="10" t="s">
        <v>2167</v>
      </c>
      <c r="F8" s="10" t="s">
        <v>2168</v>
      </c>
      <c r="G8" s="12"/>
      <c r="H8" s="10"/>
      <c r="I8" s="16" t="s">
        <v>2169</v>
      </c>
    </row>
    <row r="9" ht="36" spans="1:9">
      <c r="A9" s="2" t="s">
        <v>2170</v>
      </c>
      <c r="B9" s="7"/>
      <c r="C9" s="8" t="s">
        <v>2166</v>
      </c>
      <c r="D9" s="9">
        <v>22299</v>
      </c>
      <c r="E9" s="10" t="s">
        <v>2167</v>
      </c>
      <c r="F9" s="10" t="s">
        <v>2168</v>
      </c>
      <c r="G9" s="10" t="s">
        <v>2171</v>
      </c>
      <c r="H9" s="10"/>
      <c r="I9" s="16" t="s">
        <v>2169</v>
      </c>
    </row>
    <row r="10" ht="36" spans="1:9">
      <c r="A10" s="2" t="s">
        <v>2164</v>
      </c>
      <c r="B10" s="7"/>
      <c r="C10" s="8" t="s">
        <v>2166</v>
      </c>
      <c r="D10" s="9">
        <v>22299</v>
      </c>
      <c r="E10" s="10" t="s">
        <v>2167</v>
      </c>
      <c r="F10" s="10" t="s">
        <v>2168</v>
      </c>
      <c r="G10" s="10"/>
      <c r="H10" s="12"/>
      <c r="I10" s="16" t="s">
        <v>2169</v>
      </c>
    </row>
    <row r="11" ht="24" spans="1:9">
      <c r="A11" s="2" t="s">
        <v>2165</v>
      </c>
      <c r="B11" s="7"/>
      <c r="C11" s="8" t="s">
        <v>2166</v>
      </c>
      <c r="D11" s="9"/>
      <c r="E11" s="10" t="s">
        <v>2172</v>
      </c>
      <c r="F11" s="10" t="s">
        <v>2173</v>
      </c>
      <c r="G11" s="12"/>
      <c r="H11" s="10"/>
      <c r="I11" s="16" t="s">
        <v>2174</v>
      </c>
    </row>
    <row r="12" ht="24" spans="1:9">
      <c r="A12" s="2" t="s">
        <v>2170</v>
      </c>
      <c r="B12" s="7"/>
      <c r="C12" s="8" t="s">
        <v>2166</v>
      </c>
      <c r="D12" s="9"/>
      <c r="E12" s="10" t="s">
        <v>2172</v>
      </c>
      <c r="F12" s="10" t="s">
        <v>2173</v>
      </c>
      <c r="G12" s="10" t="s">
        <v>2171</v>
      </c>
      <c r="H12" s="12"/>
      <c r="I12" s="16" t="s">
        <v>2174</v>
      </c>
    </row>
    <row r="13" ht="24" spans="1:9">
      <c r="A13" s="2" t="s">
        <v>2164</v>
      </c>
      <c r="B13" s="7"/>
      <c r="C13" s="8" t="s">
        <v>2166</v>
      </c>
      <c r="D13" s="9"/>
      <c r="E13" s="10" t="s">
        <v>2172</v>
      </c>
      <c r="F13" s="10" t="s">
        <v>2173</v>
      </c>
      <c r="G13" s="10"/>
      <c r="H13" s="12"/>
      <c r="I13" s="16" t="s">
        <v>2174</v>
      </c>
    </row>
    <row r="14" ht="36" spans="1:9">
      <c r="A14" s="2" t="s">
        <v>2175</v>
      </c>
      <c r="B14" s="7"/>
      <c r="C14" s="8" t="s">
        <v>2176</v>
      </c>
      <c r="D14" s="9">
        <v>22299</v>
      </c>
      <c r="E14" s="10" t="s">
        <v>2177</v>
      </c>
      <c r="F14" s="10" t="s">
        <v>2178</v>
      </c>
      <c r="G14" s="12"/>
      <c r="H14" s="13"/>
      <c r="I14" s="16" t="s">
        <v>2179</v>
      </c>
    </row>
    <row r="15" ht="36" spans="1:9">
      <c r="A15" s="2" t="s">
        <v>2180</v>
      </c>
      <c r="B15" s="7"/>
      <c r="C15" s="8" t="s">
        <v>2176</v>
      </c>
      <c r="D15" s="11">
        <v>22299</v>
      </c>
      <c r="E15" s="10" t="s">
        <v>2177</v>
      </c>
      <c r="F15" s="10" t="s">
        <v>2178</v>
      </c>
      <c r="G15" s="12"/>
      <c r="H15" s="12"/>
      <c r="I15" s="16" t="s">
        <v>2179</v>
      </c>
    </row>
    <row r="16" ht="14.25" spans="1:9">
      <c r="A16" s="2" t="s">
        <v>2164</v>
      </c>
      <c r="B16" s="7"/>
      <c r="C16" s="8" t="s">
        <v>2181</v>
      </c>
      <c r="D16" s="7"/>
      <c r="E16" s="10" t="s">
        <v>2182</v>
      </c>
      <c r="F16" s="10" t="s">
        <v>2183</v>
      </c>
      <c r="G16" s="12"/>
      <c r="H16" s="12"/>
      <c r="I16" s="16" t="s">
        <v>2184</v>
      </c>
    </row>
    <row r="17" ht="14.25" spans="1:9">
      <c r="A17" s="2" t="s">
        <v>2164</v>
      </c>
      <c r="B17" s="7"/>
      <c r="C17" s="8" t="s">
        <v>2185</v>
      </c>
      <c r="D17" s="11">
        <v>22201</v>
      </c>
      <c r="E17" s="10" t="s">
        <v>2182</v>
      </c>
      <c r="F17" s="10" t="s">
        <v>2183</v>
      </c>
      <c r="G17" s="10"/>
      <c r="H17" s="12"/>
      <c r="I17" s="16" t="s">
        <v>2184</v>
      </c>
    </row>
    <row r="18" ht="14.25" spans="1:9">
      <c r="A18" s="2" t="s">
        <v>2164</v>
      </c>
      <c r="B18" s="7"/>
      <c r="C18" s="8" t="s">
        <v>2181</v>
      </c>
      <c r="D18" s="7"/>
      <c r="E18" s="10" t="s">
        <v>2186</v>
      </c>
      <c r="F18" s="10" t="s">
        <v>2187</v>
      </c>
      <c r="G18" s="12"/>
      <c r="H18" s="12"/>
      <c r="I18" s="16" t="s">
        <v>2184</v>
      </c>
    </row>
    <row r="19" ht="14.25" spans="1:9">
      <c r="A19" s="2" t="s">
        <v>2164</v>
      </c>
      <c r="B19" s="7"/>
      <c r="C19" s="8" t="s">
        <v>2185</v>
      </c>
      <c r="D19" s="7"/>
      <c r="E19" s="10" t="s">
        <v>2186</v>
      </c>
      <c r="F19" s="10" t="s">
        <v>2187</v>
      </c>
      <c r="G19" s="10"/>
      <c r="H19" s="12"/>
      <c r="I19" s="16" t="s">
        <v>2184</v>
      </c>
    </row>
    <row r="20" ht="14.25" spans="1:9">
      <c r="A20" s="2" t="s">
        <v>2164</v>
      </c>
      <c r="B20" s="7"/>
      <c r="C20" s="8" t="s">
        <v>2181</v>
      </c>
      <c r="D20" s="7"/>
      <c r="E20" s="10" t="s">
        <v>2188</v>
      </c>
      <c r="F20" s="10" t="s">
        <v>2189</v>
      </c>
      <c r="G20" s="12"/>
      <c r="H20" s="12"/>
      <c r="I20" s="16" t="s">
        <v>2184</v>
      </c>
    </row>
    <row r="21" ht="14.25" spans="1:9">
      <c r="A21" s="2" t="s">
        <v>2164</v>
      </c>
      <c r="B21" s="7"/>
      <c r="C21" s="8" t="s">
        <v>2185</v>
      </c>
      <c r="D21" s="7"/>
      <c r="E21" s="10" t="s">
        <v>2188</v>
      </c>
      <c r="F21" s="10" t="s">
        <v>2189</v>
      </c>
      <c r="G21" s="10"/>
      <c r="H21" s="12"/>
      <c r="I21" s="16" t="s">
        <v>2184</v>
      </c>
    </row>
    <row r="22" ht="14.25" spans="1:9">
      <c r="A22" s="2" t="s">
        <v>2164</v>
      </c>
      <c r="B22" s="7"/>
      <c r="C22" s="8" t="s">
        <v>2190</v>
      </c>
      <c r="D22" s="9">
        <v>22201</v>
      </c>
      <c r="E22" s="10" t="s">
        <v>2188</v>
      </c>
      <c r="F22" s="10" t="s">
        <v>2189</v>
      </c>
      <c r="G22" s="10"/>
      <c r="H22" s="12"/>
      <c r="I22" s="16" t="s">
        <v>2184</v>
      </c>
    </row>
    <row r="23" ht="14.25" spans="1:9">
      <c r="A23" s="2" t="s">
        <v>2164</v>
      </c>
      <c r="B23" s="7"/>
      <c r="C23" s="8" t="s">
        <v>2181</v>
      </c>
      <c r="D23" s="7"/>
      <c r="E23" s="10" t="s">
        <v>2191</v>
      </c>
      <c r="F23" s="10" t="s">
        <v>2192</v>
      </c>
      <c r="G23" s="10" t="s">
        <v>2193</v>
      </c>
      <c r="H23" s="12"/>
      <c r="I23" s="16" t="s">
        <v>2184</v>
      </c>
    </row>
    <row r="24" ht="14.25" spans="1:9">
      <c r="A24" s="2" t="s">
        <v>2164</v>
      </c>
      <c r="B24" s="7"/>
      <c r="C24" s="8" t="s">
        <v>2185</v>
      </c>
      <c r="D24" s="7"/>
      <c r="E24" s="10" t="s">
        <v>2191</v>
      </c>
      <c r="F24" s="10" t="s">
        <v>2192</v>
      </c>
      <c r="G24" s="10" t="s">
        <v>627</v>
      </c>
      <c r="H24" s="12"/>
      <c r="I24" s="16" t="s">
        <v>2184</v>
      </c>
    </row>
    <row r="25" ht="24" spans="1:9">
      <c r="A25" s="2" t="s">
        <v>2194</v>
      </c>
      <c r="B25" s="7"/>
      <c r="C25" s="8" t="s">
        <v>2195</v>
      </c>
      <c r="D25" s="9"/>
      <c r="E25" s="10" t="s">
        <v>2196</v>
      </c>
      <c r="F25" s="10" t="s">
        <v>2197</v>
      </c>
      <c r="G25" s="10" t="s">
        <v>2198</v>
      </c>
      <c r="H25" s="12"/>
      <c r="I25" s="17" t="s">
        <v>2199</v>
      </c>
    </row>
    <row r="26" ht="24" spans="1:9">
      <c r="A26" s="2" t="s">
        <v>2200</v>
      </c>
      <c r="B26" s="7"/>
      <c r="C26" s="8" t="s">
        <v>1240</v>
      </c>
      <c r="D26" s="11">
        <v>22299</v>
      </c>
      <c r="E26" s="10" t="s">
        <v>2201</v>
      </c>
      <c r="F26" s="10" t="s">
        <v>2202</v>
      </c>
      <c r="G26" s="10"/>
      <c r="H26" s="14" t="s">
        <v>2203</v>
      </c>
      <c r="I26" s="16" t="s">
        <v>2204</v>
      </c>
    </row>
    <row r="27" ht="14.25" spans="1:9">
      <c r="A27" s="2" t="s">
        <v>2200</v>
      </c>
      <c r="B27" s="10"/>
      <c r="C27" s="8" t="s">
        <v>2205</v>
      </c>
      <c r="D27" s="9">
        <v>22299</v>
      </c>
      <c r="E27" s="10" t="s">
        <v>2206</v>
      </c>
      <c r="F27" s="10" t="s">
        <v>2207</v>
      </c>
      <c r="G27" s="10" t="s">
        <v>2208</v>
      </c>
      <c r="H27" s="13"/>
      <c r="I27" s="16" t="s">
        <v>2209</v>
      </c>
    </row>
    <row r="28" ht="24" spans="1:9">
      <c r="A28" s="2" t="s">
        <v>2180</v>
      </c>
      <c r="B28" s="7"/>
      <c r="C28" s="8" t="s">
        <v>2210</v>
      </c>
      <c r="D28" s="9">
        <v>22299</v>
      </c>
      <c r="E28" s="10" t="s">
        <v>2211</v>
      </c>
      <c r="F28" s="10" t="s">
        <v>2212</v>
      </c>
      <c r="G28" s="12"/>
      <c r="H28" s="10" t="s">
        <v>2213</v>
      </c>
      <c r="I28" s="16" t="s">
        <v>2214</v>
      </c>
    </row>
    <row r="29" ht="24" spans="1:9">
      <c r="A29" s="2" t="s">
        <v>2194</v>
      </c>
      <c r="B29" s="7"/>
      <c r="C29" s="8" t="s">
        <v>2215</v>
      </c>
      <c r="D29" s="11">
        <v>22299</v>
      </c>
      <c r="E29" s="10" t="s">
        <v>2196</v>
      </c>
      <c r="F29" s="10" t="s">
        <v>2197</v>
      </c>
      <c r="G29" s="10"/>
      <c r="H29" s="12"/>
      <c r="I29" s="17" t="s">
        <v>2216</v>
      </c>
    </row>
    <row r="30" ht="14.25" spans="1:10">
      <c r="A30" s="2" t="s">
        <v>2165</v>
      </c>
      <c r="B30" s="7"/>
      <c r="C30" s="8" t="s">
        <v>2217</v>
      </c>
      <c r="D30" s="9">
        <v>22299</v>
      </c>
      <c r="E30" s="10" t="s">
        <v>2218</v>
      </c>
      <c r="F30" s="10" t="s">
        <v>2219</v>
      </c>
      <c r="G30" s="10" t="s">
        <v>2220</v>
      </c>
      <c r="H30" s="12"/>
      <c r="I30" s="16" t="s">
        <v>2221</v>
      </c>
      <c r="J30" s="16" t="s">
        <v>2222</v>
      </c>
    </row>
    <row r="31" ht="14.25" spans="1:9">
      <c r="A31" s="2" t="s">
        <v>2165</v>
      </c>
      <c r="B31" s="7"/>
      <c r="C31" s="8" t="s">
        <v>2223</v>
      </c>
      <c r="D31" s="9">
        <v>22299</v>
      </c>
      <c r="E31" s="10" t="s">
        <v>2218</v>
      </c>
      <c r="F31" s="10" t="s">
        <v>2219</v>
      </c>
      <c r="G31" s="10" t="s">
        <v>2224</v>
      </c>
      <c r="H31" s="12"/>
      <c r="I31" s="16" t="s">
        <v>2225</v>
      </c>
    </row>
    <row r="32" ht="14.25" spans="1:9">
      <c r="A32" s="2" t="s">
        <v>2165</v>
      </c>
      <c r="B32" s="7"/>
      <c r="C32" s="8" t="s">
        <v>2226</v>
      </c>
      <c r="D32" s="9"/>
      <c r="E32" s="10" t="s">
        <v>2218</v>
      </c>
      <c r="F32" s="10" t="s">
        <v>2219</v>
      </c>
      <c r="G32" s="10" t="s">
        <v>2227</v>
      </c>
      <c r="H32" s="12"/>
      <c r="I32" s="16" t="s">
        <v>2228</v>
      </c>
    </row>
    <row r="33" ht="48" spans="1:10">
      <c r="A33" s="2" t="s">
        <v>2175</v>
      </c>
      <c r="B33" s="7"/>
      <c r="C33" s="8" t="s">
        <v>2229</v>
      </c>
      <c r="D33" s="9">
        <v>22201</v>
      </c>
      <c r="E33" s="10" t="s">
        <v>2230</v>
      </c>
      <c r="F33" s="10" t="s">
        <v>2231</v>
      </c>
      <c r="G33" s="12"/>
      <c r="H33" s="15"/>
      <c r="I33" s="17" t="s">
        <v>2232</v>
      </c>
      <c r="J33" s="18" t="s">
        <v>2233</v>
      </c>
    </row>
    <row r="34" ht="48" spans="1:10">
      <c r="A34" s="2" t="s">
        <v>2165</v>
      </c>
      <c r="B34" s="7"/>
      <c r="C34" s="8" t="s">
        <v>2234</v>
      </c>
      <c r="D34" s="11">
        <v>22201</v>
      </c>
      <c r="E34" s="10" t="s">
        <v>2230</v>
      </c>
      <c r="F34" s="10" t="s">
        <v>2231</v>
      </c>
      <c r="G34" s="10"/>
      <c r="H34" s="10" t="s">
        <v>2235</v>
      </c>
      <c r="I34" s="17" t="s">
        <v>2232</v>
      </c>
      <c r="J34" s="18" t="s">
        <v>2233</v>
      </c>
    </row>
    <row r="35" ht="48" spans="1:10">
      <c r="A35" s="2" t="s">
        <v>2175</v>
      </c>
      <c r="B35" s="7"/>
      <c r="C35" s="8" t="s">
        <v>2236</v>
      </c>
      <c r="D35" s="11">
        <v>22299</v>
      </c>
      <c r="E35" s="10" t="s">
        <v>2230</v>
      </c>
      <c r="F35" s="10" t="s">
        <v>2231</v>
      </c>
      <c r="G35" s="10"/>
      <c r="H35" s="10" t="s">
        <v>2235</v>
      </c>
      <c r="I35" s="17" t="s">
        <v>2232</v>
      </c>
      <c r="J35" s="18" t="s">
        <v>2233</v>
      </c>
    </row>
    <row r="36" ht="48" spans="1:10">
      <c r="A36" s="2" t="s">
        <v>2175</v>
      </c>
      <c r="B36" s="7"/>
      <c r="C36" s="8" t="s">
        <v>2237</v>
      </c>
      <c r="D36" s="9">
        <v>22299</v>
      </c>
      <c r="E36" s="10" t="s">
        <v>2230</v>
      </c>
      <c r="F36" s="10" t="s">
        <v>2231</v>
      </c>
      <c r="G36" s="10"/>
      <c r="H36" s="10" t="s">
        <v>2235</v>
      </c>
      <c r="I36" s="17" t="s">
        <v>2232</v>
      </c>
      <c r="J36" s="18" t="s">
        <v>2233</v>
      </c>
    </row>
    <row r="37" ht="48" spans="1:10">
      <c r="A37" s="2" t="s">
        <v>2175</v>
      </c>
      <c r="B37" s="7"/>
      <c r="C37" s="8" t="s">
        <v>2238</v>
      </c>
      <c r="D37" s="11">
        <v>22201</v>
      </c>
      <c r="E37" s="10" t="s">
        <v>2230</v>
      </c>
      <c r="F37" s="10" t="s">
        <v>2231</v>
      </c>
      <c r="G37" s="12"/>
      <c r="H37" s="12"/>
      <c r="I37" s="17" t="s">
        <v>2232</v>
      </c>
      <c r="J37" s="18" t="s">
        <v>2233</v>
      </c>
    </row>
    <row r="38" ht="54" spans="1:9">
      <c r="A38" s="2" t="s">
        <v>2239</v>
      </c>
      <c r="B38" s="8" t="s">
        <v>2239</v>
      </c>
      <c r="C38" s="8" t="s">
        <v>2205</v>
      </c>
      <c r="D38" s="9">
        <v>22299</v>
      </c>
      <c r="E38" s="10" t="s">
        <v>2240</v>
      </c>
      <c r="F38" s="10" t="s">
        <v>2241</v>
      </c>
      <c r="G38" s="12"/>
      <c r="H38" s="12"/>
      <c r="I38" s="19" t="s">
        <v>2242</v>
      </c>
    </row>
    <row r="39" ht="54" spans="1:9">
      <c r="A39" s="2" t="s">
        <v>2180</v>
      </c>
      <c r="B39" s="7"/>
      <c r="C39" s="8" t="s">
        <v>2205</v>
      </c>
      <c r="D39" s="11">
        <v>22299</v>
      </c>
      <c r="E39" s="10" t="s">
        <v>2240</v>
      </c>
      <c r="F39" s="10" t="s">
        <v>2241</v>
      </c>
      <c r="G39" s="12"/>
      <c r="H39" s="12"/>
      <c r="I39" s="19" t="s">
        <v>2242</v>
      </c>
    </row>
    <row r="40" ht="54" spans="1:9">
      <c r="A40" s="2" t="s">
        <v>2175</v>
      </c>
      <c r="B40" s="7"/>
      <c r="C40" s="8" t="s">
        <v>2243</v>
      </c>
      <c r="D40" s="11">
        <v>22299</v>
      </c>
      <c r="E40" s="10" t="s">
        <v>2240</v>
      </c>
      <c r="F40" s="10" t="s">
        <v>2241</v>
      </c>
      <c r="G40" s="12"/>
      <c r="H40" s="12"/>
      <c r="I40" s="19" t="s">
        <v>2242</v>
      </c>
    </row>
    <row r="41" ht="14.25" spans="1:9">
      <c r="A41" s="2" t="s">
        <v>2164</v>
      </c>
      <c r="B41" s="7"/>
      <c r="C41" s="8" t="s">
        <v>2244</v>
      </c>
      <c r="D41" s="11">
        <v>22299</v>
      </c>
      <c r="E41" s="10" t="s">
        <v>2245</v>
      </c>
      <c r="F41" s="10" t="s">
        <v>2246</v>
      </c>
      <c r="G41" s="10" t="s">
        <v>2247</v>
      </c>
      <c r="H41" s="12"/>
      <c r="I41" s="17" t="s">
        <v>2248</v>
      </c>
    </row>
    <row r="42" ht="14.25" spans="1:9">
      <c r="A42" s="2" t="s">
        <v>2180</v>
      </c>
      <c r="B42" s="7"/>
      <c r="C42" s="8" t="s">
        <v>2249</v>
      </c>
      <c r="D42" s="7"/>
      <c r="E42" s="10" t="s">
        <v>734</v>
      </c>
      <c r="F42" s="10" t="s">
        <v>2250</v>
      </c>
      <c r="G42" s="10" t="s">
        <v>2208</v>
      </c>
      <c r="H42" s="12"/>
      <c r="I42" s="16" t="s">
        <v>2251</v>
      </c>
    </row>
    <row r="43" ht="14.25" spans="1:9">
      <c r="A43" s="2" t="s">
        <v>2180</v>
      </c>
      <c r="B43" s="7"/>
      <c r="C43" s="8" t="s">
        <v>1240</v>
      </c>
      <c r="D43" s="9"/>
      <c r="E43" s="10" t="s">
        <v>734</v>
      </c>
      <c r="F43" s="10" t="s">
        <v>2250</v>
      </c>
      <c r="G43" s="10" t="s">
        <v>2208</v>
      </c>
      <c r="H43" s="12"/>
      <c r="I43" s="16" t="s">
        <v>2251</v>
      </c>
    </row>
    <row r="44" ht="36" spans="1:9">
      <c r="A44" s="2" t="s">
        <v>2170</v>
      </c>
      <c r="B44" s="7"/>
      <c r="C44" s="8" t="s">
        <v>2252</v>
      </c>
      <c r="D44" s="9">
        <v>22315</v>
      </c>
      <c r="E44" s="10" t="s">
        <v>2253</v>
      </c>
      <c r="F44" s="10" t="s">
        <v>2254</v>
      </c>
      <c r="G44" s="10" t="s">
        <v>2255</v>
      </c>
      <c r="H44" s="12"/>
      <c r="I44" s="17" t="s">
        <v>2256</v>
      </c>
    </row>
    <row r="45" ht="36" spans="1:9">
      <c r="A45" s="2" t="s">
        <v>2170</v>
      </c>
      <c r="B45" s="7"/>
      <c r="C45" s="8" t="s">
        <v>2154</v>
      </c>
      <c r="D45" s="7"/>
      <c r="E45" s="10" t="s">
        <v>2257</v>
      </c>
      <c r="F45" s="10" t="s">
        <v>2258</v>
      </c>
      <c r="G45" s="10" t="s">
        <v>2259</v>
      </c>
      <c r="I45" s="17" t="s">
        <v>2260</v>
      </c>
    </row>
    <row r="46" ht="48" spans="1:9">
      <c r="A46" s="2" t="s">
        <v>2170</v>
      </c>
      <c r="B46" s="7"/>
      <c r="C46" s="8" t="s">
        <v>1346</v>
      </c>
      <c r="D46" s="7"/>
      <c r="E46" s="10" t="s">
        <v>2261</v>
      </c>
      <c r="F46" s="10" t="s">
        <v>2262</v>
      </c>
      <c r="G46" s="10" t="s">
        <v>2263</v>
      </c>
      <c r="I46" s="17" t="s">
        <v>2264</v>
      </c>
    </row>
    <row r="47" ht="14.25" spans="1:9">
      <c r="A47" s="2" t="s">
        <v>2164</v>
      </c>
      <c r="B47" s="7"/>
      <c r="C47" s="8" t="s">
        <v>2181</v>
      </c>
      <c r="D47" s="11">
        <v>22201</v>
      </c>
      <c r="E47" s="10" t="s">
        <v>2265</v>
      </c>
      <c r="F47" s="10" t="s">
        <v>2266</v>
      </c>
      <c r="G47" s="12"/>
      <c r="H47" s="12"/>
      <c r="I47" s="16" t="s">
        <v>2267</v>
      </c>
    </row>
    <row r="48" ht="14.25" spans="1:9">
      <c r="A48" s="2" t="s">
        <v>2180</v>
      </c>
      <c r="B48" s="7"/>
      <c r="C48" s="8" t="s">
        <v>2268</v>
      </c>
      <c r="D48" s="11">
        <v>22299</v>
      </c>
      <c r="E48" s="10" t="s">
        <v>719</v>
      </c>
      <c r="F48" s="10" t="s">
        <v>2269</v>
      </c>
      <c r="G48" s="10" t="s">
        <v>2208</v>
      </c>
      <c r="H48" s="12"/>
      <c r="I48" s="17" t="s">
        <v>2270</v>
      </c>
    </row>
    <row r="49" ht="36" spans="1:9">
      <c r="A49" s="2" t="s">
        <v>2271</v>
      </c>
      <c r="B49" s="7"/>
      <c r="C49" s="8" t="s">
        <v>2272</v>
      </c>
      <c r="D49" s="9">
        <v>22201</v>
      </c>
      <c r="E49" s="10" t="s">
        <v>2273</v>
      </c>
      <c r="F49" s="10" t="s">
        <v>2274</v>
      </c>
      <c r="G49" s="10"/>
      <c r="I49" s="17" t="s">
        <v>2275</v>
      </c>
    </row>
    <row r="50" ht="36" spans="1:9">
      <c r="A50" s="2" t="s">
        <v>2170</v>
      </c>
      <c r="B50" s="7"/>
      <c r="C50" s="8" t="s">
        <v>2276</v>
      </c>
      <c r="D50" s="9">
        <v>22399</v>
      </c>
      <c r="E50" s="10" t="s">
        <v>2277</v>
      </c>
      <c r="F50" s="10" t="s">
        <v>2278</v>
      </c>
      <c r="G50" s="10" t="s">
        <v>2279</v>
      </c>
      <c r="I50" s="17" t="s">
        <v>2280</v>
      </c>
    </row>
    <row r="51" ht="14.25" spans="1:9">
      <c r="A51" s="2" t="s">
        <v>2165</v>
      </c>
      <c r="B51" s="7"/>
      <c r="C51" s="8" t="s">
        <v>1240</v>
      </c>
      <c r="D51" s="9">
        <v>22201</v>
      </c>
      <c r="E51" s="10" t="s">
        <v>2281</v>
      </c>
      <c r="F51" s="10" t="s">
        <v>2282</v>
      </c>
      <c r="G51" s="10" t="s">
        <v>2224</v>
      </c>
      <c r="H51" s="12"/>
      <c r="I51" s="17" t="s">
        <v>2283</v>
      </c>
    </row>
    <row r="52" ht="14.25" spans="1:9">
      <c r="A52" s="2" t="s">
        <v>2284</v>
      </c>
      <c r="B52" s="7"/>
      <c r="C52" s="8" t="s">
        <v>1240</v>
      </c>
      <c r="D52" s="11">
        <v>22201</v>
      </c>
      <c r="E52" s="10" t="s">
        <v>2281</v>
      </c>
      <c r="F52" s="10" t="s">
        <v>2282</v>
      </c>
      <c r="G52" s="10" t="s">
        <v>2224</v>
      </c>
      <c r="H52" s="12"/>
      <c r="I52" s="17" t="s">
        <v>2283</v>
      </c>
    </row>
    <row r="53" ht="14.25" spans="1:9">
      <c r="A53" s="2" t="s">
        <v>2180</v>
      </c>
      <c r="B53" s="7"/>
      <c r="C53" s="8" t="s">
        <v>1240</v>
      </c>
      <c r="D53" s="9"/>
      <c r="E53" s="10" t="s">
        <v>2281</v>
      </c>
      <c r="F53" s="10" t="s">
        <v>2282</v>
      </c>
      <c r="G53" s="10" t="s">
        <v>2224</v>
      </c>
      <c r="H53" s="12"/>
      <c r="I53" s="16" t="s">
        <v>2283</v>
      </c>
    </row>
    <row r="54" ht="14.25" spans="1:9">
      <c r="A54" s="2" t="s">
        <v>2180</v>
      </c>
      <c r="B54" s="7"/>
      <c r="C54" s="8" t="s">
        <v>1240</v>
      </c>
      <c r="D54" s="9">
        <v>22201</v>
      </c>
      <c r="E54" s="10" t="s">
        <v>719</v>
      </c>
      <c r="F54" s="10" t="s">
        <v>2269</v>
      </c>
      <c r="G54" s="10" t="s">
        <v>2285</v>
      </c>
      <c r="H54" s="12"/>
      <c r="I54" s="17" t="s">
        <v>2286</v>
      </c>
    </row>
    <row r="55" ht="24" spans="1:9">
      <c r="A55" s="2" t="s">
        <v>2287</v>
      </c>
      <c r="B55" s="7"/>
      <c r="C55" s="8" t="s">
        <v>2288</v>
      </c>
      <c r="D55" s="9">
        <v>22299</v>
      </c>
      <c r="E55" s="10" t="s">
        <v>2289</v>
      </c>
      <c r="F55" s="10" t="s">
        <v>2290</v>
      </c>
      <c r="G55" s="10" t="s">
        <v>2259</v>
      </c>
      <c r="I55" s="17" t="s">
        <v>2291</v>
      </c>
    </row>
    <row r="56" ht="24" spans="1:9">
      <c r="A56" s="2" t="s">
        <v>2287</v>
      </c>
      <c r="B56" s="7"/>
      <c r="C56" s="8" t="s">
        <v>2292</v>
      </c>
      <c r="D56" s="11">
        <v>22299</v>
      </c>
      <c r="E56" s="10" t="s">
        <v>2289</v>
      </c>
      <c r="F56" s="10" t="s">
        <v>2290</v>
      </c>
      <c r="G56" s="10" t="s">
        <v>2293</v>
      </c>
      <c r="I56" s="17" t="s">
        <v>2294</v>
      </c>
    </row>
    <row r="57" ht="36" spans="1:9">
      <c r="A57" s="2" t="s">
        <v>2175</v>
      </c>
      <c r="B57" s="7"/>
      <c r="C57" s="8" t="s">
        <v>2295</v>
      </c>
      <c r="D57" s="9">
        <v>22206</v>
      </c>
      <c r="E57" s="10" t="s">
        <v>2296</v>
      </c>
      <c r="F57" s="10" t="s">
        <v>2297</v>
      </c>
      <c r="G57" s="12"/>
      <c r="H57" s="10" t="s">
        <v>2213</v>
      </c>
      <c r="I57" s="17" t="s">
        <v>2298</v>
      </c>
    </row>
    <row r="58" ht="36" spans="1:9">
      <c r="A58" s="2" t="s">
        <v>2287</v>
      </c>
      <c r="B58" s="7"/>
      <c r="C58" s="8" t="s">
        <v>2295</v>
      </c>
      <c r="D58" s="9">
        <v>22206</v>
      </c>
      <c r="E58" s="10" t="s">
        <v>2296</v>
      </c>
      <c r="F58" s="10" t="s">
        <v>2297</v>
      </c>
      <c r="G58" s="12"/>
      <c r="H58" s="10" t="s">
        <v>2213</v>
      </c>
      <c r="I58" s="17" t="s">
        <v>2298</v>
      </c>
    </row>
    <row r="59" ht="36" spans="1:9">
      <c r="A59" s="2" t="s">
        <v>2164</v>
      </c>
      <c r="B59" s="7"/>
      <c r="C59" s="8" t="s">
        <v>2295</v>
      </c>
      <c r="D59" s="9">
        <v>22206</v>
      </c>
      <c r="E59" s="10" t="s">
        <v>2296</v>
      </c>
      <c r="F59" s="10" t="s">
        <v>2297</v>
      </c>
      <c r="G59" s="10"/>
      <c r="H59" s="10" t="s">
        <v>2213</v>
      </c>
      <c r="I59" s="17" t="s">
        <v>2298</v>
      </c>
    </row>
    <row r="60" ht="36" spans="1:9">
      <c r="A60" s="2" t="s">
        <v>2299</v>
      </c>
      <c r="B60" s="10"/>
      <c r="C60" s="8" t="s">
        <v>1346</v>
      </c>
      <c r="D60" s="9">
        <v>22299</v>
      </c>
      <c r="E60" s="10" t="s">
        <v>2300</v>
      </c>
      <c r="F60" s="10" t="s">
        <v>2301</v>
      </c>
      <c r="G60" s="12"/>
      <c r="H60" s="10" t="s">
        <v>2302</v>
      </c>
      <c r="I60" s="17" t="s">
        <v>2303</v>
      </c>
    </row>
    <row r="61" ht="36" spans="1:9">
      <c r="A61" s="2" t="s">
        <v>2304</v>
      </c>
      <c r="B61" s="10"/>
      <c r="C61" s="8" t="s">
        <v>1346</v>
      </c>
      <c r="D61" s="9">
        <v>22299</v>
      </c>
      <c r="E61" s="10" t="s">
        <v>2300</v>
      </c>
      <c r="F61" s="10" t="s">
        <v>2301</v>
      </c>
      <c r="G61" s="12"/>
      <c r="H61" s="10" t="s">
        <v>2302</v>
      </c>
      <c r="I61" s="17" t="s">
        <v>2303</v>
      </c>
    </row>
    <row r="62" ht="36" spans="1:9">
      <c r="A62" s="2" t="s">
        <v>2305</v>
      </c>
      <c r="B62" s="10"/>
      <c r="C62" s="8" t="s">
        <v>1346</v>
      </c>
      <c r="D62" s="9">
        <v>22299</v>
      </c>
      <c r="E62" s="10" t="s">
        <v>2300</v>
      </c>
      <c r="F62" s="10" t="s">
        <v>2301</v>
      </c>
      <c r="G62" s="12"/>
      <c r="H62" s="10" t="s">
        <v>2302</v>
      </c>
      <c r="I62" s="17" t="s">
        <v>2303</v>
      </c>
    </row>
    <row r="63" ht="36" spans="1:9">
      <c r="A63" s="2" t="s">
        <v>2306</v>
      </c>
      <c r="B63" s="10"/>
      <c r="C63" s="8" t="s">
        <v>1346</v>
      </c>
      <c r="D63" s="9">
        <v>22299</v>
      </c>
      <c r="E63" s="10" t="s">
        <v>2300</v>
      </c>
      <c r="F63" s="10" t="s">
        <v>2301</v>
      </c>
      <c r="G63" s="12"/>
      <c r="H63" s="10" t="s">
        <v>2302</v>
      </c>
      <c r="I63" s="17" t="s">
        <v>2303</v>
      </c>
    </row>
    <row r="64" ht="36" spans="1:9">
      <c r="A64" s="2" t="s">
        <v>2307</v>
      </c>
      <c r="B64" s="7"/>
      <c r="C64" s="8" t="s">
        <v>1346</v>
      </c>
      <c r="D64" s="9">
        <v>22299</v>
      </c>
      <c r="E64" s="10" t="s">
        <v>2300</v>
      </c>
      <c r="F64" s="10" t="s">
        <v>2301</v>
      </c>
      <c r="G64" s="12"/>
      <c r="H64" s="10" t="s">
        <v>2302</v>
      </c>
      <c r="I64" s="17" t="s">
        <v>2303</v>
      </c>
    </row>
    <row r="65" ht="36" spans="1:9">
      <c r="A65" s="2" t="s">
        <v>2308</v>
      </c>
      <c r="B65" s="7"/>
      <c r="C65" s="8" t="s">
        <v>1346</v>
      </c>
      <c r="D65" s="9">
        <v>22299</v>
      </c>
      <c r="E65" s="10" t="s">
        <v>2300</v>
      </c>
      <c r="F65" s="10" t="s">
        <v>2301</v>
      </c>
      <c r="G65" s="12"/>
      <c r="H65" s="10" t="s">
        <v>2302</v>
      </c>
      <c r="I65" s="17" t="s">
        <v>2303</v>
      </c>
    </row>
    <row r="66" ht="36" spans="1:9">
      <c r="A66" s="2" t="s">
        <v>2175</v>
      </c>
      <c r="B66" s="7"/>
      <c r="C66" s="8" t="s">
        <v>2309</v>
      </c>
      <c r="D66" s="9">
        <v>22299</v>
      </c>
      <c r="E66" s="10" t="s">
        <v>2300</v>
      </c>
      <c r="F66" s="10" t="s">
        <v>2301</v>
      </c>
      <c r="G66" s="10"/>
      <c r="H66" s="10" t="s">
        <v>2302</v>
      </c>
      <c r="I66" s="17" t="s">
        <v>2303</v>
      </c>
    </row>
    <row r="67" ht="36" spans="1:9">
      <c r="A67" s="2" t="s">
        <v>2180</v>
      </c>
      <c r="B67" s="7"/>
      <c r="C67" s="8" t="s">
        <v>2249</v>
      </c>
      <c r="D67" s="9">
        <v>22201</v>
      </c>
      <c r="E67" s="10" t="s">
        <v>2300</v>
      </c>
      <c r="F67" s="10" t="s">
        <v>2301</v>
      </c>
      <c r="G67" s="10"/>
      <c r="H67" s="10" t="s">
        <v>2302</v>
      </c>
      <c r="I67" s="17" t="s">
        <v>2303</v>
      </c>
    </row>
    <row r="68" ht="36" spans="1:9">
      <c r="A68" s="2" t="s">
        <v>2175</v>
      </c>
      <c r="B68" s="7"/>
      <c r="C68" s="8" t="s">
        <v>2310</v>
      </c>
      <c r="D68" s="9">
        <v>22220</v>
      </c>
      <c r="E68" s="10" t="s">
        <v>2311</v>
      </c>
      <c r="F68" s="10" t="s">
        <v>2312</v>
      </c>
      <c r="G68" s="12"/>
      <c r="I68" s="17" t="s">
        <v>2313</v>
      </c>
    </row>
    <row r="69" ht="24" spans="1:9">
      <c r="A69" s="2" t="s">
        <v>2287</v>
      </c>
      <c r="B69" s="7"/>
      <c r="C69" s="8" t="s">
        <v>2314</v>
      </c>
      <c r="D69" s="11">
        <v>22201</v>
      </c>
      <c r="E69" s="10" t="s">
        <v>2289</v>
      </c>
      <c r="F69" s="10" t="s">
        <v>2290</v>
      </c>
      <c r="G69" s="10" t="s">
        <v>2208</v>
      </c>
      <c r="I69" s="17" t="s">
        <v>2315</v>
      </c>
    </row>
    <row r="70" ht="24" spans="1:9">
      <c r="A70" s="2" t="s">
        <v>2170</v>
      </c>
      <c r="B70" s="7"/>
      <c r="C70" s="8" t="s">
        <v>1346</v>
      </c>
      <c r="D70" s="11">
        <v>22299</v>
      </c>
      <c r="E70" s="10" t="s">
        <v>2316</v>
      </c>
      <c r="F70" s="10" t="s">
        <v>2317</v>
      </c>
      <c r="G70" s="12"/>
      <c r="I70" s="17" t="s">
        <v>2318</v>
      </c>
    </row>
    <row r="71" ht="24" spans="1:9">
      <c r="A71" s="2" t="s">
        <v>2170</v>
      </c>
      <c r="B71" s="7"/>
      <c r="C71" s="8" t="s">
        <v>2319</v>
      </c>
      <c r="D71" s="9">
        <v>22319</v>
      </c>
      <c r="E71" s="10" t="s">
        <v>2320</v>
      </c>
      <c r="F71" s="10" t="s">
        <v>2321</v>
      </c>
      <c r="G71" s="10"/>
      <c r="H71" s="12"/>
      <c r="I71" s="17" t="s">
        <v>2322</v>
      </c>
    </row>
    <row r="72" ht="24" spans="1:9">
      <c r="A72" s="2" t="s">
        <v>2175</v>
      </c>
      <c r="B72" s="7"/>
      <c r="C72" s="8" t="s">
        <v>2323</v>
      </c>
      <c r="D72" s="11">
        <v>22299</v>
      </c>
      <c r="E72" s="10" t="s">
        <v>2320</v>
      </c>
      <c r="F72" s="10" t="s">
        <v>2321</v>
      </c>
      <c r="G72" s="10"/>
      <c r="H72" s="12"/>
      <c r="I72" s="17" t="s">
        <v>2322</v>
      </c>
    </row>
    <row r="73" ht="14.25" spans="1:9">
      <c r="A73" s="2" t="s">
        <v>2165</v>
      </c>
      <c r="B73" s="7"/>
      <c r="C73" s="8" t="s">
        <v>2324</v>
      </c>
      <c r="D73" s="11">
        <v>22299</v>
      </c>
      <c r="E73" s="10" t="s">
        <v>2218</v>
      </c>
      <c r="F73" s="10" t="s">
        <v>2219</v>
      </c>
      <c r="G73" s="10" t="s">
        <v>2325</v>
      </c>
      <c r="H73" s="12"/>
      <c r="I73" s="16" t="s">
        <v>2326</v>
      </c>
    </row>
    <row r="74" ht="14.25" spans="1:9">
      <c r="A74" s="2" t="s">
        <v>2165</v>
      </c>
      <c r="B74" s="7"/>
      <c r="C74" s="8" t="s">
        <v>2327</v>
      </c>
      <c r="D74" s="11">
        <v>22299</v>
      </c>
      <c r="E74" s="10" t="s">
        <v>2218</v>
      </c>
      <c r="F74" s="10" t="s">
        <v>2219</v>
      </c>
      <c r="G74" s="10" t="s">
        <v>2328</v>
      </c>
      <c r="H74" s="12"/>
      <c r="I74" s="16" t="s">
        <v>2329</v>
      </c>
    </row>
    <row r="75" ht="14.25" spans="1:9">
      <c r="A75" s="2" t="s">
        <v>2165</v>
      </c>
      <c r="B75" s="7"/>
      <c r="C75" s="8" t="s">
        <v>2330</v>
      </c>
      <c r="D75" s="11">
        <v>22299</v>
      </c>
      <c r="E75" s="10" t="s">
        <v>2218</v>
      </c>
      <c r="F75" s="10" t="s">
        <v>2219</v>
      </c>
      <c r="G75" s="10" t="s">
        <v>2331</v>
      </c>
      <c r="H75" s="12"/>
      <c r="I75" s="16" t="s">
        <v>2332</v>
      </c>
    </row>
    <row r="76" ht="14.25" spans="1:11">
      <c r="A76" s="2" t="s">
        <v>2165</v>
      </c>
      <c r="B76" s="7"/>
      <c r="C76" s="8" t="s">
        <v>2333</v>
      </c>
      <c r="D76" s="9">
        <v>22222</v>
      </c>
      <c r="E76" s="10" t="s">
        <v>2218</v>
      </c>
      <c r="F76" s="10" t="s">
        <v>2219</v>
      </c>
      <c r="G76" s="10" t="s">
        <v>2334</v>
      </c>
      <c r="H76" s="12"/>
      <c r="I76" s="16" t="s">
        <v>2335</v>
      </c>
      <c r="J76" s="16" t="s">
        <v>2336</v>
      </c>
      <c r="K76" s="16" t="s">
        <v>2337</v>
      </c>
    </row>
    <row r="77" ht="14.25" spans="1:9">
      <c r="A77" s="2" t="s">
        <v>2165</v>
      </c>
      <c r="B77" s="7"/>
      <c r="C77" s="8" t="s">
        <v>2338</v>
      </c>
      <c r="D77" s="9">
        <v>22299</v>
      </c>
      <c r="E77" s="10" t="s">
        <v>2218</v>
      </c>
      <c r="F77" s="10" t="s">
        <v>2219</v>
      </c>
      <c r="G77" s="10" t="s">
        <v>2339</v>
      </c>
      <c r="H77" s="12"/>
      <c r="I77" s="16" t="s">
        <v>2335</v>
      </c>
    </row>
    <row r="78" ht="24" spans="1:9">
      <c r="A78" s="2" t="s">
        <v>2194</v>
      </c>
      <c r="B78" s="7"/>
      <c r="C78" s="8" t="s">
        <v>1346</v>
      </c>
      <c r="D78" s="9">
        <v>22299</v>
      </c>
      <c r="E78" s="10" t="s">
        <v>2196</v>
      </c>
      <c r="F78" s="10" t="s">
        <v>2197</v>
      </c>
      <c r="G78" s="10"/>
      <c r="H78" s="10"/>
      <c r="I78" s="17" t="s">
        <v>2340</v>
      </c>
    </row>
    <row r="79" ht="14.25" spans="1:9">
      <c r="A79" s="2" t="s">
        <v>2194</v>
      </c>
      <c r="B79" s="7"/>
      <c r="C79" s="8" t="s">
        <v>2341</v>
      </c>
      <c r="D79" s="9">
        <v>22201</v>
      </c>
      <c r="E79" s="10" t="s">
        <v>2342</v>
      </c>
      <c r="F79" s="10" t="s">
        <v>2343</v>
      </c>
      <c r="G79" s="10" t="s">
        <v>2331</v>
      </c>
      <c r="H79" s="12"/>
      <c r="I79" s="16" t="s">
        <v>2344</v>
      </c>
    </row>
    <row r="80" ht="24" spans="1:9">
      <c r="A80" s="2" t="s">
        <v>2170</v>
      </c>
      <c r="B80" s="7"/>
      <c r="C80" s="8" t="s">
        <v>1346</v>
      </c>
      <c r="D80" s="7"/>
      <c r="E80" s="10" t="s">
        <v>2345</v>
      </c>
      <c r="F80" s="10" t="s">
        <v>2346</v>
      </c>
      <c r="G80" s="10" t="s">
        <v>2158</v>
      </c>
      <c r="H80" s="12"/>
      <c r="I80" s="16" t="s">
        <v>2347</v>
      </c>
    </row>
    <row r="81" ht="24" spans="1:9">
      <c r="A81" s="2" t="s">
        <v>2348</v>
      </c>
      <c r="B81" s="10"/>
      <c r="C81" s="8" t="s">
        <v>2314</v>
      </c>
      <c r="D81" s="9">
        <v>22201</v>
      </c>
      <c r="E81" s="10" t="s">
        <v>2349</v>
      </c>
      <c r="F81" s="10" t="s">
        <v>2350</v>
      </c>
      <c r="G81" s="12"/>
      <c r="H81" s="12"/>
      <c r="I81" s="17" t="s">
        <v>2351</v>
      </c>
    </row>
    <row r="82" ht="24" spans="1:9">
      <c r="A82" s="2" t="s">
        <v>2180</v>
      </c>
      <c r="B82" s="7"/>
      <c r="C82" s="8" t="s">
        <v>2352</v>
      </c>
      <c r="D82" s="11">
        <v>22299</v>
      </c>
      <c r="E82" s="10" t="s">
        <v>2349</v>
      </c>
      <c r="F82" s="10" t="s">
        <v>2350</v>
      </c>
      <c r="G82" s="10"/>
      <c r="H82" s="12"/>
      <c r="I82" s="17" t="s">
        <v>2351</v>
      </c>
    </row>
    <row r="83" ht="36" spans="1:9">
      <c r="A83" s="2" t="s">
        <v>2180</v>
      </c>
      <c r="B83" s="7"/>
      <c r="C83" s="8" t="s">
        <v>2353</v>
      </c>
      <c r="D83" s="11">
        <v>22299</v>
      </c>
      <c r="E83" s="10" t="s">
        <v>2354</v>
      </c>
      <c r="F83" s="10" t="s">
        <v>2355</v>
      </c>
      <c r="G83" s="12"/>
      <c r="H83" s="12"/>
      <c r="I83" s="16" t="s">
        <v>2356</v>
      </c>
    </row>
    <row r="84" ht="36" spans="1:9">
      <c r="A84" s="2" t="s">
        <v>2180</v>
      </c>
      <c r="B84" s="7"/>
      <c r="C84" s="8" t="s">
        <v>1346</v>
      </c>
      <c r="D84" s="11">
        <v>22299</v>
      </c>
      <c r="E84" s="10" t="s">
        <v>2354</v>
      </c>
      <c r="F84" s="10" t="s">
        <v>2355</v>
      </c>
      <c r="G84" s="12"/>
      <c r="H84" s="12"/>
      <c r="I84" s="16" t="s">
        <v>2356</v>
      </c>
    </row>
    <row r="85" ht="36" spans="1:8">
      <c r="A85" s="2" t="s">
        <v>2175</v>
      </c>
      <c r="B85" s="7"/>
      <c r="C85" s="8" t="s">
        <v>149</v>
      </c>
      <c r="D85" s="11">
        <v>22201</v>
      </c>
      <c r="E85" s="10" t="s">
        <v>2357</v>
      </c>
      <c r="F85" s="10" t="s">
        <v>2358</v>
      </c>
      <c r="G85" s="12"/>
      <c r="H85" s="12"/>
    </row>
    <row r="86" ht="36" spans="1:9">
      <c r="A86" s="2" t="s">
        <v>2170</v>
      </c>
      <c r="B86" s="7"/>
      <c r="C86" s="8" t="s">
        <v>2154</v>
      </c>
      <c r="D86" s="11">
        <v>22399</v>
      </c>
      <c r="E86" s="10" t="s">
        <v>2359</v>
      </c>
      <c r="F86" s="10" t="s">
        <v>2360</v>
      </c>
      <c r="G86" s="10" t="s">
        <v>2255</v>
      </c>
      <c r="I86" s="10"/>
    </row>
    <row r="87" ht="24" spans="1:9">
      <c r="A87" s="2" t="s">
        <v>2170</v>
      </c>
      <c r="B87" s="7"/>
      <c r="C87" s="8" t="s">
        <v>1346</v>
      </c>
      <c r="D87" s="9"/>
      <c r="E87" s="10" t="s">
        <v>2361</v>
      </c>
      <c r="F87" s="10" t="s">
        <v>2362</v>
      </c>
      <c r="G87" s="10" t="s">
        <v>2363</v>
      </c>
      <c r="I87" s="12"/>
    </row>
    <row r="88" spans="1:8">
      <c r="A88" s="2" t="s">
        <v>2194</v>
      </c>
      <c r="B88" s="7"/>
      <c r="C88" s="8" t="s">
        <v>2195</v>
      </c>
      <c r="D88" s="9">
        <v>22223</v>
      </c>
      <c r="E88" s="10" t="s">
        <v>1330</v>
      </c>
      <c r="F88" s="10" t="s">
        <v>2364</v>
      </c>
      <c r="G88" s="10" t="s">
        <v>2334</v>
      </c>
      <c r="H88" s="12"/>
    </row>
    <row r="89" spans="1:8">
      <c r="A89" s="2" t="s">
        <v>2165</v>
      </c>
      <c r="B89" s="7"/>
      <c r="C89" s="8" t="s">
        <v>1240</v>
      </c>
      <c r="D89" s="9"/>
      <c r="E89" s="10" t="s">
        <v>2365</v>
      </c>
      <c r="F89" s="10" t="s">
        <v>2366</v>
      </c>
      <c r="G89" s="10" t="s">
        <v>2208</v>
      </c>
      <c r="H89" s="12"/>
    </row>
    <row r="90" spans="1:8">
      <c r="A90" s="2" t="s">
        <v>2175</v>
      </c>
      <c r="B90" s="7"/>
      <c r="C90" s="8" t="s">
        <v>2205</v>
      </c>
      <c r="D90" s="9">
        <v>22299</v>
      </c>
      <c r="E90" s="10" t="s">
        <v>2367</v>
      </c>
      <c r="F90" s="10" t="s">
        <v>2368</v>
      </c>
      <c r="G90" s="12"/>
      <c r="H90" s="12"/>
    </row>
    <row r="91" spans="1:8">
      <c r="A91" s="2" t="s">
        <v>2284</v>
      </c>
      <c r="B91" s="7"/>
      <c r="C91" s="8" t="s">
        <v>1240</v>
      </c>
      <c r="D91" s="9"/>
      <c r="E91" s="10" t="s">
        <v>2369</v>
      </c>
      <c r="F91" s="10" t="s">
        <v>2370</v>
      </c>
      <c r="G91" s="10" t="s">
        <v>164</v>
      </c>
      <c r="H91" s="12"/>
    </row>
    <row r="92" spans="1:8">
      <c r="A92" s="2" t="s">
        <v>2159</v>
      </c>
      <c r="B92" s="7"/>
      <c r="C92" s="8" t="s">
        <v>1240</v>
      </c>
      <c r="D92" s="9">
        <v>22201</v>
      </c>
      <c r="E92" s="10" t="s">
        <v>2159</v>
      </c>
      <c r="F92" s="10" t="s">
        <v>2371</v>
      </c>
      <c r="G92" s="10" t="s">
        <v>2372</v>
      </c>
      <c r="H92" s="12"/>
    </row>
    <row r="93" ht="24" spans="1:8">
      <c r="A93" s="2" t="s">
        <v>2180</v>
      </c>
      <c r="B93" s="7"/>
      <c r="C93" s="8" t="s">
        <v>2324</v>
      </c>
      <c r="D93" s="11">
        <v>22299</v>
      </c>
      <c r="E93" s="10" t="s">
        <v>2373</v>
      </c>
      <c r="F93" s="10" t="s">
        <v>2374</v>
      </c>
      <c r="G93" s="10" t="s">
        <v>2375</v>
      </c>
      <c r="H93" s="12"/>
    </row>
    <row r="94" ht="24" spans="1:8">
      <c r="A94" s="2" t="s">
        <v>2180</v>
      </c>
      <c r="B94" s="7"/>
      <c r="C94" s="8" t="s">
        <v>2327</v>
      </c>
      <c r="D94" s="9">
        <v>22299</v>
      </c>
      <c r="E94" s="10" t="s">
        <v>2373</v>
      </c>
      <c r="F94" s="10" t="s">
        <v>2374</v>
      </c>
      <c r="G94" s="10" t="s">
        <v>2376</v>
      </c>
      <c r="H94" s="12"/>
    </row>
    <row r="95" ht="24" spans="1:8">
      <c r="A95" s="2" t="s">
        <v>2180</v>
      </c>
      <c r="B95" s="7"/>
      <c r="C95" s="8" t="s">
        <v>2333</v>
      </c>
      <c r="D95" s="9"/>
      <c r="E95" s="10" t="s">
        <v>2373</v>
      </c>
      <c r="F95" s="10" t="s">
        <v>2374</v>
      </c>
      <c r="G95" s="10" t="s">
        <v>2331</v>
      </c>
      <c r="H95" s="12"/>
    </row>
    <row r="96" ht="24" spans="1:8">
      <c r="A96" s="2" t="s">
        <v>2180</v>
      </c>
      <c r="B96" s="7"/>
      <c r="C96" s="8" t="s">
        <v>2377</v>
      </c>
      <c r="D96" s="9">
        <v>22299</v>
      </c>
      <c r="E96" s="10" t="s">
        <v>2373</v>
      </c>
      <c r="F96" s="10" t="s">
        <v>2374</v>
      </c>
      <c r="G96" s="10" t="s">
        <v>2227</v>
      </c>
      <c r="H96" s="12"/>
    </row>
    <row r="97" ht="24" spans="1:8">
      <c r="A97" s="2" t="s">
        <v>2180</v>
      </c>
      <c r="B97" s="7"/>
      <c r="C97" s="8" t="s">
        <v>2217</v>
      </c>
      <c r="D97" s="9">
        <v>22299</v>
      </c>
      <c r="E97" s="10" t="s">
        <v>2373</v>
      </c>
      <c r="F97" s="10" t="s">
        <v>2374</v>
      </c>
      <c r="G97" s="10" t="s">
        <v>2378</v>
      </c>
      <c r="H97" s="12"/>
    </row>
    <row r="98" ht="24" spans="1:8">
      <c r="A98" s="2" t="s">
        <v>2180</v>
      </c>
      <c r="B98" s="7"/>
      <c r="C98" s="8" t="s">
        <v>2226</v>
      </c>
      <c r="D98" s="9">
        <v>22299</v>
      </c>
      <c r="E98" s="10" t="s">
        <v>2373</v>
      </c>
      <c r="F98" s="10" t="s">
        <v>2374</v>
      </c>
      <c r="G98" s="10" t="s">
        <v>2224</v>
      </c>
      <c r="H98" s="12"/>
    </row>
    <row r="99" ht="24" spans="1:8">
      <c r="A99" s="2" t="s">
        <v>2180</v>
      </c>
      <c r="B99" s="7"/>
      <c r="C99" s="8" t="s">
        <v>2338</v>
      </c>
      <c r="D99" s="9">
        <v>22299</v>
      </c>
      <c r="E99" s="10" t="s">
        <v>2373</v>
      </c>
      <c r="F99" s="10" t="s">
        <v>2374</v>
      </c>
      <c r="G99" s="10" t="s">
        <v>2328</v>
      </c>
      <c r="H99" s="12"/>
    </row>
    <row r="100" ht="24" spans="1:8">
      <c r="A100" s="2" t="s">
        <v>2180</v>
      </c>
      <c r="B100" s="7"/>
      <c r="C100" s="8" t="s">
        <v>2330</v>
      </c>
      <c r="D100" s="9">
        <v>22299</v>
      </c>
      <c r="E100" s="10" t="s">
        <v>2373</v>
      </c>
      <c r="F100" s="10" t="s">
        <v>2374</v>
      </c>
      <c r="G100" s="10" t="s">
        <v>2379</v>
      </c>
      <c r="H100" s="12"/>
    </row>
    <row r="101" ht="24" spans="1:8">
      <c r="A101" s="2" t="s">
        <v>2180</v>
      </c>
      <c r="B101" s="7"/>
      <c r="C101" s="8" t="s">
        <v>2223</v>
      </c>
      <c r="D101" s="9">
        <v>22299</v>
      </c>
      <c r="E101" s="10" t="s">
        <v>2373</v>
      </c>
      <c r="F101" s="10" t="s">
        <v>2374</v>
      </c>
      <c r="G101" s="10" t="s">
        <v>2380</v>
      </c>
      <c r="H101" s="12"/>
    </row>
    <row r="102" spans="1:8">
      <c r="A102" s="2" t="s">
        <v>2165</v>
      </c>
      <c r="B102" s="7"/>
      <c r="C102" s="8" t="s">
        <v>2377</v>
      </c>
      <c r="D102" s="9">
        <v>22299</v>
      </c>
      <c r="E102" s="10" t="s">
        <v>2218</v>
      </c>
      <c r="F102" s="10" t="s">
        <v>2219</v>
      </c>
      <c r="G102" s="10" t="s">
        <v>2375</v>
      </c>
      <c r="H102" s="12"/>
    </row>
  </sheetData>
  <autoFilter xmlns:etc="http://www.wps.cn/officeDocument/2017/etCustomData" ref="A1:K102" etc:filterBottomFollowUsedRange="0">
    <extLst/>
  </autoFilter>
  <pageMargins left="0.700694444444445" right="0.700694444444445" top="0.751388888888889" bottom="0.751388888888889" header="0.298611111111111" footer="0.298611111111111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水果可溶性糖</vt:lpstr>
      <vt:lpstr>还原糖正滴</vt:lpstr>
      <vt:lpstr>还原糖反滴 </vt:lpstr>
      <vt:lpstr>总糖反滴</vt:lpstr>
      <vt:lpstr>总糖正滴</vt:lpstr>
      <vt:lpstr>总糖正滴（蔗糖计）</vt:lpstr>
      <vt:lpstr>总糖反滴（蔗糖计）</vt:lpstr>
      <vt:lpstr>蔗糖</vt:lpstr>
      <vt:lpstr>蔗糖反</vt:lpstr>
      <vt:lpstr>蔗糖正反</vt:lpstr>
      <vt:lpstr>13662酒正滴</vt:lpstr>
      <vt:lpstr>13662酒反滴</vt:lpstr>
      <vt:lpstr>淀粉二法</vt:lpstr>
      <vt:lpstr>淀粉一法</vt:lpstr>
      <vt:lpstr>Sheet4</vt:lpstr>
      <vt:lpstr>23968反滴</vt:lpstr>
      <vt:lpstr>23968正滴</vt:lpstr>
      <vt:lpstr>淀粉2反滴</vt:lpstr>
      <vt:lpstr>淀粉1法反滴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2006-09-13T11:21:00Z</dcterms:created>
  <cp:lastPrinted>2025-11-13T08:38:00Z</cp:lastPrinted>
  <dcterms:modified xsi:type="dcterms:W3CDTF">2026-09-03T12:19:24Z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FF0DA311DE5E40CFA16C714A2CE85585_12</vt:lpwstr>
  </property>
  <property fmtid="{D5CDD505-2E9C-101B-9397-08002B2CF9AE}" pid="4" name="CalculationRule">
    <vt:i4>0</vt:i4>
  </property>
</Properties>
</file>